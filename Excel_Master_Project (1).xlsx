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54B9ED82-4707-4333-BEB5-7E11FEE74759}" xr6:coauthVersionLast="47" xr6:coauthVersionMax="47" xr10:uidLastSave="{00000000-0000-0000-0000-000000000000}"/>
  <bookViews>
    <workbookView xWindow="0" yWindow="0" windowWidth="16815" windowHeight="7755" firstSheet="2" xr2:uid="{00000000-000D-0000-FFFF-FFFF00000000}"/>
  </bookViews>
  <sheets>
    <sheet name="Orders" sheetId="1" r:id="rId1"/>
    <sheet name="Product_Master" sheetId="2" r:id="rId2"/>
    <sheet name="Customer_Master" sheetId="3" r:id="rId3"/>
    <sheet name="Practice_Questions" sheetId="4" r:id="rId4"/>
    <sheet name="START_HERE" sheetId="5" r:id="rId5"/>
  </sheets>
  <definedNames>
    <definedName name="_xlnm._FilterDatabase" localSheetId="2" hidden="1">Customer_Master!$A$1:$D$151</definedName>
    <definedName name="_xlnm._FilterDatabase" localSheetId="0" hidden="1">Orders!$A$1:$DA$356</definedName>
    <definedName name="_xlnm._FilterDatabase" localSheetId="1" hidden="1">Product_Master!$A$1:$F$16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2" i="1" l="1" a="1"/>
  <c r="CL2" i="1"/>
  <c r="CL3" i="1" a="1"/>
  <c r="CL3" i="1"/>
  <c r="CL4" i="1" a="1"/>
  <c r="CL4" i="1"/>
  <c r="CL5" i="1" a="1"/>
  <c r="CL5" i="1"/>
  <c r="CL6" i="1" a="1"/>
  <c r="CL6" i="1"/>
  <c r="CL7" i="1" a="1"/>
  <c r="CL7" i="1"/>
  <c r="CL8" i="1" a="1"/>
  <c r="CL8" i="1"/>
  <c r="CL9" i="1" a="1"/>
  <c r="CL9" i="1"/>
  <c r="CL10" i="1" a="1"/>
  <c r="CL10" i="1"/>
  <c r="CL11" i="1" a="1"/>
  <c r="CL11" i="1"/>
  <c r="CL12" i="1" a="1"/>
  <c r="CL12" i="1"/>
  <c r="CL13" i="1" a="1"/>
  <c r="CL13" i="1"/>
  <c r="CL14" i="1" a="1"/>
  <c r="CL14" i="1"/>
  <c r="CL15" i="1" a="1"/>
  <c r="CL15" i="1"/>
  <c r="CL16" i="1" a="1"/>
  <c r="CL16" i="1"/>
  <c r="CL17" i="1" a="1"/>
  <c r="CL17" i="1"/>
  <c r="CL18" i="1" a="1"/>
  <c r="CL18" i="1"/>
  <c r="CL19" i="1" a="1"/>
  <c r="CL19" i="1"/>
  <c r="CL20" i="1" a="1"/>
  <c r="CL20" i="1"/>
  <c r="CL21" i="1" a="1"/>
  <c r="CL21" i="1"/>
  <c r="CL22" i="1" a="1"/>
  <c r="CL22" i="1"/>
  <c r="CL23" i="1" a="1"/>
  <c r="CL23" i="1"/>
  <c r="CL24" i="1" a="1"/>
  <c r="CL24" i="1"/>
  <c r="CL25" i="1" a="1"/>
  <c r="CL25" i="1"/>
  <c r="CL26" i="1" a="1"/>
  <c r="CL26" i="1"/>
  <c r="CL27" i="1" a="1"/>
  <c r="CL27" i="1"/>
  <c r="CL28" i="1" a="1"/>
  <c r="CL28" i="1"/>
  <c r="CL29" i="1" a="1"/>
  <c r="CL29" i="1"/>
  <c r="CL30" i="1" a="1"/>
  <c r="CL30" i="1"/>
  <c r="CL31" i="1" a="1"/>
  <c r="CL31" i="1"/>
  <c r="CL32" i="1" a="1"/>
  <c r="CL32" i="1"/>
  <c r="CL33" i="1" a="1"/>
  <c r="CL33" i="1"/>
  <c r="CL34" i="1" a="1"/>
  <c r="CL34" i="1"/>
  <c r="CL35" i="1" a="1"/>
  <c r="CL35" i="1"/>
  <c r="CL36" i="1" a="1"/>
  <c r="CL36" i="1"/>
  <c r="CL37" i="1" a="1"/>
  <c r="CL37" i="1"/>
  <c r="CL38" i="1" a="1"/>
  <c r="CL38" i="1"/>
  <c r="CL39" i="1" a="1"/>
  <c r="CL39" i="1"/>
  <c r="CL40" i="1" a="1"/>
  <c r="CL40" i="1"/>
  <c r="CL41" i="1" a="1"/>
  <c r="CL41" i="1"/>
  <c r="CL42" i="1" a="1"/>
  <c r="CL42" i="1"/>
  <c r="CL43" i="1" a="1"/>
  <c r="CL43" i="1"/>
  <c r="CL44" i="1" a="1"/>
  <c r="CL44" i="1"/>
  <c r="CL45" i="1" a="1"/>
  <c r="CL45" i="1"/>
  <c r="CL46" i="1" a="1"/>
  <c r="CL46" i="1"/>
  <c r="CL47" i="1" a="1"/>
  <c r="CL47" i="1"/>
  <c r="CL48" i="1" a="1"/>
  <c r="CL48" i="1"/>
  <c r="CL49" i="1" a="1"/>
  <c r="CL49" i="1"/>
  <c r="CL50" i="1" a="1"/>
  <c r="CL50" i="1"/>
  <c r="CL51" i="1" a="1"/>
  <c r="CL51" i="1"/>
  <c r="CL52" i="1" a="1"/>
  <c r="CL52" i="1"/>
  <c r="CL53" i="1" a="1"/>
  <c r="CL53" i="1"/>
  <c r="CL54" i="1" a="1"/>
  <c r="CL54" i="1"/>
  <c r="CL55" i="1" a="1"/>
  <c r="CL55" i="1"/>
  <c r="CL56" i="1" a="1"/>
  <c r="CL56" i="1"/>
  <c r="CL57" i="1" a="1"/>
  <c r="CL57" i="1"/>
  <c r="CL58" i="1" a="1"/>
  <c r="CL58" i="1"/>
  <c r="CL59" i="1" a="1"/>
  <c r="CL59" i="1"/>
  <c r="CL60" i="1" a="1"/>
  <c r="CL60" i="1"/>
  <c r="CL61" i="1" a="1"/>
  <c r="CL61" i="1"/>
  <c r="CL62" i="1" a="1"/>
  <c r="CL62" i="1"/>
  <c r="CL63" i="1" a="1"/>
  <c r="CL63" i="1"/>
  <c r="CL64" i="1" a="1"/>
  <c r="CL64" i="1"/>
  <c r="CL65" i="1" a="1"/>
  <c r="CL65" i="1"/>
  <c r="CL66" i="1" a="1"/>
  <c r="CL66" i="1"/>
  <c r="CL67" i="1" a="1"/>
  <c r="CL67" i="1"/>
  <c r="CL68" i="1" a="1"/>
  <c r="CL68" i="1"/>
  <c r="CL69" i="1" a="1"/>
  <c r="CL69" i="1"/>
  <c r="CL70" i="1" a="1"/>
  <c r="CL70" i="1"/>
  <c r="CL71" i="1" a="1"/>
  <c r="CL71" i="1"/>
  <c r="CL72" i="1" a="1"/>
  <c r="CL72" i="1"/>
  <c r="CL73" i="1" a="1"/>
  <c r="CL73" i="1"/>
  <c r="CL74" i="1" a="1"/>
  <c r="CL74" i="1"/>
  <c r="CL75" i="1" a="1"/>
  <c r="CL75" i="1"/>
  <c r="CL76" i="1" a="1"/>
  <c r="CL76" i="1"/>
  <c r="CL77" i="1" a="1"/>
  <c r="CL77" i="1"/>
  <c r="CL78" i="1" a="1"/>
  <c r="CL78" i="1"/>
  <c r="CL79" i="1" a="1"/>
  <c r="CL79" i="1"/>
  <c r="CL80" i="1" a="1"/>
  <c r="CL80" i="1"/>
  <c r="CL81" i="1" a="1"/>
  <c r="CL81" i="1"/>
  <c r="CL82" i="1" a="1"/>
  <c r="CL82" i="1"/>
  <c r="CL83" i="1" a="1"/>
  <c r="CL83" i="1"/>
  <c r="CL84" i="1" a="1"/>
  <c r="CL84" i="1"/>
  <c r="CL85" i="1" a="1"/>
  <c r="CL85" i="1"/>
  <c r="CL86" i="1" a="1"/>
  <c r="CL86" i="1"/>
  <c r="CL87" i="1" a="1"/>
  <c r="CL87" i="1"/>
  <c r="CL88" i="1" a="1"/>
  <c r="CL88" i="1"/>
  <c r="CL89" i="1" a="1"/>
  <c r="CL89" i="1"/>
  <c r="CL90" i="1" a="1"/>
  <c r="CL90" i="1"/>
  <c r="CL91" i="1" a="1"/>
  <c r="CL91" i="1"/>
  <c r="CL92" i="1" a="1"/>
  <c r="CL92" i="1"/>
  <c r="CL93" i="1" a="1"/>
  <c r="CL93" i="1"/>
  <c r="CL94" i="1" a="1"/>
  <c r="CL94" i="1"/>
  <c r="CL95" i="1" a="1"/>
  <c r="CL95" i="1"/>
  <c r="CL96" i="1" a="1"/>
  <c r="CL96" i="1"/>
  <c r="CL97" i="1" a="1"/>
  <c r="CL97" i="1"/>
  <c r="CL98" i="1" a="1"/>
  <c r="CL98" i="1"/>
  <c r="CL99" i="1" a="1"/>
  <c r="CL99" i="1"/>
  <c r="CL100" i="1" a="1"/>
  <c r="CL100" i="1"/>
  <c r="CL101" i="1" a="1"/>
  <c r="CL101" i="1"/>
  <c r="CL102" i="1" a="1"/>
  <c r="CL102" i="1"/>
  <c r="CL103" i="1" a="1"/>
  <c r="CL103" i="1"/>
  <c r="CL104" i="1" a="1"/>
  <c r="CL104" i="1"/>
  <c r="CL105" i="1" a="1"/>
  <c r="CL105" i="1"/>
  <c r="CL106" i="1" a="1"/>
  <c r="CL106" i="1"/>
  <c r="CL107" i="1" a="1"/>
  <c r="CL107" i="1"/>
  <c r="CL108" i="1" a="1"/>
  <c r="CL108" i="1"/>
  <c r="CL109" i="1" a="1"/>
  <c r="CL109" i="1"/>
  <c r="CL110" i="1" a="1"/>
  <c r="CL110" i="1"/>
  <c r="CL111" i="1" a="1"/>
  <c r="CL111" i="1"/>
  <c r="CL112" i="1" a="1"/>
  <c r="CL112" i="1"/>
  <c r="CL113" i="1" a="1"/>
  <c r="CL113" i="1"/>
  <c r="CL114" i="1" a="1"/>
  <c r="CL114" i="1"/>
  <c r="CL115" i="1" a="1"/>
  <c r="CL115" i="1"/>
  <c r="CL116" i="1" a="1"/>
  <c r="CL116" i="1"/>
  <c r="CL117" i="1" a="1"/>
  <c r="CL117" i="1"/>
  <c r="CL118" i="1" a="1"/>
  <c r="CL118" i="1"/>
  <c r="CL119" i="1" a="1"/>
  <c r="CL119" i="1"/>
  <c r="CL120" i="1" a="1"/>
  <c r="CL120" i="1"/>
  <c r="CL121" i="1" a="1"/>
  <c r="CL121" i="1"/>
  <c r="CL122" i="1" a="1"/>
  <c r="CL122" i="1"/>
  <c r="CL123" i="1" a="1"/>
  <c r="CL123" i="1"/>
  <c r="CL124" i="1" a="1"/>
  <c r="CL124" i="1"/>
  <c r="CL125" i="1" a="1"/>
  <c r="CL125" i="1"/>
  <c r="CL126" i="1" a="1"/>
  <c r="CL126" i="1"/>
  <c r="CL127" i="1" a="1"/>
  <c r="CL127" i="1"/>
  <c r="CL128" i="1" a="1"/>
  <c r="CL128" i="1"/>
  <c r="CL129" i="1" a="1"/>
  <c r="CL129" i="1"/>
  <c r="CL130" i="1" a="1"/>
  <c r="CL130" i="1"/>
  <c r="CL131" i="1" a="1"/>
  <c r="CL131" i="1"/>
  <c r="CL132" i="1" a="1"/>
  <c r="CL132" i="1"/>
  <c r="CL133" i="1" a="1"/>
  <c r="CL133" i="1"/>
  <c r="CL134" i="1" a="1"/>
  <c r="CL134" i="1"/>
  <c r="CL135" i="1" a="1"/>
  <c r="CL135" i="1"/>
  <c r="CL136" i="1" a="1"/>
  <c r="CL136" i="1"/>
  <c r="CL137" i="1" a="1"/>
  <c r="CL137" i="1"/>
  <c r="CL138" i="1" a="1"/>
  <c r="CL138" i="1"/>
  <c r="CL139" i="1" a="1"/>
  <c r="CL139" i="1"/>
  <c r="CL140" i="1" a="1"/>
  <c r="CL140" i="1"/>
  <c r="CL141" i="1" a="1"/>
  <c r="CL141" i="1"/>
  <c r="CL142" i="1" a="1"/>
  <c r="CL142" i="1"/>
  <c r="CL143" i="1" a="1"/>
  <c r="CL143" i="1"/>
  <c r="CL144" i="1" a="1"/>
  <c r="CL144" i="1"/>
  <c r="CL145" i="1" a="1"/>
  <c r="CL145" i="1"/>
  <c r="CL146" i="1" a="1"/>
  <c r="CL146" i="1"/>
  <c r="CL147" i="1" a="1"/>
  <c r="CL147" i="1"/>
  <c r="CL148" i="1" a="1"/>
  <c r="CL148" i="1"/>
  <c r="CL149" i="1" a="1"/>
  <c r="CL149" i="1"/>
  <c r="CL150" i="1" a="1"/>
  <c r="CL150" i="1"/>
  <c r="CL151" i="1" a="1"/>
  <c r="CL151" i="1"/>
  <c r="CL152" i="1" a="1"/>
  <c r="CL152" i="1"/>
  <c r="CL153" i="1" a="1"/>
  <c r="CL153" i="1"/>
  <c r="CL154" i="1" a="1"/>
  <c r="CL154" i="1"/>
  <c r="CL155" i="1" a="1"/>
  <c r="CL155" i="1"/>
  <c r="CL156" i="1" a="1"/>
  <c r="CL156" i="1"/>
  <c r="CL157" i="1" a="1"/>
  <c r="CL157" i="1"/>
  <c r="CL158" i="1" a="1"/>
  <c r="CL158" i="1"/>
  <c r="CL159" i="1" a="1"/>
  <c r="CL159" i="1"/>
  <c r="CL160" i="1" a="1"/>
  <c r="CL160" i="1"/>
  <c r="CL161" i="1" a="1"/>
  <c r="CL161" i="1"/>
  <c r="CL162" i="1" a="1"/>
  <c r="CL162" i="1"/>
  <c r="CL163" i="1" a="1"/>
  <c r="CL163" i="1"/>
  <c r="CL164" i="1" a="1"/>
  <c r="CL164" i="1"/>
  <c r="CL165" i="1" a="1"/>
  <c r="CL165" i="1"/>
  <c r="CL166" i="1" a="1"/>
  <c r="CL166" i="1"/>
  <c r="CL167" i="1" a="1"/>
  <c r="CL167" i="1"/>
  <c r="CL168" i="1" a="1"/>
  <c r="CL168" i="1"/>
  <c r="CL169" i="1" a="1"/>
  <c r="CL169" i="1"/>
  <c r="CL170" i="1" a="1"/>
  <c r="CL170" i="1"/>
  <c r="CL171" i="1" a="1"/>
  <c r="CL171" i="1"/>
  <c r="CL172" i="1" a="1"/>
  <c r="CL172" i="1"/>
  <c r="CL173" i="1" a="1"/>
  <c r="CL173" i="1"/>
  <c r="CL174" i="1" a="1"/>
  <c r="CL174" i="1"/>
  <c r="CL175" i="1" a="1"/>
  <c r="CL175" i="1"/>
  <c r="CL176" i="1" a="1"/>
  <c r="CL176" i="1"/>
  <c r="CL177" i="1" a="1"/>
  <c r="CL177" i="1"/>
  <c r="CL178" i="1" a="1"/>
  <c r="CL178" i="1"/>
  <c r="CL179" i="1" a="1"/>
  <c r="CL179" i="1"/>
  <c r="CL180" i="1" a="1"/>
  <c r="CL180" i="1"/>
  <c r="CL181" i="1" a="1"/>
  <c r="CL181" i="1"/>
  <c r="CL182" i="1" a="1"/>
  <c r="CL182" i="1"/>
  <c r="CL183" i="1" a="1"/>
  <c r="CL183" i="1"/>
  <c r="CL184" i="1" a="1"/>
  <c r="CL184" i="1"/>
  <c r="CL185" i="1" a="1"/>
  <c r="CL185" i="1"/>
  <c r="CL186" i="1" a="1"/>
  <c r="CL186" i="1"/>
  <c r="CL187" i="1" a="1"/>
  <c r="CL187" i="1"/>
  <c r="CL188" i="1" a="1"/>
  <c r="CL188" i="1"/>
  <c r="CL189" i="1" a="1"/>
  <c r="CL189" i="1"/>
  <c r="CL190" i="1" a="1"/>
  <c r="CL190" i="1"/>
  <c r="CL191" i="1" a="1"/>
  <c r="CL191" i="1"/>
  <c r="CL192" i="1" a="1"/>
  <c r="CL192" i="1"/>
  <c r="CL193" i="1" a="1"/>
  <c r="CL193" i="1"/>
  <c r="CL194" i="1" a="1"/>
  <c r="CL194" i="1"/>
  <c r="CL195" i="1" a="1"/>
  <c r="CL195" i="1"/>
  <c r="CL196" i="1" a="1"/>
  <c r="CL196" i="1"/>
  <c r="CL197" i="1" a="1"/>
  <c r="CL197" i="1"/>
  <c r="CL198" i="1" a="1"/>
  <c r="CL198" i="1"/>
  <c r="CL199" i="1" a="1"/>
  <c r="CL199" i="1"/>
  <c r="CL200" i="1" a="1"/>
  <c r="CL200" i="1"/>
  <c r="CL201" i="1" a="1"/>
  <c r="CL201" i="1"/>
  <c r="CL202" i="1" a="1"/>
  <c r="CL202" i="1"/>
  <c r="CL203" i="1" a="1"/>
  <c r="CL203" i="1"/>
  <c r="CL204" i="1" a="1"/>
  <c r="CL204" i="1"/>
  <c r="CL205" i="1" a="1"/>
  <c r="CL205" i="1"/>
  <c r="CL206" i="1" a="1"/>
  <c r="CL206" i="1"/>
  <c r="CL207" i="1" a="1"/>
  <c r="CL207" i="1"/>
  <c r="CL208" i="1" a="1"/>
  <c r="CL208" i="1"/>
  <c r="CL209" i="1" a="1"/>
  <c r="CL209" i="1"/>
  <c r="CL210" i="1" a="1"/>
  <c r="CL210" i="1"/>
  <c r="CL211" i="1" a="1"/>
  <c r="CL211" i="1"/>
  <c r="CL212" i="1" a="1"/>
  <c r="CL212" i="1"/>
  <c r="CL213" i="1" a="1"/>
  <c r="CL213" i="1"/>
  <c r="CL214" i="1" a="1"/>
  <c r="CL214" i="1"/>
  <c r="CL215" i="1" a="1"/>
  <c r="CL215" i="1"/>
  <c r="CL216" i="1" a="1"/>
  <c r="CL216" i="1"/>
  <c r="CL217" i="1" a="1"/>
  <c r="CL217" i="1"/>
  <c r="CL218" i="1" a="1"/>
  <c r="CL218" i="1"/>
  <c r="CL219" i="1" a="1"/>
  <c r="CL219" i="1"/>
  <c r="CL220" i="1" a="1"/>
  <c r="CL220" i="1"/>
  <c r="CL221" i="1" a="1"/>
  <c r="CL221" i="1"/>
  <c r="CL222" i="1" a="1"/>
  <c r="CL222" i="1"/>
  <c r="CL223" i="1" a="1"/>
  <c r="CL223" i="1"/>
  <c r="CL224" i="1" a="1"/>
  <c r="CL224" i="1"/>
  <c r="CL225" i="1" a="1"/>
  <c r="CL225" i="1"/>
  <c r="CL226" i="1" a="1"/>
  <c r="CL226" i="1"/>
  <c r="CL227" i="1" a="1"/>
  <c r="CL227" i="1"/>
  <c r="CL228" i="1" a="1"/>
  <c r="CL228" i="1"/>
  <c r="CL229" i="1" a="1"/>
  <c r="CL229" i="1"/>
  <c r="CL230" i="1" a="1"/>
  <c r="CL230" i="1"/>
  <c r="CL231" i="1" a="1"/>
  <c r="CL231" i="1"/>
  <c r="CL232" i="1" a="1"/>
  <c r="CL232" i="1"/>
  <c r="CL233" i="1" a="1"/>
  <c r="CL233" i="1"/>
  <c r="CL234" i="1" a="1"/>
  <c r="CL234" i="1"/>
  <c r="CL235" i="1" a="1"/>
  <c r="CL235" i="1"/>
  <c r="CL236" i="1" a="1"/>
  <c r="CL236" i="1"/>
  <c r="CL237" i="1" a="1"/>
  <c r="CL237" i="1"/>
  <c r="CL238" i="1" a="1"/>
  <c r="CL238" i="1"/>
  <c r="CL239" i="1" a="1"/>
  <c r="CL239" i="1"/>
  <c r="CL240" i="1" a="1"/>
  <c r="CL240" i="1"/>
  <c r="CL241" i="1" a="1"/>
  <c r="CL241" i="1"/>
  <c r="CL242" i="1" a="1"/>
  <c r="CL242" i="1"/>
  <c r="CL243" i="1" a="1"/>
  <c r="CL243" i="1"/>
  <c r="CL244" i="1" a="1"/>
  <c r="CL244" i="1"/>
  <c r="CL245" i="1" a="1"/>
  <c r="CL245" i="1"/>
  <c r="CL246" i="1" a="1"/>
  <c r="CL246" i="1"/>
  <c r="CL247" i="1" a="1"/>
  <c r="CL247" i="1"/>
  <c r="CL248" i="1" a="1"/>
  <c r="CL248" i="1"/>
  <c r="CL249" i="1" a="1"/>
  <c r="CL249" i="1"/>
  <c r="CL250" i="1" a="1"/>
  <c r="CL250" i="1"/>
  <c r="CL251" i="1" a="1"/>
  <c r="CL251" i="1"/>
  <c r="CL252" i="1" a="1"/>
  <c r="CL252" i="1"/>
  <c r="CL253" i="1" a="1"/>
  <c r="CL253" i="1"/>
  <c r="CL254" i="1" a="1"/>
  <c r="CL254" i="1"/>
  <c r="CL255" i="1" a="1"/>
  <c r="CL255" i="1"/>
  <c r="CL256" i="1" a="1"/>
  <c r="CL256" i="1"/>
  <c r="CL257" i="1" a="1"/>
  <c r="CL257" i="1"/>
  <c r="CL258" i="1" a="1"/>
  <c r="CL258" i="1"/>
  <c r="CL259" i="1" a="1"/>
  <c r="CL259" i="1"/>
  <c r="CL260" i="1" a="1"/>
  <c r="CL260" i="1"/>
  <c r="CL261" i="1" a="1"/>
  <c r="CL261" i="1"/>
  <c r="CL262" i="1" a="1"/>
  <c r="CL262" i="1"/>
  <c r="CL263" i="1" a="1"/>
  <c r="CL263" i="1"/>
  <c r="CL264" i="1" a="1"/>
  <c r="CL264" i="1"/>
  <c r="CL265" i="1" a="1"/>
  <c r="CL265" i="1"/>
  <c r="CL266" i="1" a="1"/>
  <c r="CL266" i="1"/>
  <c r="CL267" i="1" a="1"/>
  <c r="CL267" i="1"/>
  <c r="CL268" i="1" a="1"/>
  <c r="CL268" i="1"/>
  <c r="CL269" i="1" a="1"/>
  <c r="CL269" i="1"/>
  <c r="CL270" i="1" a="1"/>
  <c r="CL270" i="1"/>
  <c r="CL271" i="1" a="1"/>
  <c r="CL271" i="1"/>
  <c r="CL272" i="1" a="1"/>
  <c r="CL272" i="1"/>
  <c r="CL273" i="1" a="1"/>
  <c r="CL273" i="1"/>
  <c r="CL274" i="1" a="1"/>
  <c r="CL274" i="1"/>
  <c r="CL275" i="1" a="1"/>
  <c r="CL275" i="1"/>
  <c r="CL276" i="1" a="1"/>
  <c r="CL276" i="1"/>
  <c r="CL277" i="1" a="1"/>
  <c r="CL277" i="1"/>
  <c r="CL278" i="1" a="1"/>
  <c r="CL278" i="1"/>
  <c r="CL279" i="1" a="1"/>
  <c r="CL279" i="1"/>
  <c r="CL280" i="1" a="1"/>
  <c r="CL280" i="1"/>
  <c r="CL281" i="1" a="1"/>
  <c r="CL281" i="1"/>
  <c r="CL282" i="1" a="1"/>
  <c r="CL282" i="1"/>
  <c r="CL283" i="1" a="1"/>
  <c r="CL283" i="1"/>
  <c r="CL284" i="1" a="1"/>
  <c r="CL284" i="1"/>
  <c r="CL285" i="1" a="1"/>
  <c r="CL285" i="1"/>
  <c r="CL286" i="1" a="1"/>
  <c r="CL286" i="1"/>
  <c r="CL287" i="1" a="1"/>
  <c r="CL287" i="1"/>
  <c r="CL288" i="1" a="1"/>
  <c r="CL288" i="1"/>
  <c r="CL289" i="1" a="1"/>
  <c r="CL289" i="1"/>
  <c r="CL290" i="1" a="1"/>
  <c r="CL290" i="1"/>
  <c r="CL291" i="1" a="1"/>
  <c r="CL291" i="1"/>
  <c r="CL292" i="1" a="1"/>
  <c r="CL292" i="1"/>
  <c r="CL293" i="1" a="1"/>
  <c r="CL293" i="1"/>
  <c r="CL294" i="1" a="1"/>
  <c r="CL294" i="1"/>
  <c r="CL295" i="1" a="1"/>
  <c r="CL295" i="1"/>
  <c r="CL296" i="1" a="1"/>
  <c r="CL296" i="1"/>
  <c r="CL297" i="1" a="1"/>
  <c r="CL297" i="1"/>
  <c r="CL298" i="1" a="1"/>
  <c r="CL298" i="1"/>
  <c r="CL299" i="1" a="1"/>
  <c r="CL299" i="1"/>
  <c r="CL300" i="1" a="1"/>
  <c r="CL300" i="1"/>
  <c r="CL301" i="1" a="1"/>
  <c r="CL301" i="1"/>
  <c r="CL302" i="1" a="1"/>
  <c r="CL302" i="1"/>
  <c r="CL303" i="1" a="1"/>
  <c r="CL303" i="1"/>
  <c r="CL304" i="1" a="1"/>
  <c r="CL304" i="1"/>
  <c r="CL305" i="1" a="1"/>
  <c r="CL305" i="1"/>
  <c r="CL306" i="1" a="1"/>
  <c r="CL306" i="1"/>
  <c r="CL307" i="1" a="1"/>
  <c r="CL307" i="1"/>
  <c r="CL308" i="1" a="1"/>
  <c r="CL308" i="1"/>
  <c r="CL309" i="1" a="1"/>
  <c r="CL309" i="1"/>
  <c r="CL310" i="1" a="1"/>
  <c r="CL310" i="1"/>
  <c r="CL311" i="1" a="1"/>
  <c r="CL311" i="1"/>
  <c r="CL312" i="1" a="1"/>
  <c r="CL312" i="1"/>
  <c r="CL313" i="1" a="1"/>
  <c r="CL313" i="1"/>
  <c r="CL314" i="1" a="1"/>
  <c r="CL314" i="1"/>
  <c r="CL315" i="1" a="1"/>
  <c r="CL315" i="1"/>
  <c r="CL316" i="1" a="1"/>
  <c r="CL316" i="1"/>
  <c r="CL317" i="1" a="1"/>
  <c r="CL317" i="1"/>
  <c r="CL318" i="1" a="1"/>
  <c r="CL318" i="1"/>
  <c r="CL319" i="1" a="1"/>
  <c r="CL319" i="1"/>
  <c r="CL320" i="1" a="1"/>
  <c r="CL320" i="1"/>
  <c r="CL321" i="1" a="1"/>
  <c r="CL321" i="1"/>
  <c r="CL322" i="1" a="1"/>
  <c r="CL322" i="1"/>
  <c r="CL323" i="1" a="1"/>
  <c r="CL323" i="1"/>
  <c r="CL324" i="1" a="1"/>
  <c r="CL324" i="1"/>
  <c r="CL325" i="1" a="1"/>
  <c r="CL325" i="1"/>
  <c r="CL326" i="1" a="1"/>
  <c r="CL326" i="1"/>
  <c r="CL327" i="1" a="1"/>
  <c r="CL327" i="1"/>
  <c r="CL328" i="1" a="1"/>
  <c r="CL328" i="1"/>
  <c r="CL329" i="1" a="1"/>
  <c r="CL329" i="1"/>
  <c r="CL330" i="1" a="1"/>
  <c r="CL330" i="1"/>
  <c r="CL331" i="1" a="1"/>
  <c r="CL331" i="1"/>
  <c r="CL332" i="1" a="1"/>
  <c r="CL332" i="1"/>
  <c r="CL333" i="1" a="1"/>
  <c r="CL333" i="1"/>
  <c r="CL334" i="1" a="1"/>
  <c r="CL334" i="1"/>
  <c r="CL335" i="1" a="1"/>
  <c r="CL335" i="1"/>
  <c r="CL336" i="1" a="1"/>
  <c r="CL336" i="1"/>
  <c r="CL337" i="1" a="1"/>
  <c r="CL337" i="1"/>
  <c r="CL338" i="1" a="1"/>
  <c r="CL338" i="1"/>
  <c r="CL339" i="1" a="1"/>
  <c r="CL339" i="1"/>
  <c r="CL340" i="1" a="1"/>
  <c r="CL340" i="1"/>
  <c r="CL341" i="1" a="1"/>
  <c r="CL341" i="1"/>
  <c r="CL342" i="1" a="1"/>
  <c r="CL342" i="1"/>
  <c r="CL343" i="1" a="1"/>
  <c r="CL343" i="1"/>
  <c r="CL344" i="1" a="1"/>
  <c r="CL344" i="1"/>
  <c r="CL345" i="1" a="1"/>
  <c r="CL345" i="1"/>
  <c r="CL346" i="1" a="1"/>
  <c r="CL346" i="1"/>
  <c r="CL347" i="1" a="1"/>
  <c r="CL347" i="1"/>
  <c r="CL348" i="1" a="1"/>
  <c r="CL348" i="1"/>
  <c r="CL349" i="1" a="1"/>
  <c r="CL349" i="1"/>
  <c r="CL350" i="1" a="1"/>
  <c r="CL350" i="1"/>
  <c r="CL351" i="1" a="1"/>
  <c r="CL351" i="1"/>
  <c r="CL352" i="1" a="1"/>
  <c r="CL352" i="1"/>
  <c r="CL353" i="1" a="1"/>
  <c r="CL353" i="1"/>
  <c r="CL354" i="1" a="1"/>
  <c r="CL354" i="1"/>
  <c r="CL355" i="1" a="1"/>
  <c r="CL355" i="1"/>
  <c r="CL356" i="1" a="1"/>
  <c r="CL356" i="1"/>
  <c r="E3" i="3"/>
  <c r="I3" i="2"/>
  <c r="H3" i="2" a="1"/>
  <c r="H3" i="2"/>
  <c r="G3" i="2"/>
  <c r="BE2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7" i="1"/>
  <c r="BE278" i="1"/>
  <c r="BE279" i="1"/>
  <c r="BE280" i="1"/>
  <c r="BE281" i="1"/>
  <c r="BE282" i="1"/>
  <c r="BE283" i="1"/>
  <c r="BE284" i="1"/>
  <c r="BE285" i="1"/>
  <c r="BE286" i="1"/>
  <c r="BE287" i="1"/>
  <c r="BE288" i="1"/>
  <c r="BE289" i="1"/>
  <c r="BE290" i="1"/>
  <c r="BE291" i="1"/>
  <c r="BE292" i="1"/>
  <c r="BE293" i="1"/>
  <c r="BE294" i="1"/>
  <c r="BE295" i="1"/>
  <c r="BE296" i="1"/>
  <c r="BE297" i="1"/>
  <c r="BE298" i="1"/>
  <c r="BE299" i="1"/>
  <c r="BE300" i="1"/>
  <c r="BE301" i="1"/>
  <c r="BE302" i="1"/>
  <c r="BE303" i="1"/>
  <c r="BE304" i="1"/>
  <c r="BE305" i="1"/>
  <c r="BE306" i="1"/>
  <c r="BE307" i="1"/>
  <c r="BE308" i="1"/>
  <c r="BE309" i="1"/>
  <c r="BE310" i="1"/>
  <c r="BE311" i="1"/>
  <c r="BE312" i="1"/>
  <c r="BE313" i="1"/>
  <c r="BE314" i="1"/>
  <c r="BE315" i="1"/>
  <c r="BE316" i="1"/>
  <c r="BE317" i="1"/>
  <c r="BE318" i="1"/>
  <c r="BE319" i="1"/>
  <c r="BE320" i="1"/>
  <c r="BE321" i="1"/>
  <c r="BE322" i="1"/>
  <c r="BE323" i="1"/>
  <c r="BE324" i="1"/>
  <c r="BE325" i="1"/>
  <c r="BE326" i="1"/>
  <c r="BE327" i="1"/>
  <c r="BE328" i="1"/>
  <c r="BE329" i="1"/>
  <c r="BE330" i="1"/>
  <c r="BE331" i="1"/>
  <c r="BE332" i="1"/>
  <c r="BE333" i="1"/>
  <c r="BE334" i="1"/>
  <c r="BE335" i="1"/>
  <c r="BE336" i="1"/>
  <c r="BE337" i="1"/>
  <c r="BE338" i="1"/>
  <c r="BE339" i="1"/>
  <c r="BE340" i="1"/>
  <c r="BE341" i="1"/>
  <c r="BE342" i="1"/>
  <c r="BE343" i="1"/>
  <c r="BE344" i="1"/>
  <c r="BE345" i="1"/>
  <c r="BE346" i="1"/>
  <c r="BE347" i="1"/>
  <c r="BE348" i="1"/>
  <c r="BE349" i="1"/>
  <c r="BE350" i="1"/>
  <c r="BE351" i="1"/>
  <c r="BE352" i="1"/>
  <c r="BE353" i="1"/>
  <c r="BE354" i="1"/>
  <c r="BE355" i="1"/>
  <c r="BE356" i="1"/>
  <c r="BL2" i="1"/>
  <c r="BK2" i="1"/>
  <c r="DP2" i="1"/>
  <c r="DO2" i="1"/>
  <c r="DN2" i="1"/>
  <c r="DM2" i="1"/>
  <c r="DL2" i="1"/>
  <c r="DK2" i="1"/>
  <c r="BI2" i="1"/>
  <c r="BI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74" i="1"/>
  <c r="BI175" i="1"/>
  <c r="BI176" i="1"/>
  <c r="BI177" i="1"/>
  <c r="BI178" i="1"/>
  <c r="BI179" i="1"/>
  <c r="BI180" i="1"/>
  <c r="BI181" i="1"/>
  <c r="BI182" i="1"/>
  <c r="BI183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03" i="1"/>
  <c r="BI204" i="1"/>
  <c r="BI205" i="1"/>
  <c r="BI206" i="1"/>
  <c r="BI207" i="1"/>
  <c r="BI208" i="1"/>
  <c r="BI209" i="1"/>
  <c r="BI210" i="1"/>
  <c r="BI211" i="1"/>
  <c r="BI212" i="1"/>
  <c r="BI213" i="1"/>
  <c r="BI214" i="1"/>
  <c r="BI215" i="1"/>
  <c r="BI216" i="1"/>
  <c r="BI217" i="1"/>
  <c r="BI218" i="1"/>
  <c r="BI219" i="1"/>
  <c r="BI220" i="1"/>
  <c r="BI221" i="1"/>
  <c r="BI222" i="1"/>
  <c r="BI223" i="1"/>
  <c r="BI224" i="1"/>
  <c r="BI225" i="1"/>
  <c r="BI226" i="1"/>
  <c r="BI227" i="1"/>
  <c r="BI228" i="1"/>
  <c r="BI229" i="1"/>
  <c r="BI230" i="1"/>
  <c r="BI231" i="1"/>
  <c r="BI232" i="1"/>
  <c r="BI233" i="1"/>
  <c r="BI234" i="1"/>
  <c r="BI235" i="1"/>
  <c r="BI236" i="1"/>
  <c r="BI237" i="1"/>
  <c r="BI238" i="1"/>
  <c r="BI239" i="1"/>
  <c r="BI240" i="1"/>
  <c r="BI241" i="1"/>
  <c r="BI242" i="1"/>
  <c r="BI243" i="1"/>
  <c r="BI244" i="1"/>
  <c r="BI245" i="1"/>
  <c r="BI246" i="1"/>
  <c r="BI247" i="1"/>
  <c r="BI248" i="1"/>
  <c r="BI249" i="1"/>
  <c r="BI250" i="1"/>
  <c r="BI251" i="1"/>
  <c r="BI252" i="1"/>
  <c r="BI253" i="1"/>
  <c r="BI254" i="1"/>
  <c r="BI255" i="1"/>
  <c r="BI256" i="1"/>
  <c r="BI257" i="1"/>
  <c r="BI258" i="1"/>
  <c r="BI259" i="1"/>
  <c r="BI260" i="1"/>
  <c r="BI261" i="1"/>
  <c r="BI262" i="1"/>
  <c r="BI263" i="1"/>
  <c r="BI264" i="1"/>
  <c r="BI265" i="1"/>
  <c r="BI266" i="1"/>
  <c r="BI267" i="1"/>
  <c r="BI268" i="1"/>
  <c r="BI269" i="1"/>
  <c r="BI270" i="1"/>
  <c r="BI271" i="1"/>
  <c r="BI272" i="1"/>
  <c r="BI273" i="1"/>
  <c r="BI274" i="1"/>
  <c r="BI275" i="1"/>
  <c r="BI276" i="1"/>
  <c r="BI277" i="1"/>
  <c r="BI278" i="1"/>
  <c r="BI279" i="1"/>
  <c r="BI280" i="1"/>
  <c r="BI281" i="1"/>
  <c r="BI282" i="1"/>
  <c r="BI283" i="1"/>
  <c r="BI284" i="1"/>
  <c r="BI285" i="1"/>
  <c r="BI286" i="1"/>
  <c r="BI287" i="1"/>
  <c r="BI288" i="1"/>
  <c r="BI289" i="1"/>
  <c r="BI290" i="1"/>
  <c r="BI291" i="1"/>
  <c r="BI292" i="1"/>
  <c r="BI293" i="1"/>
  <c r="BI294" i="1"/>
  <c r="BI295" i="1"/>
  <c r="BI296" i="1"/>
  <c r="BI297" i="1"/>
  <c r="BI298" i="1"/>
  <c r="BI299" i="1"/>
  <c r="BI300" i="1"/>
  <c r="BI301" i="1"/>
  <c r="BI302" i="1"/>
  <c r="BI303" i="1"/>
  <c r="BI304" i="1"/>
  <c r="BI305" i="1"/>
  <c r="BI306" i="1"/>
  <c r="BI307" i="1"/>
  <c r="BI308" i="1"/>
  <c r="BI309" i="1"/>
  <c r="BI310" i="1"/>
  <c r="BI311" i="1"/>
  <c r="BI312" i="1"/>
  <c r="BI313" i="1"/>
  <c r="BI314" i="1"/>
  <c r="BI315" i="1"/>
  <c r="BI316" i="1"/>
  <c r="BI317" i="1"/>
  <c r="BI318" i="1"/>
  <c r="BI319" i="1"/>
  <c r="BI320" i="1"/>
  <c r="BI321" i="1"/>
  <c r="BI322" i="1"/>
  <c r="BI323" i="1"/>
  <c r="BI324" i="1"/>
  <c r="BI325" i="1"/>
  <c r="BI326" i="1"/>
  <c r="BI327" i="1"/>
  <c r="BI328" i="1"/>
  <c r="BI329" i="1"/>
  <c r="BI330" i="1"/>
  <c r="BI331" i="1"/>
  <c r="BI332" i="1"/>
  <c r="BI333" i="1"/>
  <c r="BI334" i="1"/>
  <c r="BI335" i="1"/>
  <c r="BI336" i="1"/>
  <c r="BI337" i="1"/>
  <c r="BI338" i="1"/>
  <c r="BI339" i="1"/>
  <c r="BI340" i="1"/>
  <c r="BI341" i="1"/>
  <c r="BI342" i="1"/>
  <c r="BI343" i="1"/>
  <c r="BI344" i="1"/>
  <c r="BI345" i="1"/>
  <c r="BI346" i="1"/>
  <c r="BI347" i="1"/>
  <c r="BI348" i="1"/>
  <c r="BI349" i="1"/>
  <c r="BI350" i="1"/>
  <c r="BI351" i="1"/>
  <c r="BI352" i="1"/>
  <c r="BI353" i="1"/>
  <c r="BI354" i="1"/>
  <c r="BI355" i="1"/>
  <c r="BI356" i="1"/>
  <c r="BZ2" i="1"/>
  <c r="BR2" i="1"/>
  <c r="CO2" i="1"/>
  <c r="CA2" i="1"/>
  <c r="CB2" i="1"/>
  <c r="CN2" i="1"/>
  <c r="CN3" i="1"/>
  <c r="CN4" i="1"/>
  <c r="CN5" i="1"/>
  <c r="CN6" i="1"/>
  <c r="CN7" i="1"/>
  <c r="CN8" i="1"/>
  <c r="CN9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62" i="1"/>
  <c r="CN63" i="1"/>
  <c r="CN64" i="1"/>
  <c r="CN65" i="1"/>
  <c r="CN66" i="1"/>
  <c r="CN67" i="1"/>
  <c r="CN68" i="1"/>
  <c r="CN69" i="1"/>
  <c r="CN70" i="1"/>
  <c r="CN71" i="1"/>
  <c r="CN72" i="1"/>
  <c r="CN73" i="1"/>
  <c r="CN74" i="1"/>
  <c r="CN75" i="1"/>
  <c r="CN76" i="1"/>
  <c r="CN77" i="1"/>
  <c r="CN78" i="1"/>
  <c r="CN79" i="1"/>
  <c r="CN80" i="1"/>
  <c r="CN81" i="1"/>
  <c r="CN82" i="1"/>
  <c r="CN83" i="1"/>
  <c r="CN84" i="1"/>
  <c r="CN85" i="1"/>
  <c r="CN86" i="1"/>
  <c r="CN87" i="1"/>
  <c r="CN88" i="1"/>
  <c r="CN89" i="1"/>
  <c r="CN90" i="1"/>
  <c r="CN91" i="1"/>
  <c r="CN92" i="1"/>
  <c r="CN93" i="1"/>
  <c r="CN94" i="1"/>
  <c r="CN95" i="1"/>
  <c r="CN96" i="1"/>
  <c r="CN97" i="1"/>
  <c r="CN98" i="1"/>
  <c r="CN99" i="1"/>
  <c r="CN100" i="1"/>
  <c r="CN101" i="1"/>
  <c r="CN102" i="1"/>
  <c r="CN103" i="1"/>
  <c r="CN104" i="1"/>
  <c r="CN105" i="1"/>
  <c r="CN106" i="1"/>
  <c r="CN107" i="1"/>
  <c r="CN108" i="1"/>
  <c r="CN109" i="1"/>
  <c r="CN110" i="1"/>
  <c r="CN111" i="1"/>
  <c r="CN112" i="1"/>
  <c r="CN113" i="1"/>
  <c r="CN114" i="1"/>
  <c r="CN115" i="1"/>
  <c r="CN116" i="1"/>
  <c r="CN117" i="1"/>
  <c r="CN118" i="1"/>
  <c r="CN119" i="1"/>
  <c r="CN120" i="1"/>
  <c r="CN121" i="1"/>
  <c r="CN122" i="1"/>
  <c r="CN123" i="1"/>
  <c r="CN124" i="1"/>
  <c r="CN125" i="1"/>
  <c r="CN126" i="1"/>
  <c r="CN127" i="1"/>
  <c r="CN128" i="1"/>
  <c r="CN129" i="1"/>
  <c r="CN130" i="1"/>
  <c r="CN131" i="1"/>
  <c r="CN132" i="1"/>
  <c r="CN133" i="1"/>
  <c r="CN134" i="1"/>
  <c r="CN135" i="1"/>
  <c r="CN136" i="1"/>
  <c r="CN137" i="1"/>
  <c r="CN138" i="1"/>
  <c r="CN139" i="1"/>
  <c r="CN140" i="1"/>
  <c r="CN141" i="1"/>
  <c r="CN142" i="1"/>
  <c r="CN143" i="1"/>
  <c r="CN144" i="1"/>
  <c r="CN145" i="1"/>
  <c r="CN146" i="1"/>
  <c r="CN147" i="1"/>
  <c r="CN148" i="1"/>
  <c r="CN149" i="1"/>
  <c r="CN150" i="1"/>
  <c r="CN151" i="1"/>
  <c r="CN152" i="1"/>
  <c r="CN153" i="1"/>
  <c r="CN154" i="1"/>
  <c r="CN155" i="1"/>
  <c r="CN156" i="1"/>
  <c r="CN157" i="1"/>
  <c r="CN158" i="1"/>
  <c r="CN159" i="1"/>
  <c r="CN160" i="1"/>
  <c r="CN161" i="1"/>
  <c r="CN162" i="1"/>
  <c r="CN163" i="1"/>
  <c r="CN164" i="1"/>
  <c r="CN165" i="1"/>
  <c r="CN166" i="1"/>
  <c r="CN167" i="1"/>
  <c r="CN168" i="1"/>
  <c r="CN169" i="1"/>
  <c r="CN170" i="1"/>
  <c r="CN171" i="1"/>
  <c r="CN172" i="1"/>
  <c r="CN173" i="1"/>
  <c r="CN174" i="1"/>
  <c r="CN175" i="1"/>
  <c r="CN176" i="1"/>
  <c r="CN177" i="1"/>
  <c r="CN178" i="1"/>
  <c r="CN179" i="1"/>
  <c r="CN180" i="1"/>
  <c r="CN181" i="1"/>
  <c r="CN182" i="1"/>
  <c r="CN183" i="1"/>
  <c r="CN184" i="1"/>
  <c r="CN185" i="1"/>
  <c r="CN186" i="1"/>
  <c r="CN187" i="1"/>
  <c r="CN188" i="1"/>
  <c r="CN189" i="1"/>
  <c r="CN190" i="1"/>
  <c r="CN191" i="1"/>
  <c r="CN192" i="1"/>
  <c r="CN193" i="1"/>
  <c r="CN194" i="1"/>
  <c r="CN195" i="1"/>
  <c r="CN196" i="1"/>
  <c r="CN197" i="1"/>
  <c r="CN198" i="1"/>
  <c r="CN199" i="1"/>
  <c r="CN200" i="1"/>
  <c r="CN201" i="1"/>
  <c r="CN202" i="1"/>
  <c r="CN203" i="1"/>
  <c r="CN204" i="1"/>
  <c r="CN205" i="1"/>
  <c r="CN206" i="1"/>
  <c r="CN207" i="1"/>
  <c r="CN208" i="1"/>
  <c r="CN209" i="1"/>
  <c r="CN210" i="1"/>
  <c r="CN211" i="1"/>
  <c r="CN212" i="1"/>
  <c r="CN213" i="1"/>
  <c r="CN214" i="1"/>
  <c r="CN215" i="1"/>
  <c r="CN216" i="1"/>
  <c r="CN217" i="1"/>
  <c r="CN218" i="1"/>
  <c r="CN219" i="1"/>
  <c r="CN220" i="1"/>
  <c r="CN221" i="1"/>
  <c r="CN222" i="1"/>
  <c r="CN223" i="1"/>
  <c r="CN224" i="1"/>
  <c r="CN225" i="1"/>
  <c r="CN226" i="1"/>
  <c r="CN227" i="1"/>
  <c r="CN228" i="1"/>
  <c r="CN229" i="1"/>
  <c r="CN230" i="1"/>
  <c r="CN231" i="1"/>
  <c r="CN232" i="1"/>
  <c r="CN233" i="1"/>
  <c r="CN234" i="1"/>
  <c r="CN235" i="1"/>
  <c r="CN236" i="1"/>
  <c r="CN237" i="1"/>
  <c r="CN238" i="1"/>
  <c r="CN239" i="1"/>
  <c r="CN240" i="1"/>
  <c r="CN241" i="1"/>
  <c r="CN242" i="1"/>
  <c r="CN243" i="1"/>
  <c r="CN244" i="1"/>
  <c r="CN245" i="1"/>
  <c r="CN246" i="1"/>
  <c r="CN247" i="1"/>
  <c r="CN248" i="1"/>
  <c r="CN249" i="1"/>
  <c r="CN250" i="1"/>
  <c r="CN251" i="1"/>
  <c r="CN252" i="1"/>
  <c r="CN253" i="1"/>
  <c r="CN254" i="1"/>
  <c r="CN255" i="1"/>
  <c r="CN256" i="1"/>
  <c r="CN257" i="1"/>
  <c r="CN258" i="1"/>
  <c r="CN259" i="1"/>
  <c r="CN260" i="1"/>
  <c r="CN261" i="1"/>
  <c r="CN262" i="1"/>
  <c r="CN263" i="1"/>
  <c r="CN264" i="1"/>
  <c r="CN265" i="1"/>
  <c r="CN266" i="1"/>
  <c r="CN267" i="1"/>
  <c r="CN268" i="1"/>
  <c r="CN269" i="1"/>
  <c r="CN270" i="1"/>
  <c r="CN271" i="1"/>
  <c r="CN272" i="1"/>
  <c r="CN273" i="1"/>
  <c r="CN274" i="1"/>
  <c r="CN275" i="1"/>
  <c r="CN276" i="1"/>
  <c r="CN277" i="1"/>
  <c r="CN278" i="1"/>
  <c r="CN279" i="1"/>
  <c r="CN280" i="1"/>
  <c r="CN281" i="1"/>
  <c r="CN282" i="1"/>
  <c r="CN283" i="1"/>
  <c r="CN284" i="1"/>
  <c r="CN285" i="1"/>
  <c r="CN286" i="1"/>
  <c r="CN287" i="1"/>
  <c r="CN288" i="1"/>
  <c r="CN289" i="1"/>
  <c r="CN290" i="1"/>
  <c r="CN291" i="1"/>
  <c r="CN292" i="1"/>
  <c r="CN293" i="1"/>
  <c r="CN294" i="1"/>
  <c r="CN295" i="1"/>
  <c r="CN296" i="1"/>
  <c r="CN297" i="1"/>
  <c r="CN298" i="1"/>
  <c r="CN299" i="1"/>
  <c r="CN300" i="1"/>
  <c r="CN301" i="1"/>
  <c r="CN302" i="1"/>
  <c r="CN303" i="1"/>
  <c r="CN304" i="1"/>
  <c r="CN305" i="1"/>
  <c r="CN306" i="1"/>
  <c r="CN307" i="1"/>
  <c r="CN308" i="1"/>
  <c r="CN309" i="1"/>
  <c r="CN310" i="1"/>
  <c r="CN311" i="1"/>
  <c r="CN312" i="1"/>
  <c r="CN313" i="1"/>
  <c r="CN314" i="1"/>
  <c r="CN315" i="1"/>
  <c r="CN316" i="1"/>
  <c r="CN317" i="1"/>
  <c r="CN318" i="1"/>
  <c r="CN319" i="1"/>
  <c r="CN320" i="1"/>
  <c r="CN321" i="1"/>
  <c r="CN322" i="1"/>
  <c r="CN323" i="1"/>
  <c r="CN324" i="1"/>
  <c r="CN325" i="1"/>
  <c r="CN326" i="1"/>
  <c r="CN327" i="1"/>
  <c r="CN328" i="1"/>
  <c r="CN329" i="1"/>
  <c r="CN330" i="1"/>
  <c r="CN331" i="1"/>
  <c r="CN332" i="1"/>
  <c r="CN333" i="1"/>
  <c r="CN334" i="1"/>
  <c r="CN335" i="1"/>
  <c r="CN336" i="1"/>
  <c r="CN337" i="1"/>
  <c r="CN338" i="1"/>
  <c r="CN339" i="1"/>
  <c r="CN340" i="1"/>
  <c r="CN341" i="1"/>
  <c r="CN342" i="1"/>
  <c r="CN343" i="1"/>
  <c r="CN344" i="1"/>
  <c r="CN345" i="1"/>
  <c r="CN346" i="1"/>
  <c r="CN347" i="1"/>
  <c r="CN348" i="1"/>
  <c r="CN349" i="1"/>
  <c r="CN350" i="1"/>
  <c r="CN351" i="1"/>
  <c r="CN352" i="1"/>
  <c r="CN353" i="1"/>
  <c r="CN354" i="1"/>
  <c r="CN355" i="1"/>
  <c r="CN356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CM2" i="1"/>
  <c r="CM3" i="1"/>
  <c r="CM4" i="1"/>
  <c r="CM5" i="1"/>
  <c r="CM6" i="1"/>
  <c r="CM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M74" i="1"/>
  <c r="CM75" i="1"/>
  <c r="CM76" i="1"/>
  <c r="CM77" i="1"/>
  <c r="CM78" i="1"/>
  <c r="CM79" i="1"/>
  <c r="CM80" i="1"/>
  <c r="CM81" i="1"/>
  <c r="CM82" i="1"/>
  <c r="CM83" i="1"/>
  <c r="CM84" i="1"/>
  <c r="CM85" i="1"/>
  <c r="CM86" i="1"/>
  <c r="CM87" i="1"/>
  <c r="CM88" i="1"/>
  <c r="CM89" i="1"/>
  <c r="CM90" i="1"/>
  <c r="CM91" i="1"/>
  <c r="CM92" i="1"/>
  <c r="CM93" i="1"/>
  <c r="CM94" i="1"/>
  <c r="CM95" i="1"/>
  <c r="CM96" i="1"/>
  <c r="CM97" i="1"/>
  <c r="CM98" i="1"/>
  <c r="CM99" i="1"/>
  <c r="CM100" i="1"/>
  <c r="CM101" i="1"/>
  <c r="CM102" i="1"/>
  <c r="CM103" i="1"/>
  <c r="CM104" i="1"/>
  <c r="CM105" i="1"/>
  <c r="CM106" i="1"/>
  <c r="CM107" i="1"/>
  <c r="CM108" i="1"/>
  <c r="CM109" i="1"/>
  <c r="CM110" i="1"/>
  <c r="CM111" i="1"/>
  <c r="CM112" i="1"/>
  <c r="CM113" i="1"/>
  <c r="CM114" i="1"/>
  <c r="CM115" i="1"/>
  <c r="CM116" i="1"/>
  <c r="CM117" i="1"/>
  <c r="CM118" i="1"/>
  <c r="CM119" i="1"/>
  <c r="CM120" i="1"/>
  <c r="CM121" i="1"/>
  <c r="CM122" i="1"/>
  <c r="CM123" i="1"/>
  <c r="CM124" i="1"/>
  <c r="CM125" i="1"/>
  <c r="CM126" i="1"/>
  <c r="CM127" i="1"/>
  <c r="CM128" i="1"/>
  <c r="CM129" i="1"/>
  <c r="CM130" i="1"/>
  <c r="CM131" i="1"/>
  <c r="CM132" i="1"/>
  <c r="CM133" i="1"/>
  <c r="CM134" i="1"/>
  <c r="CM135" i="1"/>
  <c r="CM136" i="1"/>
  <c r="CM137" i="1"/>
  <c r="CM138" i="1"/>
  <c r="CM139" i="1"/>
  <c r="CM140" i="1"/>
  <c r="CM141" i="1"/>
  <c r="CM142" i="1"/>
  <c r="CM143" i="1"/>
  <c r="CM144" i="1"/>
  <c r="CM145" i="1"/>
  <c r="CM146" i="1"/>
  <c r="CM147" i="1"/>
  <c r="CM148" i="1"/>
  <c r="CM149" i="1"/>
  <c r="CM150" i="1"/>
  <c r="CM151" i="1"/>
  <c r="CM152" i="1"/>
  <c r="CM153" i="1"/>
  <c r="CM154" i="1"/>
  <c r="CM155" i="1"/>
  <c r="CM156" i="1"/>
  <c r="CM157" i="1"/>
  <c r="CM158" i="1"/>
  <c r="CM159" i="1"/>
  <c r="CM160" i="1"/>
  <c r="CM161" i="1"/>
  <c r="CM162" i="1"/>
  <c r="CM163" i="1"/>
  <c r="CM164" i="1"/>
  <c r="CM165" i="1"/>
  <c r="CM166" i="1"/>
  <c r="CM167" i="1"/>
  <c r="CM168" i="1"/>
  <c r="CM169" i="1"/>
  <c r="CM170" i="1"/>
  <c r="CM171" i="1"/>
  <c r="CM172" i="1"/>
  <c r="CM173" i="1"/>
  <c r="CM174" i="1"/>
  <c r="CM175" i="1"/>
  <c r="CM176" i="1"/>
  <c r="CM177" i="1"/>
  <c r="CM178" i="1"/>
  <c r="CM179" i="1"/>
  <c r="CM180" i="1"/>
  <c r="CM181" i="1"/>
  <c r="CM182" i="1"/>
  <c r="CM183" i="1"/>
  <c r="CM184" i="1"/>
  <c r="CM185" i="1"/>
  <c r="CM186" i="1"/>
  <c r="CM187" i="1"/>
  <c r="CM188" i="1"/>
  <c r="CM189" i="1"/>
  <c r="CM190" i="1"/>
  <c r="CM191" i="1"/>
  <c r="CM192" i="1"/>
  <c r="CM193" i="1"/>
  <c r="CM194" i="1"/>
  <c r="CM195" i="1"/>
  <c r="CM196" i="1"/>
  <c r="CM197" i="1"/>
  <c r="CM198" i="1"/>
  <c r="CM199" i="1"/>
  <c r="CM200" i="1"/>
  <c r="CM201" i="1"/>
  <c r="CM202" i="1"/>
  <c r="CM203" i="1"/>
  <c r="CM204" i="1"/>
  <c r="CM205" i="1"/>
  <c r="CM206" i="1"/>
  <c r="CM207" i="1"/>
  <c r="CM208" i="1"/>
  <c r="CM209" i="1"/>
  <c r="CM210" i="1"/>
  <c r="CM211" i="1"/>
  <c r="CM212" i="1"/>
  <c r="CM213" i="1"/>
  <c r="CM214" i="1"/>
  <c r="CM215" i="1"/>
  <c r="CM216" i="1"/>
  <c r="CM217" i="1"/>
  <c r="CM218" i="1"/>
  <c r="CM219" i="1"/>
  <c r="CM220" i="1"/>
  <c r="CM221" i="1"/>
  <c r="CM222" i="1"/>
  <c r="CM223" i="1"/>
  <c r="CM224" i="1"/>
  <c r="CM225" i="1"/>
  <c r="CM226" i="1"/>
  <c r="CM227" i="1"/>
  <c r="CM228" i="1"/>
  <c r="CM229" i="1"/>
  <c r="CM230" i="1"/>
  <c r="CM231" i="1"/>
  <c r="CM232" i="1"/>
  <c r="CM233" i="1"/>
  <c r="CM234" i="1"/>
  <c r="CM235" i="1"/>
  <c r="CM236" i="1"/>
  <c r="CM237" i="1"/>
  <c r="CM238" i="1"/>
  <c r="CM239" i="1"/>
  <c r="CM240" i="1"/>
  <c r="CM241" i="1"/>
  <c r="CM242" i="1"/>
  <c r="CM243" i="1"/>
  <c r="CM244" i="1"/>
  <c r="CM245" i="1"/>
  <c r="CM246" i="1"/>
  <c r="CM247" i="1"/>
  <c r="CM248" i="1"/>
  <c r="CM249" i="1"/>
  <c r="CM250" i="1"/>
  <c r="CM251" i="1"/>
  <c r="CM252" i="1"/>
  <c r="CM253" i="1"/>
  <c r="CM254" i="1"/>
  <c r="CM255" i="1"/>
  <c r="CM256" i="1"/>
  <c r="CM257" i="1"/>
  <c r="CM258" i="1"/>
  <c r="CM259" i="1"/>
  <c r="CM260" i="1"/>
  <c r="CM261" i="1"/>
  <c r="CM262" i="1"/>
  <c r="CM263" i="1"/>
  <c r="CM264" i="1"/>
  <c r="CM265" i="1"/>
  <c r="CM266" i="1"/>
  <c r="CM267" i="1"/>
  <c r="CM268" i="1"/>
  <c r="CM269" i="1"/>
  <c r="CM270" i="1"/>
  <c r="CM271" i="1"/>
  <c r="CM272" i="1"/>
  <c r="CM273" i="1"/>
  <c r="CM274" i="1"/>
  <c r="CM275" i="1"/>
  <c r="CM276" i="1"/>
  <c r="CM277" i="1"/>
  <c r="CM278" i="1"/>
  <c r="CM279" i="1"/>
  <c r="CM280" i="1"/>
  <c r="CM281" i="1"/>
  <c r="CM282" i="1"/>
  <c r="CM283" i="1"/>
  <c r="CM284" i="1"/>
  <c r="CM285" i="1"/>
  <c r="CM286" i="1"/>
  <c r="CM287" i="1"/>
  <c r="CM288" i="1"/>
  <c r="CM289" i="1"/>
  <c r="CM290" i="1"/>
  <c r="CM291" i="1"/>
  <c r="CM292" i="1"/>
  <c r="CM293" i="1"/>
  <c r="CM294" i="1"/>
  <c r="CM295" i="1"/>
  <c r="CM296" i="1"/>
  <c r="CM297" i="1"/>
  <c r="CM298" i="1"/>
  <c r="CM299" i="1"/>
  <c r="CM300" i="1"/>
  <c r="CM301" i="1"/>
  <c r="CM302" i="1"/>
  <c r="CM303" i="1"/>
  <c r="CM304" i="1"/>
  <c r="CM305" i="1"/>
  <c r="CM306" i="1"/>
  <c r="CM307" i="1"/>
  <c r="CM308" i="1"/>
  <c r="CM309" i="1"/>
  <c r="CM310" i="1"/>
  <c r="CM311" i="1"/>
  <c r="CM312" i="1"/>
  <c r="CM313" i="1"/>
  <c r="CM314" i="1"/>
  <c r="CM315" i="1"/>
  <c r="CM316" i="1"/>
  <c r="CM317" i="1"/>
  <c r="CM318" i="1"/>
  <c r="CM319" i="1"/>
  <c r="CM320" i="1"/>
  <c r="CM321" i="1"/>
  <c r="CM322" i="1"/>
  <c r="CM323" i="1"/>
  <c r="CM324" i="1"/>
  <c r="CM325" i="1"/>
  <c r="CM326" i="1"/>
  <c r="CM327" i="1"/>
  <c r="CM328" i="1"/>
  <c r="CM329" i="1"/>
  <c r="CM330" i="1"/>
  <c r="CM331" i="1"/>
  <c r="CM332" i="1"/>
  <c r="CM333" i="1"/>
  <c r="CM334" i="1"/>
  <c r="CM335" i="1"/>
  <c r="CM336" i="1"/>
  <c r="CM337" i="1"/>
  <c r="CM338" i="1"/>
  <c r="CM339" i="1"/>
  <c r="CM340" i="1"/>
  <c r="CM341" i="1"/>
  <c r="CM342" i="1"/>
  <c r="CM343" i="1"/>
  <c r="CM344" i="1"/>
  <c r="CM345" i="1"/>
  <c r="CM346" i="1"/>
  <c r="CM347" i="1"/>
  <c r="CM348" i="1"/>
  <c r="CM349" i="1"/>
  <c r="CM350" i="1"/>
  <c r="CM351" i="1"/>
  <c r="CM352" i="1"/>
  <c r="CM353" i="1"/>
  <c r="CM354" i="1"/>
  <c r="CM355" i="1"/>
  <c r="CM356" i="1"/>
  <c r="DJ2" i="1"/>
  <c r="DJ3" i="1"/>
  <c r="DJ4" i="1"/>
  <c r="DJ5" i="1"/>
  <c r="DJ6" i="1"/>
  <c r="DJ7" i="1"/>
  <c r="DJ8" i="1"/>
  <c r="DJ9" i="1"/>
  <c r="DJ10" i="1"/>
  <c r="DJ11" i="1"/>
  <c r="DJ12" i="1"/>
  <c r="DJ13" i="1"/>
  <c r="DJ14" i="1"/>
  <c r="DJ15" i="1"/>
  <c r="DJ16" i="1"/>
  <c r="DJ17" i="1"/>
  <c r="DJ18" i="1"/>
  <c r="DJ19" i="1"/>
  <c r="DJ20" i="1"/>
  <c r="DJ21" i="1"/>
  <c r="DJ22" i="1"/>
  <c r="DJ23" i="1"/>
  <c r="DJ24" i="1"/>
  <c r="DJ25" i="1"/>
  <c r="DJ26" i="1"/>
  <c r="DJ27" i="1"/>
  <c r="DJ28" i="1"/>
  <c r="DJ29" i="1"/>
  <c r="DJ30" i="1"/>
  <c r="DJ31" i="1"/>
  <c r="DJ32" i="1"/>
  <c r="DJ33" i="1"/>
  <c r="DJ34" i="1"/>
  <c r="DJ35" i="1"/>
  <c r="DJ36" i="1"/>
  <c r="DJ37" i="1"/>
  <c r="DJ38" i="1"/>
  <c r="DJ39" i="1"/>
  <c r="DJ40" i="1"/>
  <c r="DJ41" i="1"/>
  <c r="DJ42" i="1"/>
  <c r="DJ43" i="1"/>
  <c r="DJ44" i="1"/>
  <c r="DJ45" i="1"/>
  <c r="DJ46" i="1"/>
  <c r="DJ47" i="1"/>
  <c r="DJ48" i="1"/>
  <c r="DJ49" i="1"/>
  <c r="DJ50" i="1"/>
  <c r="DJ51" i="1"/>
  <c r="DJ52" i="1"/>
  <c r="DJ53" i="1"/>
  <c r="DJ54" i="1"/>
  <c r="DJ55" i="1"/>
  <c r="DJ56" i="1"/>
  <c r="DJ57" i="1"/>
  <c r="DJ58" i="1"/>
  <c r="DJ59" i="1"/>
  <c r="DJ60" i="1"/>
  <c r="DJ61" i="1"/>
  <c r="DJ62" i="1"/>
  <c r="DJ63" i="1"/>
  <c r="DJ64" i="1"/>
  <c r="DJ65" i="1"/>
  <c r="DJ66" i="1"/>
  <c r="DJ67" i="1"/>
  <c r="DJ68" i="1"/>
  <c r="DJ69" i="1"/>
  <c r="DJ70" i="1"/>
  <c r="DJ71" i="1"/>
  <c r="DJ72" i="1"/>
  <c r="DJ73" i="1"/>
  <c r="DJ74" i="1"/>
  <c r="DJ75" i="1"/>
  <c r="DJ76" i="1"/>
  <c r="DJ77" i="1"/>
  <c r="DJ78" i="1"/>
  <c r="DJ79" i="1"/>
  <c r="DJ80" i="1"/>
  <c r="DJ81" i="1"/>
  <c r="DJ82" i="1"/>
  <c r="DJ83" i="1"/>
  <c r="DJ84" i="1"/>
  <c r="DJ85" i="1"/>
  <c r="DJ86" i="1"/>
  <c r="DJ87" i="1"/>
  <c r="DJ88" i="1"/>
  <c r="DJ89" i="1"/>
  <c r="DJ90" i="1"/>
  <c r="DJ91" i="1"/>
  <c r="DJ92" i="1"/>
  <c r="DJ93" i="1"/>
  <c r="DJ94" i="1"/>
  <c r="DJ95" i="1"/>
  <c r="DJ96" i="1"/>
  <c r="DJ97" i="1"/>
  <c r="DJ98" i="1"/>
  <c r="DJ99" i="1"/>
  <c r="DJ100" i="1"/>
  <c r="DJ101" i="1"/>
  <c r="DJ102" i="1"/>
  <c r="DJ103" i="1"/>
  <c r="DJ104" i="1"/>
  <c r="DJ105" i="1"/>
  <c r="DJ106" i="1"/>
  <c r="DJ107" i="1"/>
  <c r="DJ108" i="1"/>
  <c r="DJ109" i="1"/>
  <c r="DJ110" i="1"/>
  <c r="DJ111" i="1"/>
  <c r="DJ112" i="1"/>
  <c r="DJ113" i="1"/>
  <c r="DJ114" i="1"/>
  <c r="DJ115" i="1"/>
  <c r="DJ116" i="1"/>
  <c r="DJ117" i="1"/>
  <c r="DJ118" i="1"/>
  <c r="DJ119" i="1"/>
  <c r="DJ120" i="1"/>
  <c r="DJ121" i="1"/>
  <c r="DJ122" i="1"/>
  <c r="DJ123" i="1"/>
  <c r="DJ124" i="1"/>
  <c r="DJ125" i="1"/>
  <c r="DJ126" i="1"/>
  <c r="DJ127" i="1"/>
  <c r="DJ128" i="1"/>
  <c r="DJ129" i="1"/>
  <c r="DJ130" i="1"/>
  <c r="DJ131" i="1"/>
  <c r="DJ132" i="1"/>
  <c r="DJ133" i="1"/>
  <c r="DJ134" i="1"/>
  <c r="DJ135" i="1"/>
  <c r="DJ136" i="1"/>
  <c r="DJ137" i="1"/>
  <c r="DJ138" i="1"/>
  <c r="DJ139" i="1"/>
  <c r="DJ140" i="1"/>
  <c r="DJ141" i="1"/>
  <c r="DJ142" i="1"/>
  <c r="DJ143" i="1"/>
  <c r="DJ144" i="1"/>
  <c r="DJ145" i="1"/>
  <c r="DJ146" i="1"/>
  <c r="DJ147" i="1"/>
  <c r="DJ148" i="1"/>
  <c r="DJ149" i="1"/>
  <c r="DJ150" i="1"/>
  <c r="DJ151" i="1"/>
  <c r="DJ152" i="1"/>
  <c r="DJ153" i="1"/>
  <c r="DJ154" i="1"/>
  <c r="DJ155" i="1"/>
  <c r="DJ156" i="1"/>
  <c r="DJ157" i="1"/>
  <c r="DJ158" i="1"/>
  <c r="DJ159" i="1"/>
  <c r="DJ160" i="1"/>
  <c r="DJ161" i="1"/>
  <c r="DJ162" i="1"/>
  <c r="DJ163" i="1"/>
  <c r="DJ164" i="1"/>
  <c r="DJ165" i="1"/>
  <c r="DJ166" i="1"/>
  <c r="DJ167" i="1"/>
  <c r="DJ168" i="1"/>
  <c r="DJ169" i="1"/>
  <c r="DJ170" i="1"/>
  <c r="DJ171" i="1"/>
  <c r="DJ172" i="1"/>
  <c r="DJ173" i="1"/>
  <c r="DJ174" i="1"/>
  <c r="DJ175" i="1"/>
  <c r="DJ176" i="1"/>
  <c r="DJ177" i="1"/>
  <c r="DJ178" i="1"/>
  <c r="DJ179" i="1"/>
  <c r="DJ180" i="1"/>
  <c r="DJ181" i="1"/>
  <c r="DJ182" i="1"/>
  <c r="DJ183" i="1"/>
  <c r="DJ184" i="1"/>
  <c r="DJ185" i="1"/>
  <c r="DJ186" i="1"/>
  <c r="DJ187" i="1"/>
  <c r="DJ188" i="1"/>
  <c r="DJ189" i="1"/>
  <c r="DJ190" i="1"/>
  <c r="DJ191" i="1"/>
  <c r="DJ192" i="1"/>
  <c r="DJ193" i="1"/>
  <c r="DJ194" i="1"/>
  <c r="DJ195" i="1"/>
  <c r="DJ196" i="1"/>
  <c r="DJ197" i="1"/>
  <c r="DJ198" i="1"/>
  <c r="DJ199" i="1"/>
  <c r="DJ200" i="1"/>
  <c r="DJ201" i="1"/>
  <c r="DJ202" i="1"/>
  <c r="DJ203" i="1"/>
  <c r="DJ204" i="1"/>
  <c r="DJ205" i="1"/>
  <c r="DJ206" i="1"/>
  <c r="DJ207" i="1"/>
  <c r="DJ208" i="1"/>
  <c r="DJ209" i="1"/>
  <c r="DJ210" i="1"/>
  <c r="DJ211" i="1"/>
  <c r="DJ212" i="1"/>
  <c r="DJ213" i="1"/>
  <c r="DJ214" i="1"/>
  <c r="DJ215" i="1"/>
  <c r="DJ216" i="1"/>
  <c r="DJ217" i="1"/>
  <c r="DJ218" i="1"/>
  <c r="DJ219" i="1"/>
  <c r="DJ220" i="1"/>
  <c r="DJ221" i="1"/>
  <c r="DJ222" i="1"/>
  <c r="DJ223" i="1"/>
  <c r="DJ224" i="1"/>
  <c r="DJ225" i="1"/>
  <c r="DJ226" i="1"/>
  <c r="DJ227" i="1"/>
  <c r="DJ228" i="1"/>
  <c r="DJ229" i="1"/>
  <c r="DJ230" i="1"/>
  <c r="DJ231" i="1"/>
  <c r="DJ232" i="1"/>
  <c r="DJ233" i="1"/>
  <c r="DJ234" i="1"/>
  <c r="DJ235" i="1"/>
  <c r="DJ236" i="1"/>
  <c r="DJ237" i="1"/>
  <c r="DJ238" i="1"/>
  <c r="DJ239" i="1"/>
  <c r="DJ240" i="1"/>
  <c r="DJ241" i="1"/>
  <c r="DJ242" i="1"/>
  <c r="DJ243" i="1"/>
  <c r="DJ244" i="1"/>
  <c r="DJ245" i="1"/>
  <c r="DJ246" i="1"/>
  <c r="DJ247" i="1"/>
  <c r="DJ248" i="1"/>
  <c r="DJ249" i="1"/>
  <c r="DJ250" i="1"/>
  <c r="DJ251" i="1"/>
  <c r="DJ252" i="1"/>
  <c r="DJ253" i="1"/>
  <c r="DJ254" i="1"/>
  <c r="DJ255" i="1"/>
  <c r="DJ256" i="1"/>
  <c r="DJ257" i="1"/>
  <c r="DJ258" i="1"/>
  <c r="DJ259" i="1"/>
  <c r="DJ260" i="1"/>
  <c r="DJ261" i="1"/>
  <c r="DJ262" i="1"/>
  <c r="DJ263" i="1"/>
  <c r="DJ264" i="1"/>
  <c r="DJ265" i="1"/>
  <c r="DJ266" i="1"/>
  <c r="DJ267" i="1"/>
  <c r="DJ268" i="1"/>
  <c r="DJ269" i="1"/>
  <c r="DJ270" i="1"/>
  <c r="DJ271" i="1"/>
  <c r="DJ272" i="1"/>
  <c r="DJ273" i="1"/>
  <c r="DJ274" i="1"/>
  <c r="DJ275" i="1"/>
  <c r="DJ276" i="1"/>
  <c r="DJ277" i="1"/>
  <c r="DJ278" i="1"/>
  <c r="DJ279" i="1"/>
  <c r="DJ280" i="1"/>
  <c r="DJ281" i="1"/>
  <c r="DJ282" i="1"/>
  <c r="DJ283" i="1"/>
  <c r="DJ284" i="1"/>
  <c r="DJ285" i="1"/>
  <c r="DJ286" i="1"/>
  <c r="DJ287" i="1"/>
  <c r="DJ288" i="1"/>
  <c r="DJ289" i="1"/>
  <c r="DJ290" i="1"/>
  <c r="DJ291" i="1"/>
  <c r="DJ292" i="1"/>
  <c r="DJ293" i="1"/>
  <c r="DJ294" i="1"/>
  <c r="DJ295" i="1"/>
  <c r="DJ296" i="1"/>
  <c r="DJ297" i="1"/>
  <c r="DJ298" i="1"/>
  <c r="DJ299" i="1"/>
  <c r="DJ300" i="1"/>
  <c r="DJ301" i="1"/>
  <c r="DJ302" i="1"/>
  <c r="DJ303" i="1"/>
  <c r="DJ304" i="1"/>
  <c r="DJ305" i="1"/>
  <c r="DJ306" i="1"/>
  <c r="DJ307" i="1"/>
  <c r="DJ308" i="1"/>
  <c r="DJ309" i="1"/>
  <c r="DJ310" i="1"/>
  <c r="DJ311" i="1"/>
  <c r="DJ312" i="1"/>
  <c r="DJ313" i="1"/>
  <c r="DJ314" i="1"/>
  <c r="DJ315" i="1"/>
  <c r="DJ316" i="1"/>
  <c r="DJ317" i="1"/>
  <c r="DJ318" i="1"/>
  <c r="DJ319" i="1"/>
  <c r="DJ320" i="1"/>
  <c r="DJ321" i="1"/>
  <c r="DJ322" i="1"/>
  <c r="DJ323" i="1"/>
  <c r="DJ324" i="1"/>
  <c r="DJ325" i="1"/>
  <c r="DJ326" i="1"/>
  <c r="DJ327" i="1"/>
  <c r="DJ328" i="1"/>
  <c r="DJ329" i="1"/>
  <c r="DJ330" i="1"/>
  <c r="DJ331" i="1"/>
  <c r="DJ332" i="1"/>
  <c r="DJ333" i="1"/>
  <c r="DJ334" i="1"/>
  <c r="DJ335" i="1"/>
  <c r="DJ336" i="1"/>
  <c r="DJ337" i="1"/>
  <c r="DJ338" i="1"/>
  <c r="DJ339" i="1"/>
  <c r="DJ340" i="1"/>
  <c r="DJ341" i="1"/>
  <c r="DJ342" i="1"/>
  <c r="DJ343" i="1"/>
  <c r="DJ344" i="1"/>
  <c r="DJ345" i="1"/>
  <c r="DJ346" i="1"/>
  <c r="DJ347" i="1"/>
  <c r="DJ348" i="1"/>
  <c r="DJ349" i="1"/>
  <c r="DJ350" i="1"/>
  <c r="DJ351" i="1"/>
  <c r="DJ352" i="1"/>
  <c r="DJ353" i="1"/>
  <c r="DJ354" i="1"/>
  <c r="DJ355" i="1"/>
  <c r="DJ356" i="1"/>
  <c r="DI2" i="1"/>
  <c r="DI3" i="1"/>
  <c r="DI4" i="1"/>
  <c r="DI5" i="1"/>
  <c r="DI6" i="1"/>
  <c r="DI7" i="1"/>
  <c r="DI8" i="1"/>
  <c r="DI9" i="1"/>
  <c r="DI10" i="1"/>
  <c r="DI11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62" i="1"/>
  <c r="DI63" i="1"/>
  <c r="DI64" i="1"/>
  <c r="DI65" i="1"/>
  <c r="DI66" i="1"/>
  <c r="DI67" i="1"/>
  <c r="DI68" i="1"/>
  <c r="DI69" i="1"/>
  <c r="DI70" i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01" i="1"/>
  <c r="DI102" i="1"/>
  <c r="DI103" i="1"/>
  <c r="DI104" i="1"/>
  <c r="DI105" i="1"/>
  <c r="DI106" i="1"/>
  <c r="DI107" i="1"/>
  <c r="DI108" i="1"/>
  <c r="DI109" i="1"/>
  <c r="DI110" i="1"/>
  <c r="DI111" i="1"/>
  <c r="DI112" i="1"/>
  <c r="DI113" i="1"/>
  <c r="DI114" i="1"/>
  <c r="DI115" i="1"/>
  <c r="DI116" i="1"/>
  <c r="DI117" i="1"/>
  <c r="DI118" i="1"/>
  <c r="DI119" i="1"/>
  <c r="DI120" i="1"/>
  <c r="DI121" i="1"/>
  <c r="DI122" i="1"/>
  <c r="DI123" i="1"/>
  <c r="DI124" i="1"/>
  <c r="DI125" i="1"/>
  <c r="DI126" i="1"/>
  <c r="DI127" i="1"/>
  <c r="DI128" i="1"/>
  <c r="DI129" i="1"/>
  <c r="DI130" i="1"/>
  <c r="DI131" i="1"/>
  <c r="DI132" i="1"/>
  <c r="DI133" i="1"/>
  <c r="DI134" i="1"/>
  <c r="DI135" i="1"/>
  <c r="DI136" i="1"/>
  <c r="DI137" i="1"/>
  <c r="DI138" i="1"/>
  <c r="DI139" i="1"/>
  <c r="DI140" i="1"/>
  <c r="DI141" i="1"/>
  <c r="DI142" i="1"/>
  <c r="DI143" i="1"/>
  <c r="DI144" i="1"/>
  <c r="DI145" i="1"/>
  <c r="DI146" i="1"/>
  <c r="DI147" i="1"/>
  <c r="DI148" i="1"/>
  <c r="DI149" i="1"/>
  <c r="DI150" i="1"/>
  <c r="DI151" i="1"/>
  <c r="DI152" i="1"/>
  <c r="DI153" i="1"/>
  <c r="DI154" i="1"/>
  <c r="DI155" i="1"/>
  <c r="DI156" i="1"/>
  <c r="DI157" i="1"/>
  <c r="DI158" i="1"/>
  <c r="DI159" i="1"/>
  <c r="DI160" i="1"/>
  <c r="DI161" i="1"/>
  <c r="DI162" i="1"/>
  <c r="DI163" i="1"/>
  <c r="DI164" i="1"/>
  <c r="DI165" i="1"/>
  <c r="DI166" i="1"/>
  <c r="DI167" i="1"/>
  <c r="DI168" i="1"/>
  <c r="DI169" i="1"/>
  <c r="DI170" i="1"/>
  <c r="DI171" i="1"/>
  <c r="DI172" i="1"/>
  <c r="DI173" i="1"/>
  <c r="DI174" i="1"/>
  <c r="DI175" i="1"/>
  <c r="DI176" i="1"/>
  <c r="DI177" i="1"/>
  <c r="DI178" i="1"/>
  <c r="DI179" i="1"/>
  <c r="DI180" i="1"/>
  <c r="DI181" i="1"/>
  <c r="DI182" i="1"/>
  <c r="DI183" i="1"/>
  <c r="DI184" i="1"/>
  <c r="DI185" i="1"/>
  <c r="DI186" i="1"/>
  <c r="DI187" i="1"/>
  <c r="DI188" i="1"/>
  <c r="DI189" i="1"/>
  <c r="DI190" i="1"/>
  <c r="DI191" i="1"/>
  <c r="DI192" i="1"/>
  <c r="DI193" i="1"/>
  <c r="DI194" i="1"/>
  <c r="DI195" i="1"/>
  <c r="DI196" i="1"/>
  <c r="DI197" i="1"/>
  <c r="DI198" i="1"/>
  <c r="DI199" i="1"/>
  <c r="DI200" i="1"/>
  <c r="DI201" i="1"/>
  <c r="DI202" i="1"/>
  <c r="DI203" i="1"/>
  <c r="DI204" i="1"/>
  <c r="DI205" i="1"/>
  <c r="DI206" i="1"/>
  <c r="DI207" i="1"/>
  <c r="DI208" i="1"/>
  <c r="DI209" i="1"/>
  <c r="DI210" i="1"/>
  <c r="DI211" i="1"/>
  <c r="DI212" i="1"/>
  <c r="DI213" i="1"/>
  <c r="DI214" i="1"/>
  <c r="DI215" i="1"/>
  <c r="DI216" i="1"/>
  <c r="DI217" i="1"/>
  <c r="DI218" i="1"/>
  <c r="DI219" i="1"/>
  <c r="DI220" i="1"/>
  <c r="DI221" i="1"/>
  <c r="DI222" i="1"/>
  <c r="DI223" i="1"/>
  <c r="DI224" i="1"/>
  <c r="DI225" i="1"/>
  <c r="DI226" i="1"/>
  <c r="DI227" i="1"/>
  <c r="DI228" i="1"/>
  <c r="DI229" i="1"/>
  <c r="DI230" i="1"/>
  <c r="DI231" i="1"/>
  <c r="DI232" i="1"/>
  <c r="DI233" i="1"/>
  <c r="DI234" i="1"/>
  <c r="DI235" i="1"/>
  <c r="DI236" i="1"/>
  <c r="DI237" i="1"/>
  <c r="DI238" i="1"/>
  <c r="DI239" i="1"/>
  <c r="DI240" i="1"/>
  <c r="DI241" i="1"/>
  <c r="DI242" i="1"/>
  <c r="DI243" i="1"/>
  <c r="DI244" i="1"/>
  <c r="DI245" i="1"/>
  <c r="DI246" i="1"/>
  <c r="DI247" i="1"/>
  <c r="DI248" i="1"/>
  <c r="DI249" i="1"/>
  <c r="DI250" i="1"/>
  <c r="DI251" i="1"/>
  <c r="DI252" i="1"/>
  <c r="DI253" i="1"/>
  <c r="DI254" i="1"/>
  <c r="DI255" i="1"/>
  <c r="DI256" i="1"/>
  <c r="DI257" i="1"/>
  <c r="DI258" i="1"/>
  <c r="DI259" i="1"/>
  <c r="DI260" i="1"/>
  <c r="DI261" i="1"/>
  <c r="DI262" i="1"/>
  <c r="DI263" i="1"/>
  <c r="DI264" i="1"/>
  <c r="DI265" i="1"/>
  <c r="DI266" i="1"/>
  <c r="DI267" i="1"/>
  <c r="DI268" i="1"/>
  <c r="DI269" i="1"/>
  <c r="DI270" i="1"/>
  <c r="DI271" i="1"/>
  <c r="DI272" i="1"/>
  <c r="DI273" i="1"/>
  <c r="DI274" i="1"/>
  <c r="DI275" i="1"/>
  <c r="DI276" i="1"/>
  <c r="DI277" i="1"/>
  <c r="DI278" i="1"/>
  <c r="DI279" i="1"/>
  <c r="DI280" i="1"/>
  <c r="DI281" i="1"/>
  <c r="DI282" i="1"/>
  <c r="DI283" i="1"/>
  <c r="DI284" i="1"/>
  <c r="DI285" i="1"/>
  <c r="DI286" i="1"/>
  <c r="DI287" i="1"/>
  <c r="DI288" i="1"/>
  <c r="DI289" i="1"/>
  <c r="DI290" i="1"/>
  <c r="DI291" i="1"/>
  <c r="DI292" i="1"/>
  <c r="DI293" i="1"/>
  <c r="DI294" i="1"/>
  <c r="DI295" i="1"/>
  <c r="DI296" i="1"/>
  <c r="DI297" i="1"/>
  <c r="DI298" i="1"/>
  <c r="DI299" i="1"/>
  <c r="DI300" i="1"/>
  <c r="DI301" i="1"/>
  <c r="DI302" i="1"/>
  <c r="DI303" i="1"/>
  <c r="DI304" i="1"/>
  <c r="DI305" i="1"/>
  <c r="DI306" i="1"/>
  <c r="DI307" i="1"/>
  <c r="DI308" i="1"/>
  <c r="DI309" i="1"/>
  <c r="DI310" i="1"/>
  <c r="DI311" i="1"/>
  <c r="DI312" i="1"/>
  <c r="DI313" i="1"/>
  <c r="DI314" i="1"/>
  <c r="DI315" i="1"/>
  <c r="DI316" i="1"/>
  <c r="DI317" i="1"/>
  <c r="DI318" i="1"/>
  <c r="DI319" i="1"/>
  <c r="DI320" i="1"/>
  <c r="DI321" i="1"/>
  <c r="DI322" i="1"/>
  <c r="DI323" i="1"/>
  <c r="DI324" i="1"/>
  <c r="DI325" i="1"/>
  <c r="DI326" i="1"/>
  <c r="DI327" i="1"/>
  <c r="DI328" i="1"/>
  <c r="DI329" i="1"/>
  <c r="DI330" i="1"/>
  <c r="DI331" i="1"/>
  <c r="DI332" i="1"/>
  <c r="DI333" i="1"/>
  <c r="DI334" i="1"/>
  <c r="DI335" i="1"/>
  <c r="DI336" i="1"/>
  <c r="DI337" i="1"/>
  <c r="DI338" i="1"/>
  <c r="DI339" i="1"/>
  <c r="DI340" i="1"/>
  <c r="DI341" i="1"/>
  <c r="DI342" i="1"/>
  <c r="DI343" i="1"/>
  <c r="DI344" i="1"/>
  <c r="DI345" i="1"/>
  <c r="DI346" i="1"/>
  <c r="DI347" i="1"/>
  <c r="DI348" i="1"/>
  <c r="DI349" i="1"/>
  <c r="DI350" i="1"/>
  <c r="DI351" i="1"/>
  <c r="DI352" i="1"/>
  <c r="DI353" i="1"/>
  <c r="DI354" i="1"/>
  <c r="DI355" i="1"/>
  <c r="DI356" i="1"/>
  <c r="DB2" i="1"/>
  <c r="DB3" i="1"/>
  <c r="DB4" i="1"/>
  <c r="DB5" i="1"/>
  <c r="DB6" i="1"/>
  <c r="DB7" i="1"/>
  <c r="DB8" i="1"/>
  <c r="DB9" i="1"/>
  <c r="DB10" i="1"/>
  <c r="DB11" i="1"/>
  <c r="DB12" i="1"/>
  <c r="DB13" i="1"/>
  <c r="DB14" i="1"/>
  <c r="DB15" i="1"/>
  <c r="DB16" i="1"/>
  <c r="DB17" i="1"/>
  <c r="DB18" i="1"/>
  <c r="DB19" i="1"/>
  <c r="DB20" i="1"/>
  <c r="DB21" i="1"/>
  <c r="DB22" i="1"/>
  <c r="DB23" i="1"/>
  <c r="DB24" i="1"/>
  <c r="DB25" i="1"/>
  <c r="DB26" i="1"/>
  <c r="DB27" i="1"/>
  <c r="DB28" i="1"/>
  <c r="DB29" i="1"/>
  <c r="DB30" i="1"/>
  <c r="DB31" i="1"/>
  <c r="DB32" i="1"/>
  <c r="DB33" i="1"/>
  <c r="DB34" i="1"/>
  <c r="DB35" i="1"/>
  <c r="DB36" i="1"/>
  <c r="DB37" i="1"/>
  <c r="DB38" i="1"/>
  <c r="DB39" i="1"/>
  <c r="DB40" i="1"/>
  <c r="DB41" i="1"/>
  <c r="DB42" i="1"/>
  <c r="DB43" i="1"/>
  <c r="DB44" i="1"/>
  <c r="DB45" i="1"/>
  <c r="DB46" i="1"/>
  <c r="DB47" i="1"/>
  <c r="DB48" i="1"/>
  <c r="DB49" i="1"/>
  <c r="DB50" i="1"/>
  <c r="DB51" i="1"/>
  <c r="DB52" i="1"/>
  <c r="DB53" i="1"/>
  <c r="DB54" i="1"/>
  <c r="DB55" i="1"/>
  <c r="DB56" i="1"/>
  <c r="DB57" i="1"/>
  <c r="DB58" i="1"/>
  <c r="DB59" i="1"/>
  <c r="DB60" i="1"/>
  <c r="DB61" i="1"/>
  <c r="DB62" i="1"/>
  <c r="DB63" i="1"/>
  <c r="DB64" i="1"/>
  <c r="DB65" i="1"/>
  <c r="DB66" i="1"/>
  <c r="DB67" i="1"/>
  <c r="DB68" i="1"/>
  <c r="DB69" i="1"/>
  <c r="DB70" i="1"/>
  <c r="DB71" i="1"/>
  <c r="DB72" i="1"/>
  <c r="DB73" i="1"/>
  <c r="DB74" i="1"/>
  <c r="DB75" i="1"/>
  <c r="DB76" i="1"/>
  <c r="DB77" i="1"/>
  <c r="DB78" i="1"/>
  <c r="DB79" i="1"/>
  <c r="DB80" i="1"/>
  <c r="DB81" i="1"/>
  <c r="DB82" i="1"/>
  <c r="DB83" i="1"/>
  <c r="DB84" i="1"/>
  <c r="DB85" i="1"/>
  <c r="DB86" i="1"/>
  <c r="DB87" i="1"/>
  <c r="DB88" i="1"/>
  <c r="DB89" i="1"/>
  <c r="DB90" i="1"/>
  <c r="DB91" i="1"/>
  <c r="DB92" i="1"/>
  <c r="DB93" i="1"/>
  <c r="DB94" i="1"/>
  <c r="DB95" i="1"/>
  <c r="DB96" i="1"/>
  <c r="DB97" i="1"/>
  <c r="DB98" i="1"/>
  <c r="DB99" i="1"/>
  <c r="DB100" i="1"/>
  <c r="DB101" i="1"/>
  <c r="DB102" i="1"/>
  <c r="DB103" i="1"/>
  <c r="DB104" i="1"/>
  <c r="DB105" i="1"/>
  <c r="DB106" i="1"/>
  <c r="DB107" i="1"/>
  <c r="DB108" i="1"/>
  <c r="DB109" i="1"/>
  <c r="DB110" i="1"/>
  <c r="DB111" i="1"/>
  <c r="DB112" i="1"/>
  <c r="DB113" i="1"/>
  <c r="DB114" i="1"/>
  <c r="DB115" i="1"/>
  <c r="DB116" i="1"/>
  <c r="DB117" i="1"/>
  <c r="DB118" i="1"/>
  <c r="DB119" i="1"/>
  <c r="DB120" i="1"/>
  <c r="DB121" i="1"/>
  <c r="DB122" i="1"/>
  <c r="DB123" i="1"/>
  <c r="DB124" i="1"/>
  <c r="DB125" i="1"/>
  <c r="DB126" i="1"/>
  <c r="DB127" i="1"/>
  <c r="DB128" i="1"/>
  <c r="DB129" i="1"/>
  <c r="DB130" i="1"/>
  <c r="DB131" i="1"/>
  <c r="DB132" i="1"/>
  <c r="DB133" i="1"/>
  <c r="DB134" i="1"/>
  <c r="DB135" i="1"/>
  <c r="DB136" i="1"/>
  <c r="DB137" i="1"/>
  <c r="DB138" i="1"/>
  <c r="DB139" i="1"/>
  <c r="DB140" i="1"/>
  <c r="DB141" i="1"/>
  <c r="DB142" i="1"/>
  <c r="DB143" i="1"/>
  <c r="DB144" i="1"/>
  <c r="DB145" i="1"/>
  <c r="DB146" i="1"/>
  <c r="DB147" i="1"/>
  <c r="DB148" i="1"/>
  <c r="DB149" i="1"/>
  <c r="DB150" i="1"/>
  <c r="DB151" i="1"/>
  <c r="DB152" i="1"/>
  <c r="DB153" i="1"/>
  <c r="DB154" i="1"/>
  <c r="DB155" i="1"/>
  <c r="DB156" i="1"/>
  <c r="DB157" i="1"/>
  <c r="DB158" i="1"/>
  <c r="DB159" i="1"/>
  <c r="DB160" i="1"/>
  <c r="DB161" i="1"/>
  <c r="DB162" i="1"/>
  <c r="DB163" i="1"/>
  <c r="DB164" i="1"/>
  <c r="DB165" i="1"/>
  <c r="DB166" i="1"/>
  <c r="DB167" i="1"/>
  <c r="DB168" i="1"/>
  <c r="DB169" i="1"/>
  <c r="DB170" i="1"/>
  <c r="DB171" i="1"/>
  <c r="DB172" i="1"/>
  <c r="DB173" i="1"/>
  <c r="DB174" i="1"/>
  <c r="DB175" i="1"/>
  <c r="DB176" i="1"/>
  <c r="DB177" i="1"/>
  <c r="DB178" i="1"/>
  <c r="DB179" i="1"/>
  <c r="DB180" i="1"/>
  <c r="DB181" i="1"/>
  <c r="DB182" i="1"/>
  <c r="DB183" i="1"/>
  <c r="DB184" i="1"/>
  <c r="DB185" i="1"/>
  <c r="DB186" i="1"/>
  <c r="DB187" i="1"/>
  <c r="DB188" i="1"/>
  <c r="DB189" i="1"/>
  <c r="DB190" i="1"/>
  <c r="DB191" i="1"/>
  <c r="DB192" i="1"/>
  <c r="DB193" i="1"/>
  <c r="DB194" i="1"/>
  <c r="DB195" i="1"/>
  <c r="DB196" i="1"/>
  <c r="DB197" i="1"/>
  <c r="DB198" i="1"/>
  <c r="DB199" i="1"/>
  <c r="DB200" i="1"/>
  <c r="DB201" i="1"/>
  <c r="DB202" i="1"/>
  <c r="DB203" i="1"/>
  <c r="DB204" i="1"/>
  <c r="DB205" i="1"/>
  <c r="DB206" i="1"/>
  <c r="DB207" i="1"/>
  <c r="DB208" i="1"/>
  <c r="DB209" i="1"/>
  <c r="DB210" i="1"/>
  <c r="DB211" i="1"/>
  <c r="DB212" i="1"/>
  <c r="DB213" i="1"/>
  <c r="DB214" i="1"/>
  <c r="DB215" i="1"/>
  <c r="DB216" i="1"/>
  <c r="DB217" i="1"/>
  <c r="DB218" i="1"/>
  <c r="DB219" i="1"/>
  <c r="DB220" i="1"/>
  <c r="DB221" i="1"/>
  <c r="DB222" i="1"/>
  <c r="DB223" i="1"/>
  <c r="DB224" i="1"/>
  <c r="DB225" i="1"/>
  <c r="DB226" i="1"/>
  <c r="DB227" i="1"/>
  <c r="DB228" i="1"/>
  <c r="DB229" i="1"/>
  <c r="DB230" i="1"/>
  <c r="DB231" i="1"/>
  <c r="DB232" i="1"/>
  <c r="DB233" i="1"/>
  <c r="DB234" i="1"/>
  <c r="DB235" i="1"/>
  <c r="DB236" i="1"/>
  <c r="DB237" i="1"/>
  <c r="DB238" i="1"/>
  <c r="DB239" i="1"/>
  <c r="DB240" i="1"/>
  <c r="DB241" i="1"/>
  <c r="DB242" i="1"/>
  <c r="DB243" i="1"/>
  <c r="DB244" i="1"/>
  <c r="DB245" i="1"/>
  <c r="DB246" i="1"/>
  <c r="DB247" i="1"/>
  <c r="DB248" i="1"/>
  <c r="DB249" i="1"/>
  <c r="DB250" i="1"/>
  <c r="DB251" i="1"/>
  <c r="DB252" i="1"/>
  <c r="DB253" i="1"/>
  <c r="DB254" i="1"/>
  <c r="DB255" i="1"/>
  <c r="DB256" i="1"/>
  <c r="DB257" i="1"/>
  <c r="DB258" i="1"/>
  <c r="DB259" i="1"/>
  <c r="DB260" i="1"/>
  <c r="DB261" i="1"/>
  <c r="DB262" i="1"/>
  <c r="DB263" i="1"/>
  <c r="DB264" i="1"/>
  <c r="DB265" i="1"/>
  <c r="DB266" i="1"/>
  <c r="DB267" i="1"/>
  <c r="DB268" i="1"/>
  <c r="DB269" i="1"/>
  <c r="DB270" i="1"/>
  <c r="DB271" i="1"/>
  <c r="DB272" i="1"/>
  <c r="DB273" i="1"/>
  <c r="DB274" i="1"/>
  <c r="DB275" i="1"/>
  <c r="DB276" i="1"/>
  <c r="DB277" i="1"/>
  <c r="DB278" i="1"/>
  <c r="DB279" i="1"/>
  <c r="DB280" i="1"/>
  <c r="DB281" i="1"/>
  <c r="DB282" i="1"/>
  <c r="DB283" i="1"/>
  <c r="DB284" i="1"/>
  <c r="DB285" i="1"/>
  <c r="DB286" i="1"/>
  <c r="DB287" i="1"/>
  <c r="DB288" i="1"/>
  <c r="DB289" i="1"/>
  <c r="DB290" i="1"/>
  <c r="DB291" i="1"/>
  <c r="DB292" i="1"/>
  <c r="DB293" i="1"/>
  <c r="DB294" i="1"/>
  <c r="DB295" i="1"/>
  <c r="DB296" i="1"/>
  <c r="DB297" i="1"/>
  <c r="DB298" i="1"/>
  <c r="DB299" i="1"/>
  <c r="DB300" i="1"/>
  <c r="DB301" i="1"/>
  <c r="DB302" i="1"/>
  <c r="DB303" i="1"/>
  <c r="DB304" i="1"/>
  <c r="DB305" i="1"/>
  <c r="DB306" i="1"/>
  <c r="DB307" i="1"/>
  <c r="DB308" i="1"/>
  <c r="DB309" i="1"/>
  <c r="DB310" i="1"/>
  <c r="DB311" i="1"/>
  <c r="DB312" i="1"/>
  <c r="DB313" i="1"/>
  <c r="DB314" i="1"/>
  <c r="DB315" i="1"/>
  <c r="DB316" i="1"/>
  <c r="DB317" i="1"/>
  <c r="DB318" i="1"/>
  <c r="DB319" i="1"/>
  <c r="DB320" i="1"/>
  <c r="DB321" i="1"/>
  <c r="DB322" i="1"/>
  <c r="DB323" i="1"/>
  <c r="DB324" i="1"/>
  <c r="DB325" i="1"/>
  <c r="DB326" i="1"/>
  <c r="DB327" i="1"/>
  <c r="DB328" i="1"/>
  <c r="DB329" i="1"/>
  <c r="DB330" i="1"/>
  <c r="DB331" i="1"/>
  <c r="DB332" i="1"/>
  <c r="DB333" i="1"/>
  <c r="DB334" i="1"/>
  <c r="DB335" i="1"/>
  <c r="DB336" i="1"/>
  <c r="DB337" i="1"/>
  <c r="DB338" i="1"/>
  <c r="DB339" i="1"/>
  <c r="DB340" i="1"/>
  <c r="DB341" i="1"/>
  <c r="DB342" i="1"/>
  <c r="DB343" i="1"/>
  <c r="DB344" i="1"/>
  <c r="DB345" i="1"/>
  <c r="DB346" i="1"/>
  <c r="DB347" i="1"/>
  <c r="DB348" i="1"/>
  <c r="DB349" i="1"/>
  <c r="DB350" i="1"/>
  <c r="DB351" i="1"/>
  <c r="DB352" i="1"/>
  <c r="DB353" i="1"/>
  <c r="DB354" i="1"/>
  <c r="DB355" i="1"/>
  <c r="DB356" i="1"/>
  <c r="CV2" i="1"/>
  <c r="CV3" i="1"/>
  <c r="CV4" i="1"/>
  <c r="CV5" i="1"/>
  <c r="CV6" i="1"/>
  <c r="CV7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V20" i="1"/>
  <c r="CV21" i="1"/>
  <c r="CV22" i="1"/>
  <c r="CV23" i="1"/>
  <c r="CV24" i="1"/>
  <c r="CV25" i="1"/>
  <c r="CV26" i="1"/>
  <c r="CV27" i="1"/>
  <c r="CV28" i="1"/>
  <c r="CV29" i="1"/>
  <c r="CV30" i="1"/>
  <c r="CV31" i="1"/>
  <c r="CV32" i="1"/>
  <c r="CV33" i="1"/>
  <c r="CV34" i="1"/>
  <c r="CV35" i="1"/>
  <c r="CV36" i="1"/>
  <c r="CV37" i="1"/>
  <c r="CV38" i="1"/>
  <c r="CV39" i="1"/>
  <c r="CV40" i="1"/>
  <c r="CV41" i="1"/>
  <c r="CV42" i="1"/>
  <c r="CV43" i="1"/>
  <c r="CV44" i="1"/>
  <c r="CV45" i="1"/>
  <c r="CV46" i="1"/>
  <c r="CV47" i="1"/>
  <c r="CV48" i="1"/>
  <c r="CV49" i="1"/>
  <c r="CV50" i="1"/>
  <c r="CV51" i="1"/>
  <c r="CV52" i="1"/>
  <c r="CV53" i="1"/>
  <c r="CV54" i="1"/>
  <c r="CV55" i="1"/>
  <c r="CV56" i="1"/>
  <c r="CV57" i="1"/>
  <c r="CV58" i="1"/>
  <c r="CV59" i="1"/>
  <c r="CV60" i="1"/>
  <c r="CV61" i="1"/>
  <c r="CV62" i="1"/>
  <c r="CV63" i="1"/>
  <c r="CV64" i="1"/>
  <c r="CV65" i="1"/>
  <c r="CV66" i="1"/>
  <c r="CV67" i="1"/>
  <c r="CV68" i="1"/>
  <c r="CV69" i="1"/>
  <c r="CV70" i="1"/>
  <c r="CV71" i="1"/>
  <c r="CV72" i="1"/>
  <c r="CV73" i="1"/>
  <c r="CV74" i="1"/>
  <c r="CV75" i="1"/>
  <c r="CV76" i="1"/>
  <c r="CV77" i="1"/>
  <c r="CV78" i="1"/>
  <c r="CV79" i="1"/>
  <c r="CV80" i="1"/>
  <c r="CV81" i="1"/>
  <c r="CV82" i="1"/>
  <c r="CV83" i="1"/>
  <c r="CV84" i="1"/>
  <c r="CV85" i="1"/>
  <c r="CV86" i="1"/>
  <c r="CV87" i="1"/>
  <c r="CV88" i="1"/>
  <c r="CV89" i="1"/>
  <c r="CV90" i="1"/>
  <c r="CV91" i="1"/>
  <c r="CV92" i="1"/>
  <c r="CV93" i="1"/>
  <c r="CV94" i="1"/>
  <c r="CV95" i="1"/>
  <c r="CV96" i="1"/>
  <c r="CV97" i="1"/>
  <c r="CV98" i="1"/>
  <c r="CV99" i="1"/>
  <c r="CV100" i="1"/>
  <c r="CV101" i="1"/>
  <c r="CV102" i="1"/>
  <c r="CV103" i="1"/>
  <c r="CV104" i="1"/>
  <c r="CV105" i="1"/>
  <c r="CV106" i="1"/>
  <c r="CV107" i="1"/>
  <c r="CV108" i="1"/>
  <c r="CV109" i="1"/>
  <c r="CV110" i="1"/>
  <c r="CV111" i="1"/>
  <c r="CV112" i="1"/>
  <c r="CV113" i="1"/>
  <c r="CV114" i="1"/>
  <c r="CV115" i="1"/>
  <c r="CV116" i="1"/>
  <c r="CV117" i="1"/>
  <c r="CV118" i="1"/>
  <c r="CV119" i="1"/>
  <c r="CV120" i="1"/>
  <c r="CV121" i="1"/>
  <c r="CV122" i="1"/>
  <c r="CV123" i="1"/>
  <c r="CV124" i="1"/>
  <c r="CV125" i="1"/>
  <c r="CV126" i="1"/>
  <c r="CV127" i="1"/>
  <c r="CV128" i="1"/>
  <c r="CV129" i="1"/>
  <c r="CV130" i="1"/>
  <c r="CV131" i="1"/>
  <c r="CV132" i="1"/>
  <c r="CV133" i="1"/>
  <c r="CV134" i="1"/>
  <c r="CV135" i="1"/>
  <c r="CV136" i="1"/>
  <c r="CV137" i="1"/>
  <c r="CV138" i="1"/>
  <c r="CV139" i="1"/>
  <c r="CV140" i="1"/>
  <c r="CV141" i="1"/>
  <c r="CV142" i="1"/>
  <c r="CV143" i="1"/>
  <c r="CV144" i="1"/>
  <c r="CV145" i="1"/>
  <c r="CV146" i="1"/>
  <c r="CV147" i="1"/>
  <c r="CV148" i="1"/>
  <c r="CV149" i="1"/>
  <c r="CV150" i="1"/>
  <c r="CV151" i="1"/>
  <c r="CV152" i="1"/>
  <c r="CV153" i="1"/>
  <c r="CV154" i="1"/>
  <c r="CV155" i="1"/>
  <c r="CV156" i="1"/>
  <c r="CV157" i="1"/>
  <c r="CV158" i="1"/>
  <c r="CV159" i="1"/>
  <c r="CV160" i="1"/>
  <c r="CV161" i="1"/>
  <c r="CV162" i="1"/>
  <c r="CV163" i="1"/>
  <c r="CV164" i="1"/>
  <c r="CV165" i="1"/>
  <c r="CV166" i="1"/>
  <c r="CV167" i="1"/>
  <c r="CV168" i="1"/>
  <c r="CV169" i="1"/>
  <c r="CV170" i="1"/>
  <c r="CV171" i="1"/>
  <c r="CV172" i="1"/>
  <c r="CV173" i="1"/>
  <c r="CV174" i="1"/>
  <c r="CV175" i="1"/>
  <c r="CV176" i="1"/>
  <c r="CV177" i="1"/>
  <c r="CV178" i="1"/>
  <c r="CV179" i="1"/>
  <c r="CV180" i="1"/>
  <c r="CV181" i="1"/>
  <c r="CV182" i="1"/>
  <c r="CV183" i="1"/>
  <c r="CV184" i="1"/>
  <c r="CV185" i="1"/>
  <c r="CV186" i="1"/>
  <c r="CV187" i="1"/>
  <c r="CV188" i="1"/>
  <c r="CV189" i="1"/>
  <c r="CV190" i="1"/>
  <c r="CV191" i="1"/>
  <c r="CV192" i="1"/>
  <c r="CV193" i="1"/>
  <c r="CV194" i="1"/>
  <c r="CV195" i="1"/>
  <c r="CV196" i="1"/>
  <c r="CV197" i="1"/>
  <c r="CV198" i="1"/>
  <c r="CV199" i="1"/>
  <c r="CV200" i="1"/>
  <c r="CV201" i="1"/>
  <c r="CV202" i="1"/>
  <c r="CV203" i="1"/>
  <c r="CV204" i="1"/>
  <c r="CV205" i="1"/>
  <c r="CV206" i="1"/>
  <c r="CV207" i="1"/>
  <c r="CV208" i="1"/>
  <c r="CV209" i="1"/>
  <c r="CV210" i="1"/>
  <c r="CV211" i="1"/>
  <c r="CV212" i="1"/>
  <c r="CV213" i="1"/>
  <c r="CV214" i="1"/>
  <c r="CV215" i="1"/>
  <c r="CV216" i="1"/>
  <c r="CV217" i="1"/>
  <c r="CV218" i="1"/>
  <c r="CV219" i="1"/>
  <c r="CV220" i="1"/>
  <c r="CV221" i="1"/>
  <c r="CV222" i="1"/>
  <c r="CV223" i="1"/>
  <c r="CV224" i="1"/>
  <c r="CV225" i="1"/>
  <c r="CV226" i="1"/>
  <c r="CV227" i="1"/>
  <c r="CV228" i="1"/>
  <c r="CV229" i="1"/>
  <c r="CV230" i="1"/>
  <c r="CV231" i="1"/>
  <c r="CV232" i="1"/>
  <c r="CV233" i="1"/>
  <c r="CV234" i="1"/>
  <c r="CV235" i="1"/>
  <c r="CV236" i="1"/>
  <c r="CV237" i="1"/>
  <c r="CV238" i="1"/>
  <c r="CV239" i="1"/>
  <c r="CV240" i="1"/>
  <c r="CV241" i="1"/>
  <c r="CV242" i="1"/>
  <c r="CV243" i="1"/>
  <c r="CV244" i="1"/>
  <c r="CV245" i="1"/>
  <c r="CV246" i="1"/>
  <c r="CV247" i="1"/>
  <c r="CV248" i="1"/>
  <c r="CV249" i="1"/>
  <c r="CV250" i="1"/>
  <c r="CV251" i="1"/>
  <c r="CV252" i="1"/>
  <c r="CV253" i="1"/>
  <c r="CV254" i="1"/>
  <c r="CV255" i="1"/>
  <c r="CV256" i="1"/>
  <c r="CV257" i="1"/>
  <c r="CV258" i="1"/>
  <c r="CV259" i="1"/>
  <c r="CV260" i="1"/>
  <c r="CV261" i="1"/>
  <c r="CV262" i="1"/>
  <c r="CV263" i="1"/>
  <c r="CV264" i="1"/>
  <c r="CV265" i="1"/>
  <c r="CV266" i="1"/>
  <c r="CV267" i="1"/>
  <c r="CV268" i="1"/>
  <c r="CV269" i="1"/>
  <c r="CV270" i="1"/>
  <c r="CV271" i="1"/>
  <c r="CV272" i="1"/>
  <c r="CV273" i="1"/>
  <c r="CV274" i="1"/>
  <c r="CV275" i="1"/>
  <c r="CV276" i="1"/>
  <c r="CV277" i="1"/>
  <c r="CV278" i="1"/>
  <c r="CV279" i="1"/>
  <c r="CV280" i="1"/>
  <c r="CV281" i="1"/>
  <c r="CV282" i="1"/>
  <c r="CV283" i="1"/>
  <c r="CV284" i="1"/>
  <c r="CV285" i="1"/>
  <c r="CV286" i="1"/>
  <c r="CV287" i="1"/>
  <c r="CV288" i="1"/>
  <c r="CV289" i="1"/>
  <c r="CV290" i="1"/>
  <c r="CV291" i="1"/>
  <c r="CV292" i="1"/>
  <c r="CV293" i="1"/>
  <c r="CV294" i="1"/>
  <c r="CV295" i="1"/>
  <c r="CV296" i="1"/>
  <c r="CV297" i="1"/>
  <c r="CV298" i="1"/>
  <c r="CV299" i="1"/>
  <c r="CV300" i="1"/>
  <c r="CV301" i="1"/>
  <c r="CV302" i="1"/>
  <c r="CV303" i="1"/>
  <c r="CV304" i="1"/>
  <c r="CV305" i="1"/>
  <c r="CV306" i="1"/>
  <c r="CV307" i="1"/>
  <c r="CV308" i="1"/>
  <c r="CV309" i="1"/>
  <c r="CV310" i="1"/>
  <c r="CV311" i="1"/>
  <c r="CV312" i="1"/>
  <c r="CV313" i="1"/>
  <c r="CV314" i="1"/>
  <c r="CV315" i="1"/>
  <c r="CV316" i="1"/>
  <c r="CV317" i="1"/>
  <c r="CV318" i="1"/>
  <c r="CV319" i="1"/>
  <c r="CV320" i="1"/>
  <c r="CV321" i="1"/>
  <c r="CV322" i="1"/>
  <c r="CV323" i="1"/>
  <c r="CV324" i="1"/>
  <c r="CV325" i="1"/>
  <c r="CV326" i="1"/>
  <c r="CV327" i="1"/>
  <c r="CV328" i="1"/>
  <c r="CV329" i="1"/>
  <c r="CV330" i="1"/>
  <c r="CV331" i="1"/>
  <c r="CV332" i="1"/>
  <c r="CV333" i="1"/>
  <c r="CV334" i="1"/>
  <c r="CV335" i="1"/>
  <c r="CV336" i="1"/>
  <c r="CV337" i="1"/>
  <c r="CV338" i="1"/>
  <c r="CV339" i="1"/>
  <c r="CV340" i="1"/>
  <c r="CV341" i="1"/>
  <c r="CV342" i="1"/>
  <c r="CV343" i="1"/>
  <c r="CV344" i="1"/>
  <c r="CV345" i="1"/>
  <c r="CV346" i="1"/>
  <c r="CV347" i="1"/>
  <c r="CV348" i="1"/>
  <c r="CV349" i="1"/>
  <c r="CV350" i="1"/>
  <c r="CV351" i="1"/>
  <c r="CV352" i="1"/>
  <c r="CV353" i="1"/>
  <c r="CV354" i="1"/>
  <c r="CV355" i="1"/>
  <c r="CV356" i="1"/>
  <c r="DC2" i="1"/>
  <c r="DC3" i="1"/>
  <c r="DC4" i="1"/>
  <c r="DC5" i="1"/>
  <c r="DC6" i="1"/>
  <c r="DC7" i="1"/>
  <c r="DC8" i="1"/>
  <c r="DC9" i="1"/>
  <c r="DC10" i="1"/>
  <c r="DC11" i="1"/>
  <c r="DC12" i="1"/>
  <c r="DC13" i="1"/>
  <c r="DC14" i="1"/>
  <c r="DC15" i="1"/>
  <c r="DC16" i="1"/>
  <c r="DC17" i="1"/>
  <c r="DC18" i="1"/>
  <c r="DC19" i="1"/>
  <c r="DC20" i="1"/>
  <c r="DC21" i="1"/>
  <c r="DC22" i="1"/>
  <c r="DC23" i="1"/>
  <c r="DC24" i="1"/>
  <c r="DC25" i="1"/>
  <c r="DC26" i="1"/>
  <c r="DC27" i="1"/>
  <c r="DC28" i="1"/>
  <c r="DC29" i="1"/>
  <c r="DC30" i="1"/>
  <c r="DC31" i="1"/>
  <c r="DC32" i="1"/>
  <c r="DC33" i="1"/>
  <c r="DC34" i="1"/>
  <c r="DC35" i="1"/>
  <c r="DC36" i="1"/>
  <c r="DC37" i="1"/>
  <c r="DC38" i="1"/>
  <c r="DC39" i="1"/>
  <c r="DC40" i="1"/>
  <c r="DC41" i="1"/>
  <c r="DC42" i="1"/>
  <c r="DC43" i="1"/>
  <c r="DC44" i="1"/>
  <c r="DC45" i="1"/>
  <c r="DC46" i="1"/>
  <c r="DC47" i="1"/>
  <c r="DC48" i="1"/>
  <c r="DC49" i="1"/>
  <c r="DC50" i="1"/>
  <c r="DC51" i="1"/>
  <c r="DC52" i="1"/>
  <c r="DC53" i="1"/>
  <c r="DC54" i="1"/>
  <c r="DC55" i="1"/>
  <c r="DC56" i="1"/>
  <c r="DC57" i="1"/>
  <c r="DC58" i="1"/>
  <c r="DC59" i="1"/>
  <c r="DC60" i="1"/>
  <c r="DC61" i="1"/>
  <c r="DC62" i="1"/>
  <c r="DC63" i="1"/>
  <c r="DC64" i="1"/>
  <c r="DC65" i="1"/>
  <c r="DC66" i="1"/>
  <c r="DC67" i="1"/>
  <c r="DC68" i="1"/>
  <c r="DC69" i="1"/>
  <c r="DC70" i="1"/>
  <c r="DC71" i="1"/>
  <c r="DC72" i="1"/>
  <c r="DC73" i="1"/>
  <c r="DC74" i="1"/>
  <c r="DC75" i="1"/>
  <c r="DC76" i="1"/>
  <c r="DC77" i="1"/>
  <c r="DC78" i="1"/>
  <c r="DC79" i="1"/>
  <c r="DC80" i="1"/>
  <c r="DC81" i="1"/>
  <c r="DC82" i="1"/>
  <c r="DC83" i="1"/>
  <c r="DC84" i="1"/>
  <c r="DC85" i="1"/>
  <c r="DC86" i="1"/>
  <c r="DC87" i="1"/>
  <c r="DC88" i="1"/>
  <c r="DC89" i="1"/>
  <c r="DC90" i="1"/>
  <c r="DC91" i="1"/>
  <c r="DC92" i="1"/>
  <c r="DC93" i="1"/>
  <c r="DC94" i="1"/>
  <c r="DC95" i="1"/>
  <c r="DC96" i="1"/>
  <c r="DC97" i="1"/>
  <c r="DC98" i="1"/>
  <c r="DC99" i="1"/>
  <c r="DC100" i="1"/>
  <c r="DC101" i="1"/>
  <c r="DC102" i="1"/>
  <c r="DC103" i="1"/>
  <c r="DC104" i="1"/>
  <c r="DC105" i="1"/>
  <c r="DC106" i="1"/>
  <c r="DC107" i="1"/>
  <c r="DC108" i="1"/>
  <c r="DC109" i="1"/>
  <c r="DC110" i="1"/>
  <c r="DC111" i="1"/>
  <c r="DC112" i="1"/>
  <c r="DC113" i="1"/>
  <c r="DC114" i="1"/>
  <c r="DC115" i="1"/>
  <c r="DC116" i="1"/>
  <c r="DC117" i="1"/>
  <c r="DC118" i="1"/>
  <c r="DC119" i="1"/>
  <c r="DC120" i="1"/>
  <c r="DC121" i="1"/>
  <c r="DC122" i="1"/>
  <c r="DC123" i="1"/>
  <c r="DC124" i="1"/>
  <c r="DC125" i="1"/>
  <c r="DC126" i="1"/>
  <c r="DC127" i="1"/>
  <c r="DC128" i="1"/>
  <c r="DC129" i="1"/>
  <c r="DC130" i="1"/>
  <c r="DC131" i="1"/>
  <c r="DC132" i="1"/>
  <c r="DC133" i="1"/>
  <c r="DC134" i="1"/>
  <c r="DC135" i="1"/>
  <c r="DC136" i="1"/>
  <c r="DC137" i="1"/>
  <c r="DC138" i="1"/>
  <c r="DC139" i="1"/>
  <c r="DC140" i="1"/>
  <c r="DC141" i="1"/>
  <c r="DC142" i="1"/>
  <c r="DC143" i="1"/>
  <c r="DC144" i="1"/>
  <c r="DC145" i="1"/>
  <c r="DC146" i="1"/>
  <c r="DC147" i="1"/>
  <c r="DC148" i="1"/>
  <c r="DC149" i="1"/>
  <c r="DC150" i="1"/>
  <c r="DC151" i="1"/>
  <c r="DC152" i="1"/>
  <c r="DC153" i="1"/>
  <c r="DC154" i="1"/>
  <c r="DC155" i="1"/>
  <c r="DC156" i="1"/>
  <c r="DC157" i="1"/>
  <c r="DC158" i="1"/>
  <c r="DC159" i="1"/>
  <c r="DC160" i="1"/>
  <c r="DC161" i="1"/>
  <c r="DC162" i="1"/>
  <c r="DC163" i="1"/>
  <c r="DC164" i="1"/>
  <c r="DC165" i="1"/>
  <c r="DC166" i="1"/>
  <c r="DC167" i="1"/>
  <c r="DC168" i="1"/>
  <c r="DC169" i="1"/>
  <c r="DC170" i="1"/>
  <c r="DC171" i="1"/>
  <c r="DC172" i="1"/>
  <c r="DC173" i="1"/>
  <c r="DC174" i="1"/>
  <c r="DC175" i="1"/>
  <c r="DC176" i="1"/>
  <c r="DC177" i="1"/>
  <c r="DC178" i="1"/>
  <c r="DC179" i="1"/>
  <c r="DC180" i="1"/>
  <c r="DC181" i="1"/>
  <c r="DC182" i="1"/>
  <c r="DC183" i="1"/>
  <c r="DC184" i="1"/>
  <c r="DC185" i="1"/>
  <c r="DC186" i="1"/>
  <c r="DC187" i="1"/>
  <c r="DC188" i="1"/>
  <c r="DC189" i="1"/>
  <c r="DC190" i="1"/>
  <c r="DC191" i="1"/>
  <c r="DC192" i="1"/>
  <c r="DC193" i="1"/>
  <c r="DC194" i="1"/>
  <c r="DC195" i="1"/>
  <c r="DC196" i="1"/>
  <c r="DC197" i="1"/>
  <c r="DC198" i="1"/>
  <c r="DC199" i="1"/>
  <c r="DC200" i="1"/>
  <c r="DC201" i="1"/>
  <c r="DC202" i="1"/>
  <c r="DC203" i="1"/>
  <c r="DC204" i="1"/>
  <c r="DC205" i="1"/>
  <c r="DC206" i="1"/>
  <c r="DC207" i="1"/>
  <c r="DC208" i="1"/>
  <c r="DC209" i="1"/>
  <c r="DC210" i="1"/>
  <c r="DC211" i="1"/>
  <c r="DC212" i="1"/>
  <c r="DC213" i="1"/>
  <c r="DC214" i="1"/>
  <c r="DC215" i="1"/>
  <c r="DC216" i="1"/>
  <c r="DC217" i="1"/>
  <c r="DC218" i="1"/>
  <c r="DC219" i="1"/>
  <c r="DC220" i="1"/>
  <c r="DC221" i="1"/>
  <c r="DC222" i="1"/>
  <c r="DC223" i="1"/>
  <c r="DC224" i="1"/>
  <c r="DC225" i="1"/>
  <c r="DC226" i="1"/>
  <c r="DC227" i="1"/>
  <c r="DC228" i="1"/>
  <c r="DC229" i="1"/>
  <c r="DC230" i="1"/>
  <c r="DC231" i="1"/>
  <c r="DC232" i="1"/>
  <c r="DC233" i="1"/>
  <c r="DC234" i="1"/>
  <c r="DC235" i="1"/>
  <c r="DC236" i="1"/>
  <c r="DC237" i="1"/>
  <c r="DC238" i="1"/>
  <c r="DC239" i="1"/>
  <c r="DC240" i="1"/>
  <c r="DC241" i="1"/>
  <c r="DC242" i="1"/>
  <c r="DC243" i="1"/>
  <c r="DC244" i="1"/>
  <c r="DC245" i="1"/>
  <c r="DC246" i="1"/>
  <c r="DC247" i="1"/>
  <c r="DC248" i="1"/>
  <c r="DC249" i="1"/>
  <c r="DC250" i="1"/>
  <c r="DC251" i="1"/>
  <c r="DC252" i="1"/>
  <c r="DC253" i="1"/>
  <c r="DC254" i="1"/>
  <c r="DC255" i="1"/>
  <c r="DC256" i="1"/>
  <c r="DC257" i="1"/>
  <c r="DC258" i="1"/>
  <c r="DC259" i="1"/>
  <c r="DC260" i="1"/>
  <c r="DC261" i="1"/>
  <c r="DC262" i="1"/>
  <c r="DC263" i="1"/>
  <c r="DC264" i="1"/>
  <c r="DC265" i="1"/>
  <c r="DC266" i="1"/>
  <c r="DC267" i="1"/>
  <c r="DC268" i="1"/>
  <c r="DC269" i="1"/>
  <c r="DC270" i="1"/>
  <c r="DC271" i="1"/>
  <c r="DC272" i="1"/>
  <c r="DC273" i="1"/>
  <c r="DC274" i="1"/>
  <c r="DC275" i="1"/>
  <c r="DC276" i="1"/>
  <c r="DC277" i="1"/>
  <c r="DC278" i="1"/>
  <c r="DC279" i="1"/>
  <c r="DC280" i="1"/>
  <c r="DC281" i="1"/>
  <c r="DC282" i="1"/>
  <c r="DC283" i="1"/>
  <c r="DC284" i="1"/>
  <c r="DC285" i="1"/>
  <c r="DC286" i="1"/>
  <c r="DC287" i="1"/>
  <c r="DC288" i="1"/>
  <c r="DC289" i="1"/>
  <c r="DC290" i="1"/>
  <c r="DC291" i="1"/>
  <c r="DC292" i="1"/>
  <c r="DC293" i="1"/>
  <c r="DC294" i="1"/>
  <c r="DC295" i="1"/>
  <c r="DC296" i="1"/>
  <c r="DC297" i="1"/>
  <c r="DC298" i="1"/>
  <c r="DC299" i="1"/>
  <c r="DC300" i="1"/>
  <c r="DC301" i="1"/>
  <c r="DC302" i="1"/>
  <c r="DC303" i="1"/>
  <c r="DC304" i="1"/>
  <c r="DC305" i="1"/>
  <c r="DC306" i="1"/>
  <c r="DC307" i="1"/>
  <c r="DC308" i="1"/>
  <c r="DC309" i="1"/>
  <c r="DC310" i="1"/>
  <c r="DC311" i="1"/>
  <c r="DC312" i="1"/>
  <c r="DC313" i="1"/>
  <c r="DC314" i="1"/>
  <c r="DC315" i="1"/>
  <c r="DC316" i="1"/>
  <c r="DC317" i="1"/>
  <c r="DC318" i="1"/>
  <c r="DC319" i="1"/>
  <c r="DC320" i="1"/>
  <c r="DC321" i="1"/>
  <c r="DC322" i="1"/>
  <c r="DC323" i="1"/>
  <c r="DC324" i="1"/>
  <c r="DC325" i="1"/>
  <c r="DC326" i="1"/>
  <c r="DC327" i="1"/>
  <c r="DC328" i="1"/>
  <c r="DC329" i="1"/>
  <c r="DC330" i="1"/>
  <c r="DC331" i="1"/>
  <c r="DC332" i="1"/>
  <c r="DC333" i="1"/>
  <c r="DC334" i="1"/>
  <c r="DC335" i="1"/>
  <c r="DC336" i="1"/>
  <c r="DC337" i="1"/>
  <c r="DC338" i="1"/>
  <c r="DC339" i="1"/>
  <c r="DC340" i="1"/>
  <c r="DC341" i="1"/>
  <c r="DC342" i="1"/>
  <c r="DC343" i="1"/>
  <c r="DC344" i="1"/>
  <c r="DC345" i="1"/>
  <c r="DC346" i="1"/>
  <c r="DC347" i="1"/>
  <c r="DC348" i="1"/>
  <c r="DC349" i="1"/>
  <c r="DC350" i="1"/>
  <c r="DC351" i="1"/>
  <c r="DC352" i="1"/>
  <c r="DC353" i="1"/>
  <c r="DC354" i="1"/>
  <c r="DC355" i="1"/>
  <c r="DC356" i="1"/>
  <c r="BQ2" i="1"/>
  <c r="DD2" i="1"/>
  <c r="CW2" i="1"/>
  <c r="BP2" i="1"/>
  <c r="DE2" i="1"/>
  <c r="CT2" i="1"/>
  <c r="BO2" i="1"/>
  <c r="DF2" i="1"/>
  <c r="CX2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CG2" i="1"/>
  <c r="CG3" i="1"/>
  <c r="CG4" i="1"/>
  <c r="CG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G112" i="1"/>
  <c r="CG113" i="1"/>
  <c r="CG114" i="1"/>
  <c r="CG115" i="1"/>
  <c r="CG116" i="1"/>
  <c r="CG117" i="1"/>
  <c r="CG118" i="1"/>
  <c r="CG119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2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169" i="1"/>
  <c r="CG170" i="1"/>
  <c r="CG171" i="1"/>
  <c r="CG172" i="1"/>
  <c r="CG173" i="1"/>
  <c r="CG174" i="1"/>
  <c r="CG175" i="1"/>
  <c r="CG176" i="1"/>
  <c r="CG177" i="1"/>
  <c r="CG178" i="1"/>
  <c r="CG179" i="1"/>
  <c r="CG180" i="1"/>
  <c r="CG181" i="1"/>
  <c r="CG182" i="1"/>
  <c r="CG183" i="1"/>
  <c r="CG184" i="1"/>
  <c r="CG185" i="1"/>
  <c r="CG186" i="1"/>
  <c r="CG187" i="1"/>
  <c r="CG188" i="1"/>
  <c r="CG189" i="1"/>
  <c r="CG190" i="1"/>
  <c r="CG191" i="1"/>
  <c r="CG192" i="1"/>
  <c r="CG193" i="1"/>
  <c r="CG194" i="1"/>
  <c r="CG195" i="1"/>
  <c r="CG196" i="1"/>
  <c r="CG197" i="1"/>
  <c r="CG198" i="1"/>
  <c r="CG199" i="1"/>
  <c r="CG200" i="1"/>
  <c r="CG201" i="1"/>
  <c r="CG202" i="1"/>
  <c r="CG203" i="1"/>
  <c r="CG204" i="1"/>
  <c r="CG205" i="1"/>
  <c r="CG206" i="1"/>
  <c r="CG207" i="1"/>
  <c r="CG208" i="1"/>
  <c r="CG209" i="1"/>
  <c r="CG210" i="1"/>
  <c r="CG211" i="1"/>
  <c r="CG212" i="1"/>
  <c r="CG213" i="1"/>
  <c r="CG214" i="1"/>
  <c r="CG215" i="1"/>
  <c r="CG216" i="1"/>
  <c r="CG217" i="1"/>
  <c r="CG218" i="1"/>
  <c r="CG219" i="1"/>
  <c r="CG220" i="1"/>
  <c r="CG221" i="1"/>
  <c r="CG222" i="1"/>
  <c r="CG223" i="1"/>
  <c r="CG224" i="1"/>
  <c r="CG225" i="1"/>
  <c r="CG226" i="1"/>
  <c r="CG227" i="1"/>
  <c r="CG228" i="1"/>
  <c r="CG229" i="1"/>
  <c r="CG230" i="1"/>
  <c r="CG231" i="1"/>
  <c r="CG232" i="1"/>
  <c r="CG233" i="1"/>
  <c r="CG234" i="1"/>
  <c r="CG235" i="1"/>
  <c r="CG236" i="1"/>
  <c r="CG237" i="1"/>
  <c r="CG238" i="1"/>
  <c r="CG239" i="1"/>
  <c r="CG240" i="1"/>
  <c r="CG241" i="1"/>
  <c r="CG242" i="1"/>
  <c r="CG243" i="1"/>
  <c r="CG244" i="1"/>
  <c r="CG245" i="1"/>
  <c r="CG246" i="1"/>
  <c r="CG247" i="1"/>
  <c r="CG248" i="1"/>
  <c r="CG249" i="1"/>
  <c r="CG250" i="1"/>
  <c r="CG251" i="1"/>
  <c r="CG252" i="1"/>
  <c r="CG253" i="1"/>
  <c r="CG254" i="1"/>
  <c r="CG255" i="1"/>
  <c r="CG256" i="1"/>
  <c r="CG257" i="1"/>
  <c r="CG258" i="1"/>
  <c r="CG259" i="1"/>
  <c r="CG260" i="1"/>
  <c r="CG261" i="1"/>
  <c r="CG262" i="1"/>
  <c r="CG263" i="1"/>
  <c r="CG264" i="1"/>
  <c r="CG265" i="1"/>
  <c r="CG266" i="1"/>
  <c r="CG267" i="1"/>
  <c r="CG268" i="1"/>
  <c r="CG269" i="1"/>
  <c r="CG270" i="1"/>
  <c r="CG271" i="1"/>
  <c r="CG272" i="1"/>
  <c r="CG273" i="1"/>
  <c r="CG274" i="1"/>
  <c r="CG275" i="1"/>
  <c r="CG276" i="1"/>
  <c r="CG277" i="1"/>
  <c r="CG278" i="1"/>
  <c r="CG279" i="1"/>
  <c r="CG280" i="1"/>
  <c r="CG281" i="1"/>
  <c r="CG282" i="1"/>
  <c r="CG283" i="1"/>
  <c r="CG284" i="1"/>
  <c r="CG285" i="1"/>
  <c r="CG286" i="1"/>
  <c r="CG287" i="1"/>
  <c r="CG288" i="1"/>
  <c r="CG289" i="1"/>
  <c r="CG290" i="1"/>
  <c r="CG291" i="1"/>
  <c r="CG292" i="1"/>
  <c r="CG293" i="1"/>
  <c r="CG294" i="1"/>
  <c r="CG295" i="1"/>
  <c r="CG296" i="1"/>
  <c r="CG297" i="1"/>
  <c r="CG298" i="1"/>
  <c r="CG299" i="1"/>
  <c r="CG300" i="1"/>
  <c r="CG301" i="1"/>
  <c r="CG302" i="1"/>
  <c r="CG303" i="1"/>
  <c r="CG304" i="1"/>
  <c r="CG305" i="1"/>
  <c r="CG306" i="1"/>
  <c r="CG307" i="1"/>
  <c r="CG308" i="1"/>
  <c r="CG309" i="1"/>
  <c r="CG310" i="1"/>
  <c r="CG311" i="1"/>
  <c r="CG312" i="1"/>
  <c r="CG313" i="1"/>
  <c r="CG314" i="1"/>
  <c r="CG315" i="1"/>
  <c r="CG316" i="1"/>
  <c r="CG317" i="1"/>
  <c r="CG318" i="1"/>
  <c r="CG319" i="1"/>
  <c r="CG320" i="1"/>
  <c r="CG321" i="1"/>
  <c r="CG322" i="1"/>
  <c r="CG323" i="1"/>
  <c r="CG324" i="1"/>
  <c r="CG325" i="1"/>
  <c r="CG326" i="1"/>
  <c r="CG327" i="1"/>
  <c r="CG328" i="1"/>
  <c r="CG329" i="1"/>
  <c r="CG330" i="1"/>
  <c r="CG331" i="1"/>
  <c r="CG332" i="1"/>
  <c r="CG333" i="1"/>
  <c r="CG334" i="1"/>
  <c r="CG335" i="1"/>
  <c r="CG336" i="1"/>
  <c r="CG337" i="1"/>
  <c r="CG338" i="1"/>
  <c r="CG339" i="1"/>
  <c r="CG340" i="1"/>
  <c r="CG341" i="1"/>
  <c r="CG342" i="1"/>
  <c r="CG343" i="1"/>
  <c r="CG344" i="1"/>
  <c r="CG345" i="1"/>
  <c r="CG346" i="1"/>
  <c r="CG347" i="1"/>
  <c r="CG348" i="1"/>
  <c r="CG349" i="1"/>
  <c r="CG350" i="1"/>
  <c r="CG351" i="1"/>
  <c r="CG352" i="1"/>
  <c r="CG353" i="1"/>
  <c r="CG354" i="1"/>
  <c r="CG355" i="1"/>
  <c r="CG356" i="1"/>
  <c r="CH2" i="1"/>
  <c r="CH3" i="1"/>
  <c r="CH4" i="1"/>
  <c r="CH5" i="1"/>
  <c r="CH6" i="1"/>
  <c r="CH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102" i="1"/>
  <c r="CH103" i="1"/>
  <c r="CH104" i="1"/>
  <c r="CH105" i="1"/>
  <c r="CH106" i="1"/>
  <c r="CH107" i="1"/>
  <c r="CH108" i="1"/>
  <c r="CH109" i="1"/>
  <c r="CH110" i="1"/>
  <c r="CH111" i="1"/>
  <c r="CH112" i="1"/>
  <c r="CH113" i="1"/>
  <c r="CH114" i="1"/>
  <c r="CH115" i="1"/>
  <c r="CH116" i="1"/>
  <c r="CH117" i="1"/>
  <c r="CH118" i="1"/>
  <c r="CH119" i="1"/>
  <c r="CH120" i="1"/>
  <c r="CH121" i="1"/>
  <c r="CH122" i="1"/>
  <c r="CH123" i="1"/>
  <c r="CH124" i="1"/>
  <c r="CH125" i="1"/>
  <c r="CH126" i="1"/>
  <c r="CH127" i="1"/>
  <c r="CH128" i="1"/>
  <c r="CH129" i="1"/>
  <c r="CH130" i="1"/>
  <c r="CH131" i="1"/>
  <c r="CH132" i="1"/>
  <c r="CH133" i="1"/>
  <c r="CH134" i="1"/>
  <c r="CH135" i="1"/>
  <c r="CH136" i="1"/>
  <c r="CH137" i="1"/>
  <c r="CH138" i="1"/>
  <c r="CH139" i="1"/>
  <c r="CH140" i="1"/>
  <c r="CH141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7" i="1"/>
  <c r="CH158" i="1"/>
  <c r="CH159" i="1"/>
  <c r="CH160" i="1"/>
  <c r="CH161" i="1"/>
  <c r="CH162" i="1"/>
  <c r="CH163" i="1"/>
  <c r="CH164" i="1"/>
  <c r="CH165" i="1"/>
  <c r="CH166" i="1"/>
  <c r="CH167" i="1"/>
  <c r="CH168" i="1"/>
  <c r="CH169" i="1"/>
  <c r="CH170" i="1"/>
  <c r="CH171" i="1"/>
  <c r="CH172" i="1"/>
  <c r="CH173" i="1"/>
  <c r="CH174" i="1"/>
  <c r="CH175" i="1"/>
  <c r="CH176" i="1"/>
  <c r="CH177" i="1"/>
  <c r="CH178" i="1"/>
  <c r="CH179" i="1"/>
  <c r="CH180" i="1"/>
  <c r="CH181" i="1"/>
  <c r="CH182" i="1"/>
  <c r="CH183" i="1"/>
  <c r="CH184" i="1"/>
  <c r="CH185" i="1"/>
  <c r="CH186" i="1"/>
  <c r="CH187" i="1"/>
  <c r="CH188" i="1"/>
  <c r="CH189" i="1"/>
  <c r="CH190" i="1"/>
  <c r="CH191" i="1"/>
  <c r="CH192" i="1"/>
  <c r="CH193" i="1"/>
  <c r="CH194" i="1"/>
  <c r="CH195" i="1"/>
  <c r="CH196" i="1"/>
  <c r="CH197" i="1"/>
  <c r="CH198" i="1"/>
  <c r="CH199" i="1"/>
  <c r="CH200" i="1"/>
  <c r="CH201" i="1"/>
  <c r="CH202" i="1"/>
  <c r="CH203" i="1"/>
  <c r="CH204" i="1"/>
  <c r="CH205" i="1"/>
  <c r="CH206" i="1"/>
  <c r="CH207" i="1"/>
  <c r="CH208" i="1"/>
  <c r="CH209" i="1"/>
  <c r="CH210" i="1"/>
  <c r="CH211" i="1"/>
  <c r="CH212" i="1"/>
  <c r="CH213" i="1"/>
  <c r="CH214" i="1"/>
  <c r="CH215" i="1"/>
  <c r="CH216" i="1"/>
  <c r="CH217" i="1"/>
  <c r="CH218" i="1"/>
  <c r="CH219" i="1"/>
  <c r="CH220" i="1"/>
  <c r="CH221" i="1"/>
  <c r="CH222" i="1"/>
  <c r="CH223" i="1"/>
  <c r="CH224" i="1"/>
  <c r="CH225" i="1"/>
  <c r="CH226" i="1"/>
  <c r="CH227" i="1"/>
  <c r="CH228" i="1"/>
  <c r="CH229" i="1"/>
  <c r="CH230" i="1"/>
  <c r="CH231" i="1"/>
  <c r="CH232" i="1"/>
  <c r="CH233" i="1"/>
  <c r="CH234" i="1"/>
  <c r="CH235" i="1"/>
  <c r="CH236" i="1"/>
  <c r="CH237" i="1"/>
  <c r="CH238" i="1"/>
  <c r="CH239" i="1"/>
  <c r="CH240" i="1"/>
  <c r="CH241" i="1"/>
  <c r="CH242" i="1"/>
  <c r="CH243" i="1"/>
  <c r="CH244" i="1"/>
  <c r="CH245" i="1"/>
  <c r="CH246" i="1"/>
  <c r="CH247" i="1"/>
  <c r="CH248" i="1"/>
  <c r="CH249" i="1"/>
  <c r="CH250" i="1"/>
  <c r="CH251" i="1"/>
  <c r="CH252" i="1"/>
  <c r="CH253" i="1"/>
  <c r="CH254" i="1"/>
  <c r="CH255" i="1"/>
  <c r="CH256" i="1"/>
  <c r="CH257" i="1"/>
  <c r="CH258" i="1"/>
  <c r="CH259" i="1"/>
  <c r="CH260" i="1"/>
  <c r="CH261" i="1"/>
  <c r="CH262" i="1"/>
  <c r="CH263" i="1"/>
  <c r="CH264" i="1"/>
  <c r="CH265" i="1"/>
  <c r="CH266" i="1"/>
  <c r="CH267" i="1"/>
  <c r="CH268" i="1"/>
  <c r="CH269" i="1"/>
  <c r="CH270" i="1"/>
  <c r="CH271" i="1"/>
  <c r="CH272" i="1"/>
  <c r="CH273" i="1"/>
  <c r="CH274" i="1"/>
  <c r="CH275" i="1"/>
  <c r="CH276" i="1"/>
  <c r="CH277" i="1"/>
  <c r="CH278" i="1"/>
  <c r="CH279" i="1"/>
  <c r="CH280" i="1"/>
  <c r="CH281" i="1"/>
  <c r="CH282" i="1"/>
  <c r="CH283" i="1"/>
  <c r="CH284" i="1"/>
  <c r="CH285" i="1"/>
  <c r="CH286" i="1"/>
  <c r="CH287" i="1"/>
  <c r="CH288" i="1"/>
  <c r="CH289" i="1"/>
  <c r="CH290" i="1"/>
  <c r="CH291" i="1"/>
  <c r="CH292" i="1"/>
  <c r="CH293" i="1"/>
  <c r="CH294" i="1"/>
  <c r="CH295" i="1"/>
  <c r="CH296" i="1"/>
  <c r="CH297" i="1"/>
  <c r="CH298" i="1"/>
  <c r="CH299" i="1"/>
  <c r="CH300" i="1"/>
  <c r="CH301" i="1"/>
  <c r="CH302" i="1"/>
  <c r="CH303" i="1"/>
  <c r="CH304" i="1"/>
  <c r="CH305" i="1"/>
  <c r="CH306" i="1"/>
  <c r="CH307" i="1"/>
  <c r="CH308" i="1"/>
  <c r="CH309" i="1"/>
  <c r="CH310" i="1"/>
  <c r="CH311" i="1"/>
  <c r="CH312" i="1"/>
  <c r="CH313" i="1"/>
  <c r="CH314" i="1"/>
  <c r="CH315" i="1"/>
  <c r="CH316" i="1"/>
  <c r="CH317" i="1"/>
  <c r="CH318" i="1"/>
  <c r="CH319" i="1"/>
  <c r="CH320" i="1"/>
  <c r="CH321" i="1"/>
  <c r="CH322" i="1"/>
  <c r="CH323" i="1"/>
  <c r="CH324" i="1"/>
  <c r="CH325" i="1"/>
  <c r="CH326" i="1"/>
  <c r="CH327" i="1"/>
  <c r="CH328" i="1"/>
  <c r="CH329" i="1"/>
  <c r="CH330" i="1"/>
  <c r="CH331" i="1"/>
  <c r="CH332" i="1"/>
  <c r="CH333" i="1"/>
  <c r="CH334" i="1"/>
  <c r="CH335" i="1"/>
  <c r="CH336" i="1"/>
  <c r="CH337" i="1"/>
  <c r="CH338" i="1"/>
  <c r="CH339" i="1"/>
  <c r="CH340" i="1"/>
  <c r="CH341" i="1"/>
  <c r="CH342" i="1"/>
  <c r="CH343" i="1"/>
  <c r="CH344" i="1"/>
  <c r="CH345" i="1"/>
  <c r="CH346" i="1"/>
  <c r="CH347" i="1"/>
  <c r="CH348" i="1"/>
  <c r="CH349" i="1"/>
  <c r="CH350" i="1"/>
  <c r="CH351" i="1"/>
  <c r="CH352" i="1"/>
  <c r="CH353" i="1"/>
  <c r="CH354" i="1"/>
  <c r="CH355" i="1"/>
  <c r="CH356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" i="1"/>
  <c r="N2" i="1"/>
  <c r="O2" i="1"/>
  <c r="K2" i="1" s="1"/>
  <c r="O3" i="1"/>
  <c r="K3" i="1" s="1"/>
  <c r="O4" i="1"/>
  <c r="O5" i="1"/>
  <c r="P5" i="1" s="1"/>
  <c r="O6" i="1"/>
  <c r="K6" i="1" s="1"/>
  <c r="O7" i="1"/>
  <c r="K7" i="1" s="1"/>
  <c r="O8" i="1"/>
  <c r="O9" i="1"/>
  <c r="P9" i="1" s="1"/>
  <c r="O10" i="1"/>
  <c r="K10" i="1" s="1"/>
  <c r="O11" i="1"/>
  <c r="K11" i="1" s="1"/>
  <c r="O12" i="1"/>
  <c r="O13" i="1"/>
  <c r="P13" i="1" s="1"/>
  <c r="O14" i="1"/>
  <c r="K14" i="1" s="1"/>
  <c r="O15" i="1"/>
  <c r="K15" i="1" s="1"/>
  <c r="O16" i="1"/>
  <c r="O17" i="1"/>
  <c r="P17" i="1" s="1"/>
  <c r="O18" i="1"/>
  <c r="K18" i="1" s="1"/>
  <c r="O19" i="1"/>
  <c r="K19" i="1" s="1"/>
  <c r="O20" i="1"/>
  <c r="O21" i="1"/>
  <c r="P21" i="1" s="1"/>
  <c r="O22" i="1"/>
  <c r="K22" i="1" s="1"/>
  <c r="O23" i="1"/>
  <c r="K23" i="1" s="1"/>
  <c r="O24" i="1"/>
  <c r="O25" i="1"/>
  <c r="P25" i="1" s="1"/>
  <c r="O26" i="1"/>
  <c r="K26" i="1" s="1"/>
  <c r="O27" i="1"/>
  <c r="K27" i="1" s="1"/>
  <c r="O28" i="1"/>
  <c r="O29" i="1"/>
  <c r="P29" i="1" s="1"/>
  <c r="O30" i="1"/>
  <c r="K30" i="1" s="1"/>
  <c r="O31" i="1"/>
  <c r="K31" i="1" s="1"/>
  <c r="O32" i="1"/>
  <c r="O33" i="1"/>
  <c r="P33" i="1" s="1"/>
  <c r="O34" i="1"/>
  <c r="K34" i="1" s="1"/>
  <c r="O35" i="1"/>
  <c r="K35" i="1" s="1"/>
  <c r="O36" i="1"/>
  <c r="O37" i="1"/>
  <c r="P37" i="1" s="1"/>
  <c r="O38" i="1"/>
  <c r="K38" i="1" s="1"/>
  <c r="O39" i="1"/>
  <c r="K39" i="1" s="1"/>
  <c r="O40" i="1"/>
  <c r="O41" i="1"/>
  <c r="P41" i="1" s="1"/>
  <c r="O42" i="1"/>
  <c r="K42" i="1" s="1"/>
  <c r="O43" i="1"/>
  <c r="K43" i="1" s="1"/>
  <c r="O44" i="1"/>
  <c r="O45" i="1"/>
  <c r="P45" i="1" s="1"/>
  <c r="O46" i="1"/>
  <c r="K46" i="1" s="1"/>
  <c r="O47" i="1"/>
  <c r="K47" i="1" s="1"/>
  <c r="O48" i="1"/>
  <c r="O49" i="1"/>
  <c r="P49" i="1" s="1"/>
  <c r="O50" i="1"/>
  <c r="K50" i="1" s="1"/>
  <c r="O51" i="1"/>
  <c r="K51" i="1" s="1"/>
  <c r="O52" i="1"/>
  <c r="O53" i="1"/>
  <c r="P53" i="1" s="1"/>
  <c r="O54" i="1"/>
  <c r="K54" i="1" s="1"/>
  <c r="O55" i="1"/>
  <c r="K55" i="1" s="1"/>
  <c r="O56" i="1"/>
  <c r="O57" i="1"/>
  <c r="P57" i="1" s="1"/>
  <c r="O58" i="1"/>
  <c r="K58" i="1" s="1"/>
  <c r="O59" i="1"/>
  <c r="K59" i="1" s="1"/>
  <c r="O60" i="1"/>
  <c r="O61" i="1"/>
  <c r="P61" i="1" s="1"/>
  <c r="O62" i="1"/>
  <c r="K62" i="1" s="1"/>
  <c r="O63" i="1"/>
  <c r="K63" i="1" s="1"/>
  <c r="O64" i="1"/>
  <c r="O65" i="1"/>
  <c r="P65" i="1" s="1"/>
  <c r="O66" i="1"/>
  <c r="K66" i="1" s="1"/>
  <c r="O67" i="1"/>
  <c r="K67" i="1" s="1"/>
  <c r="O68" i="1"/>
  <c r="O69" i="1"/>
  <c r="P69" i="1" s="1"/>
  <c r="O70" i="1"/>
  <c r="K70" i="1" s="1"/>
  <c r="O71" i="1"/>
  <c r="K71" i="1" s="1"/>
  <c r="O72" i="1"/>
  <c r="O73" i="1"/>
  <c r="P73" i="1" s="1"/>
  <c r="O74" i="1"/>
  <c r="K74" i="1" s="1"/>
  <c r="O75" i="1"/>
  <c r="K75" i="1" s="1"/>
  <c r="O76" i="1"/>
  <c r="O77" i="1"/>
  <c r="P77" i="1" s="1"/>
  <c r="O78" i="1"/>
  <c r="K78" i="1" s="1"/>
  <c r="O79" i="1"/>
  <c r="K79" i="1" s="1"/>
  <c r="O80" i="1"/>
  <c r="O81" i="1"/>
  <c r="P81" i="1" s="1"/>
  <c r="O82" i="1"/>
  <c r="K82" i="1" s="1"/>
  <c r="O83" i="1"/>
  <c r="K83" i="1" s="1"/>
  <c r="O84" i="1"/>
  <c r="O85" i="1"/>
  <c r="P85" i="1" s="1"/>
  <c r="O86" i="1"/>
  <c r="K86" i="1" s="1"/>
  <c r="O87" i="1"/>
  <c r="K87" i="1" s="1"/>
  <c r="O88" i="1"/>
  <c r="O89" i="1"/>
  <c r="P89" i="1" s="1"/>
  <c r="O90" i="1"/>
  <c r="K90" i="1" s="1"/>
  <c r="O91" i="1"/>
  <c r="K91" i="1" s="1"/>
  <c r="O92" i="1"/>
  <c r="O93" i="1"/>
  <c r="P93" i="1" s="1"/>
  <c r="O94" i="1"/>
  <c r="K94" i="1" s="1"/>
  <c r="O95" i="1"/>
  <c r="K95" i="1" s="1"/>
  <c r="O96" i="1"/>
  <c r="O97" i="1"/>
  <c r="P97" i="1" s="1"/>
  <c r="O98" i="1"/>
  <c r="K98" i="1" s="1"/>
  <c r="O99" i="1"/>
  <c r="K99" i="1" s="1"/>
  <c r="O100" i="1"/>
  <c r="O101" i="1"/>
  <c r="P101" i="1" s="1"/>
  <c r="O102" i="1"/>
  <c r="K102" i="1" s="1"/>
  <c r="O103" i="1"/>
  <c r="K103" i="1" s="1"/>
  <c r="O104" i="1"/>
  <c r="O105" i="1"/>
  <c r="P105" i="1" s="1"/>
  <c r="O106" i="1"/>
  <c r="K106" i="1" s="1"/>
  <c r="O107" i="1"/>
  <c r="K107" i="1" s="1"/>
  <c r="O108" i="1"/>
  <c r="O109" i="1"/>
  <c r="P109" i="1" s="1"/>
  <c r="O110" i="1"/>
  <c r="K110" i="1" s="1"/>
  <c r="O111" i="1"/>
  <c r="K111" i="1" s="1"/>
  <c r="O112" i="1"/>
  <c r="O113" i="1"/>
  <c r="P113" i="1" s="1"/>
  <c r="O114" i="1"/>
  <c r="K114" i="1" s="1"/>
  <c r="O115" i="1"/>
  <c r="K115" i="1" s="1"/>
  <c r="O116" i="1"/>
  <c r="O117" i="1"/>
  <c r="P117" i="1" s="1"/>
  <c r="O118" i="1"/>
  <c r="K118" i="1" s="1"/>
  <c r="O119" i="1"/>
  <c r="K119" i="1" s="1"/>
  <c r="O120" i="1"/>
  <c r="O121" i="1"/>
  <c r="P121" i="1" s="1"/>
  <c r="O122" i="1"/>
  <c r="K122" i="1" s="1"/>
  <c r="O123" i="1"/>
  <c r="K123" i="1" s="1"/>
  <c r="O124" i="1"/>
  <c r="O125" i="1"/>
  <c r="P125" i="1" s="1"/>
  <c r="O126" i="1"/>
  <c r="K126" i="1" s="1"/>
  <c r="O127" i="1"/>
  <c r="K127" i="1" s="1"/>
  <c r="O128" i="1"/>
  <c r="O129" i="1"/>
  <c r="P129" i="1" s="1"/>
  <c r="O130" i="1"/>
  <c r="K130" i="1" s="1"/>
  <c r="O131" i="1"/>
  <c r="K131" i="1" s="1"/>
  <c r="O132" i="1"/>
  <c r="O133" i="1"/>
  <c r="P133" i="1" s="1"/>
  <c r="O134" i="1"/>
  <c r="K134" i="1" s="1"/>
  <c r="O135" i="1"/>
  <c r="K135" i="1" s="1"/>
  <c r="O136" i="1"/>
  <c r="O137" i="1"/>
  <c r="P137" i="1" s="1"/>
  <c r="O138" i="1"/>
  <c r="K138" i="1" s="1"/>
  <c r="O139" i="1"/>
  <c r="K139" i="1" s="1"/>
  <c r="O140" i="1"/>
  <c r="O141" i="1"/>
  <c r="P141" i="1" s="1"/>
  <c r="O142" i="1"/>
  <c r="K142" i="1" s="1"/>
  <c r="O143" i="1"/>
  <c r="K143" i="1" s="1"/>
  <c r="O144" i="1"/>
  <c r="O145" i="1"/>
  <c r="P145" i="1" s="1"/>
  <c r="O146" i="1"/>
  <c r="K146" i="1" s="1"/>
  <c r="O147" i="1"/>
  <c r="K147" i="1" s="1"/>
  <c r="O148" i="1"/>
  <c r="O149" i="1"/>
  <c r="P149" i="1" s="1"/>
  <c r="O150" i="1"/>
  <c r="K150" i="1" s="1"/>
  <c r="O151" i="1"/>
  <c r="K151" i="1" s="1"/>
  <c r="O152" i="1"/>
  <c r="O153" i="1"/>
  <c r="P153" i="1" s="1"/>
  <c r="O154" i="1"/>
  <c r="K154" i="1" s="1"/>
  <c r="O155" i="1"/>
  <c r="K155" i="1" s="1"/>
  <c r="O156" i="1"/>
  <c r="O157" i="1"/>
  <c r="P157" i="1" s="1"/>
  <c r="O158" i="1"/>
  <c r="K158" i="1" s="1"/>
  <c r="O159" i="1"/>
  <c r="O160" i="1"/>
  <c r="O161" i="1"/>
  <c r="P161" i="1" s="1"/>
  <c r="O162" i="1"/>
  <c r="K162" i="1" s="1"/>
  <c r="O163" i="1"/>
  <c r="O164" i="1"/>
  <c r="O165" i="1"/>
  <c r="P165" i="1" s="1"/>
  <c r="O166" i="1"/>
  <c r="K166" i="1" s="1"/>
  <c r="O167" i="1"/>
  <c r="O168" i="1"/>
  <c r="O169" i="1"/>
  <c r="P169" i="1" s="1"/>
  <c r="O170" i="1"/>
  <c r="K170" i="1" s="1"/>
  <c r="O171" i="1"/>
  <c r="O172" i="1"/>
  <c r="O173" i="1"/>
  <c r="P173" i="1" s="1"/>
  <c r="O174" i="1"/>
  <c r="K174" i="1" s="1"/>
  <c r="O175" i="1"/>
  <c r="O176" i="1"/>
  <c r="O177" i="1"/>
  <c r="P177" i="1" s="1"/>
  <c r="O178" i="1"/>
  <c r="K178" i="1" s="1"/>
  <c r="O179" i="1"/>
  <c r="O180" i="1"/>
  <c r="O181" i="1"/>
  <c r="P181" i="1" s="1"/>
  <c r="O182" i="1"/>
  <c r="K182" i="1" s="1"/>
  <c r="O183" i="1"/>
  <c r="O184" i="1"/>
  <c r="O185" i="1"/>
  <c r="P185" i="1" s="1"/>
  <c r="O186" i="1"/>
  <c r="K186" i="1" s="1"/>
  <c r="O187" i="1"/>
  <c r="O188" i="1"/>
  <c r="O189" i="1"/>
  <c r="P189" i="1" s="1"/>
  <c r="O190" i="1"/>
  <c r="K190" i="1" s="1"/>
  <c r="O191" i="1"/>
  <c r="O192" i="1"/>
  <c r="O193" i="1"/>
  <c r="P193" i="1" s="1"/>
  <c r="O194" i="1"/>
  <c r="K194" i="1" s="1"/>
  <c r="O195" i="1"/>
  <c r="O196" i="1"/>
  <c r="O197" i="1"/>
  <c r="P197" i="1" s="1"/>
  <c r="O198" i="1"/>
  <c r="K198" i="1" s="1"/>
  <c r="O199" i="1"/>
  <c r="O200" i="1"/>
  <c r="O201" i="1"/>
  <c r="P201" i="1" s="1"/>
  <c r="O202" i="1"/>
  <c r="K202" i="1" s="1"/>
  <c r="O203" i="1"/>
  <c r="O204" i="1"/>
  <c r="O205" i="1"/>
  <c r="P205" i="1" s="1"/>
  <c r="O206" i="1"/>
  <c r="K206" i="1" s="1"/>
  <c r="O207" i="1"/>
  <c r="O208" i="1"/>
  <c r="O209" i="1"/>
  <c r="P209" i="1" s="1"/>
  <c r="O210" i="1"/>
  <c r="K210" i="1" s="1"/>
  <c r="O211" i="1"/>
  <c r="O212" i="1"/>
  <c r="O213" i="1"/>
  <c r="P213" i="1" s="1"/>
  <c r="O214" i="1"/>
  <c r="K214" i="1" s="1"/>
  <c r="O215" i="1"/>
  <c r="O216" i="1"/>
  <c r="O217" i="1"/>
  <c r="P217" i="1" s="1"/>
  <c r="O218" i="1"/>
  <c r="K218" i="1" s="1"/>
  <c r="O219" i="1"/>
  <c r="O220" i="1"/>
  <c r="O221" i="1"/>
  <c r="P221" i="1" s="1"/>
  <c r="O222" i="1"/>
  <c r="K222" i="1" s="1"/>
  <c r="O223" i="1"/>
  <c r="O224" i="1"/>
  <c r="O225" i="1"/>
  <c r="P225" i="1" s="1"/>
  <c r="O226" i="1"/>
  <c r="K226" i="1" s="1"/>
  <c r="O227" i="1"/>
  <c r="O228" i="1"/>
  <c r="O229" i="1"/>
  <c r="P229" i="1" s="1"/>
  <c r="O230" i="1"/>
  <c r="K230" i="1" s="1"/>
  <c r="O231" i="1"/>
  <c r="O232" i="1"/>
  <c r="O233" i="1"/>
  <c r="P233" i="1" s="1"/>
  <c r="O234" i="1"/>
  <c r="K234" i="1" s="1"/>
  <c r="O235" i="1"/>
  <c r="O236" i="1"/>
  <c r="O237" i="1"/>
  <c r="P237" i="1" s="1"/>
  <c r="O238" i="1"/>
  <c r="K238" i="1" s="1"/>
  <c r="O239" i="1"/>
  <c r="O240" i="1"/>
  <c r="O241" i="1"/>
  <c r="P241" i="1" s="1"/>
  <c r="O242" i="1"/>
  <c r="K242" i="1" s="1"/>
  <c r="O243" i="1"/>
  <c r="O244" i="1"/>
  <c r="O245" i="1"/>
  <c r="P245" i="1" s="1"/>
  <c r="O246" i="1"/>
  <c r="K246" i="1" s="1"/>
  <c r="O247" i="1"/>
  <c r="O248" i="1"/>
  <c r="O249" i="1"/>
  <c r="P249" i="1" s="1"/>
  <c r="O250" i="1"/>
  <c r="K250" i="1" s="1"/>
  <c r="O251" i="1"/>
  <c r="O252" i="1"/>
  <c r="O253" i="1"/>
  <c r="P253" i="1" s="1"/>
  <c r="O254" i="1"/>
  <c r="K254" i="1" s="1"/>
  <c r="O255" i="1"/>
  <c r="O256" i="1"/>
  <c r="O257" i="1"/>
  <c r="P257" i="1" s="1"/>
  <c r="O258" i="1"/>
  <c r="K258" i="1" s="1"/>
  <c r="O259" i="1"/>
  <c r="O260" i="1"/>
  <c r="O261" i="1"/>
  <c r="P261" i="1" s="1"/>
  <c r="O262" i="1"/>
  <c r="K262" i="1" s="1"/>
  <c r="O263" i="1"/>
  <c r="O264" i="1"/>
  <c r="O265" i="1"/>
  <c r="P265" i="1" s="1"/>
  <c r="O266" i="1"/>
  <c r="K266" i="1" s="1"/>
  <c r="O267" i="1"/>
  <c r="O268" i="1"/>
  <c r="O269" i="1"/>
  <c r="P269" i="1" s="1"/>
  <c r="O270" i="1"/>
  <c r="K270" i="1" s="1"/>
  <c r="O271" i="1"/>
  <c r="O272" i="1"/>
  <c r="O273" i="1"/>
  <c r="P273" i="1" s="1"/>
  <c r="O274" i="1"/>
  <c r="K274" i="1" s="1"/>
  <c r="O275" i="1"/>
  <c r="O276" i="1"/>
  <c r="O277" i="1"/>
  <c r="P277" i="1" s="1"/>
  <c r="O278" i="1"/>
  <c r="K278" i="1" s="1"/>
  <c r="O279" i="1"/>
  <c r="O280" i="1"/>
  <c r="O281" i="1"/>
  <c r="P281" i="1" s="1"/>
  <c r="O282" i="1"/>
  <c r="K282" i="1" s="1"/>
  <c r="O283" i="1"/>
  <c r="O284" i="1"/>
  <c r="O285" i="1"/>
  <c r="P285" i="1" s="1"/>
  <c r="O286" i="1"/>
  <c r="K286" i="1" s="1"/>
  <c r="O287" i="1"/>
  <c r="O288" i="1"/>
  <c r="O289" i="1"/>
  <c r="P289" i="1" s="1"/>
  <c r="O290" i="1"/>
  <c r="K290" i="1" s="1"/>
  <c r="O291" i="1"/>
  <c r="O292" i="1"/>
  <c r="O293" i="1"/>
  <c r="P293" i="1" s="1"/>
  <c r="O294" i="1"/>
  <c r="K294" i="1" s="1"/>
  <c r="O295" i="1"/>
  <c r="O296" i="1"/>
  <c r="O297" i="1"/>
  <c r="P297" i="1" s="1"/>
  <c r="O298" i="1"/>
  <c r="K298" i="1" s="1"/>
  <c r="O299" i="1"/>
  <c r="O300" i="1"/>
  <c r="O301" i="1"/>
  <c r="P301" i="1" s="1"/>
  <c r="O302" i="1"/>
  <c r="K302" i="1" s="1"/>
  <c r="O303" i="1"/>
  <c r="O304" i="1"/>
  <c r="O305" i="1"/>
  <c r="P305" i="1" s="1"/>
  <c r="O306" i="1"/>
  <c r="K306" i="1" s="1"/>
  <c r="O307" i="1"/>
  <c r="O308" i="1"/>
  <c r="O309" i="1"/>
  <c r="P309" i="1" s="1"/>
  <c r="O310" i="1"/>
  <c r="K310" i="1" s="1"/>
  <c r="O311" i="1"/>
  <c r="O312" i="1"/>
  <c r="O313" i="1"/>
  <c r="P313" i="1" s="1"/>
  <c r="O314" i="1"/>
  <c r="K314" i="1" s="1"/>
  <c r="O315" i="1"/>
  <c r="O316" i="1"/>
  <c r="O317" i="1"/>
  <c r="P317" i="1" s="1"/>
  <c r="O318" i="1"/>
  <c r="K318" i="1" s="1"/>
  <c r="O319" i="1"/>
  <c r="O320" i="1"/>
  <c r="O321" i="1"/>
  <c r="P321" i="1" s="1"/>
  <c r="O322" i="1"/>
  <c r="K322" i="1" s="1"/>
  <c r="O323" i="1"/>
  <c r="O324" i="1"/>
  <c r="O325" i="1"/>
  <c r="P325" i="1" s="1"/>
  <c r="O326" i="1"/>
  <c r="K326" i="1" s="1"/>
  <c r="O327" i="1"/>
  <c r="O328" i="1"/>
  <c r="O329" i="1"/>
  <c r="P329" i="1" s="1"/>
  <c r="O330" i="1"/>
  <c r="K330" i="1" s="1"/>
  <c r="O331" i="1"/>
  <c r="O332" i="1"/>
  <c r="O333" i="1"/>
  <c r="P333" i="1" s="1"/>
  <c r="O334" i="1"/>
  <c r="K334" i="1" s="1"/>
  <c r="O335" i="1"/>
  <c r="O336" i="1"/>
  <c r="O337" i="1"/>
  <c r="P337" i="1" s="1"/>
  <c r="O338" i="1"/>
  <c r="K338" i="1" s="1"/>
  <c r="O339" i="1"/>
  <c r="O340" i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O356" i="1"/>
  <c r="P356" i="1" s="1"/>
  <c r="CC2" i="1"/>
  <c r="CC3" i="1"/>
  <c r="CC4" i="1"/>
  <c r="CC5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02" i="1"/>
  <c r="CC103" i="1"/>
  <c r="CC104" i="1"/>
  <c r="CC105" i="1"/>
  <c r="CC106" i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C136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0" i="1"/>
  <c r="CC171" i="1"/>
  <c r="CC172" i="1"/>
  <c r="CC173" i="1"/>
  <c r="CC174" i="1"/>
  <c r="CC175" i="1"/>
  <c r="CC176" i="1"/>
  <c r="CC177" i="1"/>
  <c r="CC178" i="1"/>
  <c r="CC179" i="1"/>
  <c r="CC180" i="1"/>
  <c r="CC181" i="1"/>
  <c r="CC182" i="1"/>
  <c r="CC183" i="1"/>
  <c r="CC184" i="1"/>
  <c r="CC185" i="1"/>
  <c r="CC186" i="1"/>
  <c r="CC187" i="1"/>
  <c r="CC188" i="1"/>
  <c r="CC189" i="1"/>
  <c r="CC190" i="1"/>
  <c r="CC191" i="1"/>
  <c r="CC192" i="1"/>
  <c r="CC193" i="1"/>
  <c r="CC194" i="1"/>
  <c r="CC195" i="1"/>
  <c r="CC196" i="1"/>
  <c r="CC197" i="1"/>
  <c r="CC198" i="1"/>
  <c r="CC199" i="1"/>
  <c r="CC200" i="1"/>
  <c r="CC201" i="1"/>
  <c r="CC202" i="1"/>
  <c r="CC203" i="1"/>
  <c r="CC204" i="1"/>
  <c r="CC205" i="1"/>
  <c r="CC206" i="1"/>
  <c r="CC207" i="1"/>
  <c r="CC208" i="1"/>
  <c r="CC209" i="1"/>
  <c r="CC210" i="1"/>
  <c r="CC211" i="1"/>
  <c r="CC212" i="1"/>
  <c r="CC213" i="1"/>
  <c r="CC214" i="1"/>
  <c r="CC215" i="1"/>
  <c r="CC216" i="1"/>
  <c r="CC217" i="1"/>
  <c r="CC218" i="1"/>
  <c r="CC219" i="1"/>
  <c r="CC220" i="1"/>
  <c r="CC221" i="1"/>
  <c r="CC222" i="1"/>
  <c r="CC223" i="1"/>
  <c r="CC224" i="1"/>
  <c r="CC225" i="1"/>
  <c r="CC226" i="1"/>
  <c r="CC227" i="1"/>
  <c r="CC228" i="1"/>
  <c r="CC229" i="1"/>
  <c r="CC230" i="1"/>
  <c r="CC231" i="1"/>
  <c r="CC232" i="1"/>
  <c r="CC233" i="1"/>
  <c r="CC234" i="1"/>
  <c r="CC235" i="1"/>
  <c r="CC236" i="1"/>
  <c r="CC237" i="1"/>
  <c r="CC238" i="1"/>
  <c r="CC239" i="1"/>
  <c r="CC240" i="1"/>
  <c r="CC241" i="1"/>
  <c r="CC242" i="1"/>
  <c r="CC243" i="1"/>
  <c r="CC244" i="1"/>
  <c r="CC245" i="1"/>
  <c r="CC246" i="1"/>
  <c r="CC247" i="1"/>
  <c r="CC248" i="1"/>
  <c r="CC249" i="1"/>
  <c r="CC250" i="1"/>
  <c r="CC251" i="1"/>
  <c r="CC252" i="1"/>
  <c r="CC253" i="1"/>
  <c r="CC254" i="1"/>
  <c r="CC255" i="1"/>
  <c r="CC256" i="1"/>
  <c r="CC257" i="1"/>
  <c r="CC258" i="1"/>
  <c r="CC259" i="1"/>
  <c r="CC260" i="1"/>
  <c r="CC261" i="1"/>
  <c r="CC262" i="1"/>
  <c r="CC263" i="1"/>
  <c r="CC264" i="1"/>
  <c r="CC265" i="1"/>
  <c r="CC266" i="1"/>
  <c r="CC267" i="1"/>
  <c r="CC268" i="1"/>
  <c r="CC269" i="1"/>
  <c r="CC270" i="1"/>
  <c r="CC271" i="1"/>
  <c r="CC272" i="1"/>
  <c r="CC273" i="1"/>
  <c r="CC274" i="1"/>
  <c r="CC275" i="1"/>
  <c r="CC276" i="1"/>
  <c r="CC277" i="1"/>
  <c r="CC278" i="1"/>
  <c r="CC279" i="1"/>
  <c r="CC280" i="1"/>
  <c r="CC281" i="1"/>
  <c r="CC282" i="1"/>
  <c r="CC283" i="1"/>
  <c r="CC284" i="1"/>
  <c r="CC285" i="1"/>
  <c r="CC286" i="1"/>
  <c r="CC287" i="1"/>
  <c r="CC288" i="1"/>
  <c r="CC289" i="1"/>
  <c r="CC290" i="1"/>
  <c r="CC291" i="1"/>
  <c r="CC292" i="1"/>
  <c r="CC293" i="1"/>
  <c r="CC294" i="1"/>
  <c r="CC295" i="1"/>
  <c r="CC296" i="1"/>
  <c r="CC297" i="1"/>
  <c r="CC298" i="1"/>
  <c r="CC299" i="1"/>
  <c r="CC300" i="1"/>
  <c r="CC301" i="1"/>
  <c r="CC302" i="1"/>
  <c r="CC303" i="1"/>
  <c r="CC304" i="1"/>
  <c r="CC305" i="1"/>
  <c r="CC306" i="1"/>
  <c r="CC307" i="1"/>
  <c r="CC308" i="1"/>
  <c r="CC309" i="1"/>
  <c r="CC310" i="1"/>
  <c r="CC311" i="1"/>
  <c r="CC312" i="1"/>
  <c r="CC313" i="1"/>
  <c r="CC314" i="1"/>
  <c r="CC315" i="1"/>
  <c r="CC316" i="1"/>
  <c r="CC317" i="1"/>
  <c r="CC318" i="1"/>
  <c r="CC319" i="1"/>
  <c r="CC320" i="1"/>
  <c r="CC321" i="1"/>
  <c r="CC322" i="1"/>
  <c r="CC323" i="1"/>
  <c r="CC324" i="1"/>
  <c r="CC325" i="1"/>
  <c r="CC326" i="1"/>
  <c r="CC327" i="1"/>
  <c r="CC328" i="1"/>
  <c r="CC329" i="1"/>
  <c r="CC330" i="1"/>
  <c r="CC331" i="1"/>
  <c r="CC332" i="1"/>
  <c r="CC333" i="1"/>
  <c r="CC334" i="1"/>
  <c r="CC335" i="1"/>
  <c r="CC336" i="1"/>
  <c r="CC337" i="1"/>
  <c r="CC338" i="1"/>
  <c r="CC339" i="1"/>
  <c r="CC340" i="1"/>
  <c r="CC341" i="1"/>
  <c r="CC342" i="1"/>
  <c r="CC343" i="1"/>
  <c r="CC344" i="1"/>
  <c r="CC345" i="1"/>
  <c r="CC346" i="1"/>
  <c r="CC347" i="1"/>
  <c r="CC348" i="1"/>
  <c r="CC349" i="1"/>
  <c r="CC350" i="1"/>
  <c r="CC351" i="1"/>
  <c r="CC352" i="1"/>
  <c r="CC353" i="1"/>
  <c r="CC354" i="1"/>
  <c r="CC355" i="1"/>
  <c r="CC356" i="1"/>
  <c r="BW2" i="1"/>
  <c r="BW3" i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176" i="1"/>
  <c r="BW177" i="1"/>
  <c r="BW178" i="1"/>
  <c r="BW179" i="1"/>
  <c r="BW180" i="1"/>
  <c r="BW181" i="1"/>
  <c r="BW182" i="1"/>
  <c r="BW183" i="1"/>
  <c r="BW184" i="1"/>
  <c r="BW185" i="1"/>
  <c r="BW186" i="1"/>
  <c r="BW187" i="1"/>
  <c r="BW188" i="1"/>
  <c r="BW189" i="1"/>
  <c r="BW190" i="1"/>
  <c r="BW191" i="1"/>
  <c r="BW192" i="1"/>
  <c r="BW193" i="1"/>
  <c r="BW194" i="1"/>
  <c r="BW195" i="1"/>
  <c r="BW196" i="1"/>
  <c r="BW197" i="1"/>
  <c r="BW198" i="1"/>
  <c r="BW199" i="1"/>
  <c r="BW200" i="1"/>
  <c r="BW201" i="1"/>
  <c r="BW202" i="1"/>
  <c r="BW203" i="1"/>
  <c r="BW204" i="1"/>
  <c r="BW205" i="1"/>
  <c r="BW206" i="1"/>
  <c r="BW207" i="1"/>
  <c r="BW208" i="1"/>
  <c r="BW209" i="1"/>
  <c r="BW210" i="1"/>
  <c r="BW211" i="1"/>
  <c r="BW212" i="1"/>
  <c r="BW213" i="1"/>
  <c r="BW214" i="1"/>
  <c r="BW215" i="1"/>
  <c r="BW216" i="1"/>
  <c r="BW217" i="1"/>
  <c r="BW218" i="1"/>
  <c r="BW219" i="1"/>
  <c r="BW220" i="1"/>
  <c r="BW221" i="1"/>
  <c r="BW222" i="1"/>
  <c r="BW223" i="1"/>
  <c r="BW224" i="1"/>
  <c r="BW225" i="1"/>
  <c r="BW226" i="1"/>
  <c r="BW227" i="1"/>
  <c r="BW228" i="1"/>
  <c r="BW229" i="1"/>
  <c r="BW230" i="1"/>
  <c r="BW231" i="1"/>
  <c r="BW232" i="1"/>
  <c r="BW233" i="1"/>
  <c r="BW234" i="1"/>
  <c r="BW235" i="1"/>
  <c r="BW236" i="1"/>
  <c r="BW237" i="1"/>
  <c r="BW238" i="1"/>
  <c r="BW239" i="1"/>
  <c r="BW240" i="1"/>
  <c r="BW241" i="1"/>
  <c r="BW242" i="1"/>
  <c r="BW243" i="1"/>
  <c r="BW244" i="1"/>
  <c r="BW245" i="1"/>
  <c r="BW246" i="1"/>
  <c r="BW247" i="1"/>
  <c r="BW248" i="1"/>
  <c r="BW249" i="1"/>
  <c r="BW250" i="1"/>
  <c r="BW251" i="1"/>
  <c r="BW252" i="1"/>
  <c r="BW253" i="1"/>
  <c r="BW254" i="1"/>
  <c r="BW255" i="1"/>
  <c r="BW256" i="1"/>
  <c r="BW257" i="1"/>
  <c r="BW258" i="1"/>
  <c r="BW259" i="1"/>
  <c r="BW260" i="1"/>
  <c r="BW261" i="1"/>
  <c r="BW262" i="1"/>
  <c r="BW263" i="1"/>
  <c r="BW264" i="1"/>
  <c r="BW265" i="1"/>
  <c r="BW266" i="1"/>
  <c r="BW267" i="1"/>
  <c r="BW268" i="1"/>
  <c r="BW269" i="1"/>
  <c r="BW270" i="1"/>
  <c r="BW271" i="1"/>
  <c r="BW272" i="1"/>
  <c r="BW273" i="1"/>
  <c r="BW274" i="1"/>
  <c r="BW275" i="1"/>
  <c r="BW276" i="1"/>
  <c r="BW277" i="1"/>
  <c r="BW278" i="1"/>
  <c r="BW279" i="1"/>
  <c r="BW280" i="1"/>
  <c r="BW281" i="1"/>
  <c r="BW282" i="1"/>
  <c r="BW283" i="1"/>
  <c r="BW284" i="1"/>
  <c r="BW285" i="1"/>
  <c r="BW286" i="1"/>
  <c r="BW287" i="1"/>
  <c r="BW288" i="1"/>
  <c r="BW289" i="1"/>
  <c r="BW290" i="1"/>
  <c r="BW291" i="1"/>
  <c r="BW292" i="1"/>
  <c r="BW293" i="1"/>
  <c r="BW294" i="1"/>
  <c r="BW295" i="1"/>
  <c r="BW296" i="1"/>
  <c r="BW297" i="1"/>
  <c r="BW298" i="1"/>
  <c r="BW299" i="1"/>
  <c r="BW300" i="1"/>
  <c r="BW301" i="1"/>
  <c r="BW302" i="1"/>
  <c r="BW303" i="1"/>
  <c r="BW304" i="1"/>
  <c r="BW305" i="1"/>
  <c r="BW306" i="1"/>
  <c r="BW307" i="1"/>
  <c r="BW308" i="1"/>
  <c r="BW309" i="1"/>
  <c r="BW310" i="1"/>
  <c r="BW311" i="1"/>
  <c r="BW312" i="1"/>
  <c r="BW313" i="1"/>
  <c r="BW314" i="1"/>
  <c r="BW315" i="1"/>
  <c r="BW316" i="1"/>
  <c r="BW317" i="1"/>
  <c r="BW318" i="1"/>
  <c r="BW319" i="1"/>
  <c r="BW320" i="1"/>
  <c r="BW321" i="1"/>
  <c r="BW322" i="1"/>
  <c r="BW323" i="1"/>
  <c r="BW324" i="1"/>
  <c r="BW325" i="1"/>
  <c r="BW326" i="1"/>
  <c r="BW327" i="1"/>
  <c r="BW328" i="1"/>
  <c r="BW329" i="1"/>
  <c r="BW330" i="1"/>
  <c r="BW331" i="1"/>
  <c r="BW332" i="1"/>
  <c r="BW333" i="1"/>
  <c r="BW334" i="1"/>
  <c r="BW335" i="1"/>
  <c r="BW336" i="1"/>
  <c r="BW337" i="1"/>
  <c r="BW338" i="1"/>
  <c r="BW339" i="1"/>
  <c r="BW340" i="1"/>
  <c r="BW341" i="1"/>
  <c r="BW342" i="1"/>
  <c r="BW343" i="1"/>
  <c r="BW344" i="1"/>
  <c r="BW345" i="1"/>
  <c r="BW346" i="1"/>
  <c r="BW347" i="1"/>
  <c r="BW348" i="1"/>
  <c r="BW349" i="1"/>
  <c r="BW350" i="1"/>
  <c r="BW351" i="1"/>
  <c r="BW352" i="1"/>
  <c r="BW353" i="1"/>
  <c r="BW354" i="1"/>
  <c r="BW355" i="1"/>
  <c r="BW356" i="1"/>
  <c r="DH3" i="1"/>
  <c r="DH4" i="1"/>
  <c r="DH5" i="1"/>
  <c r="DH6" i="1"/>
  <c r="DH7" i="1"/>
  <c r="DH8" i="1"/>
  <c r="DH9" i="1"/>
  <c r="DH10" i="1"/>
  <c r="DH11" i="1"/>
  <c r="DH12" i="1"/>
  <c r="DH13" i="1"/>
  <c r="DH14" i="1"/>
  <c r="DH15" i="1"/>
  <c r="DH16" i="1"/>
  <c r="DH17" i="1"/>
  <c r="DH18" i="1"/>
  <c r="DH19" i="1"/>
  <c r="DH20" i="1"/>
  <c r="DH21" i="1"/>
  <c r="DH22" i="1"/>
  <c r="DH23" i="1"/>
  <c r="DH24" i="1"/>
  <c r="DH25" i="1"/>
  <c r="DH26" i="1"/>
  <c r="DH27" i="1"/>
  <c r="DH28" i="1"/>
  <c r="DH29" i="1"/>
  <c r="DH30" i="1"/>
  <c r="DH31" i="1"/>
  <c r="DH32" i="1"/>
  <c r="DH33" i="1"/>
  <c r="DH34" i="1"/>
  <c r="DH35" i="1"/>
  <c r="DH36" i="1"/>
  <c r="DH37" i="1"/>
  <c r="DH38" i="1"/>
  <c r="DH39" i="1"/>
  <c r="DH40" i="1"/>
  <c r="DH41" i="1"/>
  <c r="DH42" i="1"/>
  <c r="DH43" i="1"/>
  <c r="DH44" i="1"/>
  <c r="DH45" i="1"/>
  <c r="DH46" i="1"/>
  <c r="DH47" i="1"/>
  <c r="DH48" i="1"/>
  <c r="DH49" i="1"/>
  <c r="DH50" i="1"/>
  <c r="DH51" i="1"/>
  <c r="DH52" i="1"/>
  <c r="DH53" i="1"/>
  <c r="DH54" i="1"/>
  <c r="DH55" i="1"/>
  <c r="DH56" i="1"/>
  <c r="DH57" i="1"/>
  <c r="DH58" i="1"/>
  <c r="DH59" i="1"/>
  <c r="DH60" i="1"/>
  <c r="DH61" i="1"/>
  <c r="DH62" i="1"/>
  <c r="DH63" i="1"/>
  <c r="DH64" i="1"/>
  <c r="DH65" i="1"/>
  <c r="DH66" i="1"/>
  <c r="DH67" i="1"/>
  <c r="DH68" i="1"/>
  <c r="DH69" i="1"/>
  <c r="DH70" i="1"/>
  <c r="DH71" i="1"/>
  <c r="DH72" i="1"/>
  <c r="DH73" i="1"/>
  <c r="DH74" i="1"/>
  <c r="DH75" i="1"/>
  <c r="DH76" i="1"/>
  <c r="DH77" i="1"/>
  <c r="DH78" i="1"/>
  <c r="DH79" i="1"/>
  <c r="DH80" i="1"/>
  <c r="DH81" i="1"/>
  <c r="DH82" i="1"/>
  <c r="DH83" i="1"/>
  <c r="DH84" i="1"/>
  <c r="DH85" i="1"/>
  <c r="DH86" i="1"/>
  <c r="DH87" i="1"/>
  <c r="DH88" i="1"/>
  <c r="DH89" i="1"/>
  <c r="DH90" i="1"/>
  <c r="DH91" i="1"/>
  <c r="DH92" i="1"/>
  <c r="DH93" i="1"/>
  <c r="DH94" i="1"/>
  <c r="DH95" i="1"/>
  <c r="DH96" i="1"/>
  <c r="DH97" i="1"/>
  <c r="DH98" i="1"/>
  <c r="DH99" i="1"/>
  <c r="DH100" i="1"/>
  <c r="DH101" i="1"/>
  <c r="DH102" i="1"/>
  <c r="DH103" i="1"/>
  <c r="DH104" i="1"/>
  <c r="DH105" i="1"/>
  <c r="DH106" i="1"/>
  <c r="DH107" i="1"/>
  <c r="DH108" i="1"/>
  <c r="DH109" i="1"/>
  <c r="DH110" i="1"/>
  <c r="DH111" i="1"/>
  <c r="DH112" i="1"/>
  <c r="DH113" i="1"/>
  <c r="DH114" i="1"/>
  <c r="DH115" i="1"/>
  <c r="DH116" i="1"/>
  <c r="DH117" i="1"/>
  <c r="DH118" i="1"/>
  <c r="DH119" i="1"/>
  <c r="DH120" i="1"/>
  <c r="DH121" i="1"/>
  <c r="DH122" i="1"/>
  <c r="DH123" i="1"/>
  <c r="DH124" i="1"/>
  <c r="DH125" i="1"/>
  <c r="DH126" i="1"/>
  <c r="DH127" i="1"/>
  <c r="DH128" i="1"/>
  <c r="DH129" i="1"/>
  <c r="DH130" i="1"/>
  <c r="DH131" i="1"/>
  <c r="DH132" i="1"/>
  <c r="DH133" i="1"/>
  <c r="DH134" i="1"/>
  <c r="DH135" i="1"/>
  <c r="DH136" i="1"/>
  <c r="DH137" i="1"/>
  <c r="DH138" i="1"/>
  <c r="DH139" i="1"/>
  <c r="DH140" i="1"/>
  <c r="DH141" i="1"/>
  <c r="DH142" i="1"/>
  <c r="DH143" i="1"/>
  <c r="DH144" i="1"/>
  <c r="DH145" i="1"/>
  <c r="DH146" i="1"/>
  <c r="DH147" i="1"/>
  <c r="DH148" i="1"/>
  <c r="DH149" i="1"/>
  <c r="DH150" i="1"/>
  <c r="DH151" i="1"/>
  <c r="DH152" i="1"/>
  <c r="DH153" i="1"/>
  <c r="DH154" i="1"/>
  <c r="DH155" i="1"/>
  <c r="DH156" i="1"/>
  <c r="DH157" i="1"/>
  <c r="DH158" i="1"/>
  <c r="DH159" i="1"/>
  <c r="DH160" i="1"/>
  <c r="DH161" i="1"/>
  <c r="DH162" i="1"/>
  <c r="DH163" i="1"/>
  <c r="DH164" i="1"/>
  <c r="DH165" i="1"/>
  <c r="DH166" i="1"/>
  <c r="DH167" i="1"/>
  <c r="DH168" i="1"/>
  <c r="DH169" i="1"/>
  <c r="DH170" i="1"/>
  <c r="DH171" i="1"/>
  <c r="DH172" i="1"/>
  <c r="DH173" i="1"/>
  <c r="DH174" i="1"/>
  <c r="DH175" i="1"/>
  <c r="DH176" i="1"/>
  <c r="DH177" i="1"/>
  <c r="DH178" i="1"/>
  <c r="DH179" i="1"/>
  <c r="DH180" i="1"/>
  <c r="DH181" i="1"/>
  <c r="DH182" i="1"/>
  <c r="DH183" i="1"/>
  <c r="DH184" i="1"/>
  <c r="DH185" i="1"/>
  <c r="DH186" i="1"/>
  <c r="DH187" i="1"/>
  <c r="DH188" i="1"/>
  <c r="DH189" i="1"/>
  <c r="DH190" i="1"/>
  <c r="DH191" i="1"/>
  <c r="DH192" i="1"/>
  <c r="DH193" i="1"/>
  <c r="DH194" i="1"/>
  <c r="DH195" i="1"/>
  <c r="DH196" i="1"/>
  <c r="DH197" i="1"/>
  <c r="DH198" i="1"/>
  <c r="DH199" i="1"/>
  <c r="DH200" i="1"/>
  <c r="DH201" i="1"/>
  <c r="DH202" i="1"/>
  <c r="DH203" i="1"/>
  <c r="DH204" i="1"/>
  <c r="DH205" i="1"/>
  <c r="DH206" i="1"/>
  <c r="DH207" i="1"/>
  <c r="DH208" i="1"/>
  <c r="DH209" i="1"/>
  <c r="DH210" i="1"/>
  <c r="DH211" i="1"/>
  <c r="DH212" i="1"/>
  <c r="DH213" i="1"/>
  <c r="DH214" i="1"/>
  <c r="DH215" i="1"/>
  <c r="DH216" i="1"/>
  <c r="DH217" i="1"/>
  <c r="DH218" i="1"/>
  <c r="DH219" i="1"/>
  <c r="DH220" i="1"/>
  <c r="DH221" i="1"/>
  <c r="DH222" i="1"/>
  <c r="DH223" i="1"/>
  <c r="DH224" i="1"/>
  <c r="DH225" i="1"/>
  <c r="DH226" i="1"/>
  <c r="DH227" i="1"/>
  <c r="DH228" i="1"/>
  <c r="DH229" i="1"/>
  <c r="DH230" i="1"/>
  <c r="DH231" i="1"/>
  <c r="DH232" i="1"/>
  <c r="DH233" i="1"/>
  <c r="DH234" i="1"/>
  <c r="DH235" i="1"/>
  <c r="DH236" i="1"/>
  <c r="DH237" i="1"/>
  <c r="DH238" i="1"/>
  <c r="DH239" i="1"/>
  <c r="DH240" i="1"/>
  <c r="DH241" i="1"/>
  <c r="DH242" i="1"/>
  <c r="DH243" i="1"/>
  <c r="DH244" i="1"/>
  <c r="DH245" i="1"/>
  <c r="DH246" i="1"/>
  <c r="DH247" i="1"/>
  <c r="DH248" i="1"/>
  <c r="DH249" i="1"/>
  <c r="DH250" i="1"/>
  <c r="DH251" i="1"/>
  <c r="DH252" i="1"/>
  <c r="DH253" i="1"/>
  <c r="DH254" i="1"/>
  <c r="DH255" i="1"/>
  <c r="DH256" i="1"/>
  <c r="DH257" i="1"/>
  <c r="DH258" i="1"/>
  <c r="DH259" i="1"/>
  <c r="DH260" i="1"/>
  <c r="DH261" i="1"/>
  <c r="DH262" i="1"/>
  <c r="DH263" i="1"/>
  <c r="DH264" i="1"/>
  <c r="DH265" i="1"/>
  <c r="DH266" i="1"/>
  <c r="DH267" i="1"/>
  <c r="DH268" i="1"/>
  <c r="DH269" i="1"/>
  <c r="DH270" i="1"/>
  <c r="DH271" i="1"/>
  <c r="DH272" i="1"/>
  <c r="DH273" i="1"/>
  <c r="DH274" i="1"/>
  <c r="DH275" i="1"/>
  <c r="DH276" i="1"/>
  <c r="DH277" i="1"/>
  <c r="DH278" i="1"/>
  <c r="DH279" i="1"/>
  <c r="DH280" i="1"/>
  <c r="DH281" i="1"/>
  <c r="DH282" i="1"/>
  <c r="DH283" i="1"/>
  <c r="DH284" i="1"/>
  <c r="DH285" i="1"/>
  <c r="DH286" i="1"/>
  <c r="DH287" i="1"/>
  <c r="DH288" i="1"/>
  <c r="DH289" i="1"/>
  <c r="DH290" i="1"/>
  <c r="DH291" i="1"/>
  <c r="DH292" i="1"/>
  <c r="DH293" i="1"/>
  <c r="DH294" i="1"/>
  <c r="DH295" i="1"/>
  <c r="DH296" i="1"/>
  <c r="DH297" i="1"/>
  <c r="DH298" i="1"/>
  <c r="DH299" i="1"/>
  <c r="DH300" i="1"/>
  <c r="DH301" i="1"/>
  <c r="DH302" i="1"/>
  <c r="DH303" i="1"/>
  <c r="DH304" i="1"/>
  <c r="DH305" i="1"/>
  <c r="DH306" i="1"/>
  <c r="DH307" i="1"/>
  <c r="DH308" i="1"/>
  <c r="DH309" i="1"/>
  <c r="DH310" i="1"/>
  <c r="DH311" i="1"/>
  <c r="DH312" i="1"/>
  <c r="DH313" i="1"/>
  <c r="DH314" i="1"/>
  <c r="DH315" i="1"/>
  <c r="DH316" i="1"/>
  <c r="DH317" i="1"/>
  <c r="DH318" i="1"/>
  <c r="DH319" i="1"/>
  <c r="DH320" i="1"/>
  <c r="DH321" i="1"/>
  <c r="DH322" i="1"/>
  <c r="DH323" i="1"/>
  <c r="DH324" i="1"/>
  <c r="DH325" i="1"/>
  <c r="DH326" i="1"/>
  <c r="DH327" i="1"/>
  <c r="DH328" i="1"/>
  <c r="DH329" i="1"/>
  <c r="DH330" i="1"/>
  <c r="DH331" i="1"/>
  <c r="DH332" i="1"/>
  <c r="DH333" i="1"/>
  <c r="DH334" i="1"/>
  <c r="DH335" i="1"/>
  <c r="DH336" i="1"/>
  <c r="DH337" i="1"/>
  <c r="DH338" i="1"/>
  <c r="DH339" i="1"/>
  <c r="DH340" i="1"/>
  <c r="DH341" i="1"/>
  <c r="DH342" i="1"/>
  <c r="DH343" i="1"/>
  <c r="DH344" i="1"/>
  <c r="DH345" i="1"/>
  <c r="DH346" i="1"/>
  <c r="DH347" i="1"/>
  <c r="DH348" i="1"/>
  <c r="DH349" i="1"/>
  <c r="DH350" i="1"/>
  <c r="DH351" i="1"/>
  <c r="DH352" i="1"/>
  <c r="DH353" i="1"/>
  <c r="DH354" i="1"/>
  <c r="DH355" i="1"/>
  <c r="DH356" i="1"/>
  <c r="DH2" i="1"/>
  <c r="DG3" i="1"/>
  <c r="DG2" i="1"/>
  <c r="DG4" i="1"/>
  <c r="DG5" i="1"/>
  <c r="DG6" i="1"/>
  <c r="DG7" i="1"/>
  <c r="DG8" i="1"/>
  <c r="DG9" i="1"/>
  <c r="DG10" i="1"/>
  <c r="DG11" i="1"/>
  <c r="DG12" i="1"/>
  <c r="DG13" i="1"/>
  <c r="DG14" i="1"/>
  <c r="DG15" i="1"/>
  <c r="DG16" i="1"/>
  <c r="DG17" i="1"/>
  <c r="DG18" i="1"/>
  <c r="DG19" i="1"/>
  <c r="DG20" i="1"/>
  <c r="DG21" i="1"/>
  <c r="DG22" i="1"/>
  <c r="DG23" i="1"/>
  <c r="DG24" i="1"/>
  <c r="DG25" i="1"/>
  <c r="DG26" i="1"/>
  <c r="DG27" i="1"/>
  <c r="DG28" i="1"/>
  <c r="DG29" i="1"/>
  <c r="DG30" i="1"/>
  <c r="DG31" i="1"/>
  <c r="DG32" i="1"/>
  <c r="DG33" i="1"/>
  <c r="DG34" i="1"/>
  <c r="DG35" i="1"/>
  <c r="DG36" i="1"/>
  <c r="DG37" i="1"/>
  <c r="DG38" i="1"/>
  <c r="DG39" i="1"/>
  <c r="DG40" i="1"/>
  <c r="DG41" i="1"/>
  <c r="DG42" i="1"/>
  <c r="DG43" i="1"/>
  <c r="DG44" i="1"/>
  <c r="DG45" i="1"/>
  <c r="DG46" i="1"/>
  <c r="DG47" i="1"/>
  <c r="DG48" i="1"/>
  <c r="DG49" i="1"/>
  <c r="DG50" i="1"/>
  <c r="DG51" i="1"/>
  <c r="DG52" i="1"/>
  <c r="DG53" i="1"/>
  <c r="DG54" i="1"/>
  <c r="DG55" i="1"/>
  <c r="DG56" i="1"/>
  <c r="DG57" i="1"/>
  <c r="DG58" i="1"/>
  <c r="DG59" i="1"/>
  <c r="DG60" i="1"/>
  <c r="DG61" i="1"/>
  <c r="DG62" i="1"/>
  <c r="DG63" i="1"/>
  <c r="DG64" i="1"/>
  <c r="DG65" i="1"/>
  <c r="DG66" i="1"/>
  <c r="DG67" i="1"/>
  <c r="DG68" i="1"/>
  <c r="DG69" i="1"/>
  <c r="DG70" i="1"/>
  <c r="DG71" i="1"/>
  <c r="DG72" i="1"/>
  <c r="DG73" i="1"/>
  <c r="DG74" i="1"/>
  <c r="DG75" i="1"/>
  <c r="DG76" i="1"/>
  <c r="DG77" i="1"/>
  <c r="DG78" i="1"/>
  <c r="DG79" i="1"/>
  <c r="DG80" i="1"/>
  <c r="DG81" i="1"/>
  <c r="DG82" i="1"/>
  <c r="DG83" i="1"/>
  <c r="DG84" i="1"/>
  <c r="DG85" i="1"/>
  <c r="DG86" i="1"/>
  <c r="DG87" i="1"/>
  <c r="DG88" i="1"/>
  <c r="DG89" i="1"/>
  <c r="DG90" i="1"/>
  <c r="DG91" i="1"/>
  <c r="DG92" i="1"/>
  <c r="DG93" i="1"/>
  <c r="DG94" i="1"/>
  <c r="DG95" i="1"/>
  <c r="DG96" i="1"/>
  <c r="DG97" i="1"/>
  <c r="DG98" i="1"/>
  <c r="DG99" i="1"/>
  <c r="DG100" i="1"/>
  <c r="DG101" i="1"/>
  <c r="DG102" i="1"/>
  <c r="DG103" i="1"/>
  <c r="DG104" i="1"/>
  <c r="DG105" i="1"/>
  <c r="DG106" i="1"/>
  <c r="DG107" i="1"/>
  <c r="DG108" i="1"/>
  <c r="DG109" i="1"/>
  <c r="DG110" i="1"/>
  <c r="DG111" i="1"/>
  <c r="DG112" i="1"/>
  <c r="DG113" i="1"/>
  <c r="DG114" i="1"/>
  <c r="DG115" i="1"/>
  <c r="DG116" i="1"/>
  <c r="DG117" i="1"/>
  <c r="DG118" i="1"/>
  <c r="DG119" i="1"/>
  <c r="DG120" i="1"/>
  <c r="DG121" i="1"/>
  <c r="DG122" i="1"/>
  <c r="DG123" i="1"/>
  <c r="DG124" i="1"/>
  <c r="DG125" i="1"/>
  <c r="DG126" i="1"/>
  <c r="DG127" i="1"/>
  <c r="DG128" i="1"/>
  <c r="DG129" i="1"/>
  <c r="DG130" i="1"/>
  <c r="DG131" i="1"/>
  <c r="DG132" i="1"/>
  <c r="DG133" i="1"/>
  <c r="DG134" i="1"/>
  <c r="DG135" i="1"/>
  <c r="DG136" i="1"/>
  <c r="DG137" i="1"/>
  <c r="DG138" i="1"/>
  <c r="DG139" i="1"/>
  <c r="DG140" i="1"/>
  <c r="DG141" i="1"/>
  <c r="DG142" i="1"/>
  <c r="DG143" i="1"/>
  <c r="DG144" i="1"/>
  <c r="DG145" i="1"/>
  <c r="DG146" i="1"/>
  <c r="DG147" i="1"/>
  <c r="DG148" i="1"/>
  <c r="DG149" i="1"/>
  <c r="DG150" i="1"/>
  <c r="DG151" i="1"/>
  <c r="DG152" i="1"/>
  <c r="DG153" i="1"/>
  <c r="DG154" i="1"/>
  <c r="DG155" i="1"/>
  <c r="DG156" i="1"/>
  <c r="DG157" i="1"/>
  <c r="DG158" i="1"/>
  <c r="DG159" i="1"/>
  <c r="DG160" i="1"/>
  <c r="DG161" i="1"/>
  <c r="DG162" i="1"/>
  <c r="DG163" i="1"/>
  <c r="DG164" i="1"/>
  <c r="DG165" i="1"/>
  <c r="DG166" i="1"/>
  <c r="DG167" i="1"/>
  <c r="DG168" i="1"/>
  <c r="DG169" i="1"/>
  <c r="DG170" i="1"/>
  <c r="DG171" i="1"/>
  <c r="DG172" i="1"/>
  <c r="DG173" i="1"/>
  <c r="DG174" i="1"/>
  <c r="DG175" i="1"/>
  <c r="DG176" i="1"/>
  <c r="DG177" i="1"/>
  <c r="DG178" i="1"/>
  <c r="DG179" i="1"/>
  <c r="DG180" i="1"/>
  <c r="DG181" i="1"/>
  <c r="DG182" i="1"/>
  <c r="DG183" i="1"/>
  <c r="DG184" i="1"/>
  <c r="DG185" i="1"/>
  <c r="DG186" i="1"/>
  <c r="DG187" i="1"/>
  <c r="DG188" i="1"/>
  <c r="DG189" i="1"/>
  <c r="DG190" i="1"/>
  <c r="DG191" i="1"/>
  <c r="DG192" i="1"/>
  <c r="DG193" i="1"/>
  <c r="DG194" i="1"/>
  <c r="DG195" i="1"/>
  <c r="DG196" i="1"/>
  <c r="DG197" i="1"/>
  <c r="DG198" i="1"/>
  <c r="DG199" i="1"/>
  <c r="DG200" i="1"/>
  <c r="DG201" i="1"/>
  <c r="DG202" i="1"/>
  <c r="DG203" i="1"/>
  <c r="DG204" i="1"/>
  <c r="DG205" i="1"/>
  <c r="DG206" i="1"/>
  <c r="DG207" i="1"/>
  <c r="DG208" i="1"/>
  <c r="DG209" i="1"/>
  <c r="DG210" i="1"/>
  <c r="DG211" i="1"/>
  <c r="DG212" i="1"/>
  <c r="DG213" i="1"/>
  <c r="DG214" i="1"/>
  <c r="DG215" i="1"/>
  <c r="DG216" i="1"/>
  <c r="DG217" i="1"/>
  <c r="DG218" i="1"/>
  <c r="DG219" i="1"/>
  <c r="DG220" i="1"/>
  <c r="DG221" i="1"/>
  <c r="DG222" i="1"/>
  <c r="DG223" i="1"/>
  <c r="DG224" i="1"/>
  <c r="DG225" i="1"/>
  <c r="DG226" i="1"/>
  <c r="DG227" i="1"/>
  <c r="DG228" i="1"/>
  <c r="DG229" i="1"/>
  <c r="DG230" i="1"/>
  <c r="DG231" i="1"/>
  <c r="DG232" i="1"/>
  <c r="DG233" i="1"/>
  <c r="DG234" i="1"/>
  <c r="DG235" i="1"/>
  <c r="DG236" i="1"/>
  <c r="DG237" i="1"/>
  <c r="DG238" i="1"/>
  <c r="DG239" i="1"/>
  <c r="DG240" i="1"/>
  <c r="DG241" i="1"/>
  <c r="DG242" i="1"/>
  <c r="DG243" i="1"/>
  <c r="DG244" i="1"/>
  <c r="DG245" i="1"/>
  <c r="DG246" i="1"/>
  <c r="DG247" i="1"/>
  <c r="DG248" i="1"/>
  <c r="DG249" i="1"/>
  <c r="DG250" i="1"/>
  <c r="DG251" i="1"/>
  <c r="DG252" i="1"/>
  <c r="DG253" i="1"/>
  <c r="DG254" i="1"/>
  <c r="DG255" i="1"/>
  <c r="DG256" i="1"/>
  <c r="DG257" i="1"/>
  <c r="DG258" i="1"/>
  <c r="DG259" i="1"/>
  <c r="DG260" i="1"/>
  <c r="DG261" i="1"/>
  <c r="DG262" i="1"/>
  <c r="DG263" i="1"/>
  <c r="DG264" i="1"/>
  <c r="DG265" i="1"/>
  <c r="DG266" i="1"/>
  <c r="DG267" i="1"/>
  <c r="DG268" i="1"/>
  <c r="DG269" i="1"/>
  <c r="DG270" i="1"/>
  <c r="DG271" i="1"/>
  <c r="DG272" i="1"/>
  <c r="DG273" i="1"/>
  <c r="DG274" i="1"/>
  <c r="DG275" i="1"/>
  <c r="DG276" i="1"/>
  <c r="DG277" i="1"/>
  <c r="DG278" i="1"/>
  <c r="DG279" i="1"/>
  <c r="DG280" i="1"/>
  <c r="DG281" i="1"/>
  <c r="DG282" i="1"/>
  <c r="DG283" i="1"/>
  <c r="DG284" i="1"/>
  <c r="DG285" i="1"/>
  <c r="DG286" i="1"/>
  <c r="DG287" i="1"/>
  <c r="DG288" i="1"/>
  <c r="DG289" i="1"/>
  <c r="DG290" i="1"/>
  <c r="DG291" i="1"/>
  <c r="DG292" i="1"/>
  <c r="DG293" i="1"/>
  <c r="DG294" i="1"/>
  <c r="DG295" i="1"/>
  <c r="DG296" i="1"/>
  <c r="DG297" i="1"/>
  <c r="DG298" i="1"/>
  <c r="DG299" i="1"/>
  <c r="DG300" i="1"/>
  <c r="DG301" i="1"/>
  <c r="DG302" i="1"/>
  <c r="DG303" i="1"/>
  <c r="DG304" i="1"/>
  <c r="DG305" i="1"/>
  <c r="DG306" i="1"/>
  <c r="DG307" i="1"/>
  <c r="DG308" i="1"/>
  <c r="DG309" i="1"/>
  <c r="DG310" i="1"/>
  <c r="DG311" i="1"/>
  <c r="DG312" i="1"/>
  <c r="DG313" i="1"/>
  <c r="DG314" i="1"/>
  <c r="DG315" i="1"/>
  <c r="DG316" i="1"/>
  <c r="DG317" i="1"/>
  <c r="DG318" i="1"/>
  <c r="DG319" i="1"/>
  <c r="DG320" i="1"/>
  <c r="DG321" i="1"/>
  <c r="DG322" i="1"/>
  <c r="DG323" i="1"/>
  <c r="DG324" i="1"/>
  <c r="DG325" i="1"/>
  <c r="DG326" i="1"/>
  <c r="DG327" i="1"/>
  <c r="DG328" i="1"/>
  <c r="DG329" i="1"/>
  <c r="DG330" i="1"/>
  <c r="DG331" i="1"/>
  <c r="DG332" i="1"/>
  <c r="DG333" i="1"/>
  <c r="DG334" i="1"/>
  <c r="DG335" i="1"/>
  <c r="DG336" i="1"/>
  <c r="DG337" i="1"/>
  <c r="DG338" i="1"/>
  <c r="DG339" i="1"/>
  <c r="DG340" i="1"/>
  <c r="DG341" i="1"/>
  <c r="DG342" i="1"/>
  <c r="DG343" i="1"/>
  <c r="DG344" i="1"/>
  <c r="DG345" i="1"/>
  <c r="DG346" i="1"/>
  <c r="DG347" i="1"/>
  <c r="DG348" i="1"/>
  <c r="DG349" i="1"/>
  <c r="DG350" i="1"/>
  <c r="DG351" i="1"/>
  <c r="DG352" i="1"/>
  <c r="DG353" i="1"/>
  <c r="DG354" i="1"/>
  <c r="DG355" i="1"/>
  <c r="DG356" i="1"/>
  <c r="CY2" i="1"/>
  <c r="CY3" i="1"/>
  <c r="CY4" i="1"/>
  <c r="CY5" i="1"/>
  <c r="CY6" i="1"/>
  <c r="CY7" i="1"/>
  <c r="CY8" i="1"/>
  <c r="CY9" i="1"/>
  <c r="CY10" i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68" i="1"/>
  <c r="CY69" i="1"/>
  <c r="CY70" i="1"/>
  <c r="CY71" i="1"/>
  <c r="CY72" i="1"/>
  <c r="CY73" i="1"/>
  <c r="CY74" i="1"/>
  <c r="CY75" i="1"/>
  <c r="CY76" i="1"/>
  <c r="CY77" i="1"/>
  <c r="CY78" i="1"/>
  <c r="CY79" i="1"/>
  <c r="CY80" i="1"/>
  <c r="CY81" i="1"/>
  <c r="CY82" i="1"/>
  <c r="CY83" i="1"/>
  <c r="CY84" i="1"/>
  <c r="CY85" i="1"/>
  <c r="CY86" i="1"/>
  <c r="CY87" i="1"/>
  <c r="CY88" i="1"/>
  <c r="CY89" i="1"/>
  <c r="CY90" i="1"/>
  <c r="CY91" i="1"/>
  <c r="CY92" i="1"/>
  <c r="CY93" i="1"/>
  <c r="CY94" i="1"/>
  <c r="CY95" i="1"/>
  <c r="CY96" i="1"/>
  <c r="CY97" i="1"/>
  <c r="CY98" i="1"/>
  <c r="CY99" i="1"/>
  <c r="CY100" i="1"/>
  <c r="CY101" i="1"/>
  <c r="CY102" i="1"/>
  <c r="CY103" i="1"/>
  <c r="CY104" i="1"/>
  <c r="CY105" i="1"/>
  <c r="CY106" i="1"/>
  <c r="CY107" i="1"/>
  <c r="CY108" i="1"/>
  <c r="CY109" i="1"/>
  <c r="CY110" i="1"/>
  <c r="CY111" i="1"/>
  <c r="CY112" i="1"/>
  <c r="CY113" i="1"/>
  <c r="CY114" i="1"/>
  <c r="CY115" i="1"/>
  <c r="CY116" i="1"/>
  <c r="CY117" i="1"/>
  <c r="CY118" i="1"/>
  <c r="CY119" i="1"/>
  <c r="CY120" i="1"/>
  <c r="CY121" i="1"/>
  <c r="CY122" i="1"/>
  <c r="CY123" i="1"/>
  <c r="CY124" i="1"/>
  <c r="CY125" i="1"/>
  <c r="CY126" i="1"/>
  <c r="CY127" i="1"/>
  <c r="CY128" i="1"/>
  <c r="CY129" i="1"/>
  <c r="CY130" i="1"/>
  <c r="CY131" i="1"/>
  <c r="CY132" i="1"/>
  <c r="CY133" i="1"/>
  <c r="CY134" i="1"/>
  <c r="CY135" i="1"/>
  <c r="CY136" i="1"/>
  <c r="CY137" i="1"/>
  <c r="CY138" i="1"/>
  <c r="CY139" i="1"/>
  <c r="CY140" i="1"/>
  <c r="CY141" i="1"/>
  <c r="CY142" i="1"/>
  <c r="CY143" i="1"/>
  <c r="CY144" i="1"/>
  <c r="CY145" i="1"/>
  <c r="CY146" i="1"/>
  <c r="CY147" i="1"/>
  <c r="CY148" i="1"/>
  <c r="CY149" i="1"/>
  <c r="CY150" i="1"/>
  <c r="CY151" i="1"/>
  <c r="CY152" i="1"/>
  <c r="CY153" i="1"/>
  <c r="CY154" i="1"/>
  <c r="CY155" i="1"/>
  <c r="CY156" i="1"/>
  <c r="CY157" i="1"/>
  <c r="CY158" i="1"/>
  <c r="CY159" i="1"/>
  <c r="CY160" i="1"/>
  <c r="CY161" i="1"/>
  <c r="CY162" i="1"/>
  <c r="CY163" i="1"/>
  <c r="CY164" i="1"/>
  <c r="CY165" i="1"/>
  <c r="CY166" i="1"/>
  <c r="CY167" i="1"/>
  <c r="CY168" i="1"/>
  <c r="CY169" i="1"/>
  <c r="CY170" i="1"/>
  <c r="CY171" i="1"/>
  <c r="CY172" i="1"/>
  <c r="CY173" i="1"/>
  <c r="CY174" i="1"/>
  <c r="CY175" i="1"/>
  <c r="CY176" i="1"/>
  <c r="CY177" i="1"/>
  <c r="CY178" i="1"/>
  <c r="CY179" i="1"/>
  <c r="CY180" i="1"/>
  <c r="CY181" i="1"/>
  <c r="CY182" i="1"/>
  <c r="CY183" i="1"/>
  <c r="CY184" i="1"/>
  <c r="CY185" i="1"/>
  <c r="CY186" i="1"/>
  <c r="CY187" i="1"/>
  <c r="CY188" i="1"/>
  <c r="CY189" i="1"/>
  <c r="CY190" i="1"/>
  <c r="CY191" i="1"/>
  <c r="CY192" i="1"/>
  <c r="CY193" i="1"/>
  <c r="CY194" i="1"/>
  <c r="CY195" i="1"/>
  <c r="CY196" i="1"/>
  <c r="CY197" i="1"/>
  <c r="CY198" i="1"/>
  <c r="CY199" i="1"/>
  <c r="CY200" i="1"/>
  <c r="CY201" i="1"/>
  <c r="CY202" i="1"/>
  <c r="CY203" i="1"/>
  <c r="CY204" i="1"/>
  <c r="CY205" i="1"/>
  <c r="CY206" i="1"/>
  <c r="CY207" i="1"/>
  <c r="CY208" i="1"/>
  <c r="CY209" i="1"/>
  <c r="CY210" i="1"/>
  <c r="CY211" i="1"/>
  <c r="CY212" i="1"/>
  <c r="CY213" i="1"/>
  <c r="CY214" i="1"/>
  <c r="CY215" i="1"/>
  <c r="CY216" i="1"/>
  <c r="CY217" i="1"/>
  <c r="CY218" i="1"/>
  <c r="CY219" i="1"/>
  <c r="CY220" i="1"/>
  <c r="CY221" i="1"/>
  <c r="CY222" i="1"/>
  <c r="CY223" i="1"/>
  <c r="CY224" i="1"/>
  <c r="CY225" i="1"/>
  <c r="CY226" i="1"/>
  <c r="CY227" i="1"/>
  <c r="CY228" i="1"/>
  <c r="CY229" i="1"/>
  <c r="CY230" i="1"/>
  <c r="CY231" i="1"/>
  <c r="CY232" i="1"/>
  <c r="CY233" i="1"/>
  <c r="CY234" i="1"/>
  <c r="CY235" i="1"/>
  <c r="CY236" i="1"/>
  <c r="CY237" i="1"/>
  <c r="CY238" i="1"/>
  <c r="CY239" i="1"/>
  <c r="CY240" i="1"/>
  <c r="CY241" i="1"/>
  <c r="CY242" i="1"/>
  <c r="CY243" i="1"/>
  <c r="CY244" i="1"/>
  <c r="CY245" i="1"/>
  <c r="CY246" i="1"/>
  <c r="CY247" i="1"/>
  <c r="CY248" i="1"/>
  <c r="CY249" i="1"/>
  <c r="CY250" i="1"/>
  <c r="CY251" i="1"/>
  <c r="CY252" i="1"/>
  <c r="CY253" i="1"/>
  <c r="CY254" i="1"/>
  <c r="CY255" i="1"/>
  <c r="CY256" i="1"/>
  <c r="CY257" i="1"/>
  <c r="CY258" i="1"/>
  <c r="CY259" i="1"/>
  <c r="CY260" i="1"/>
  <c r="CY261" i="1"/>
  <c r="CY262" i="1"/>
  <c r="CY263" i="1"/>
  <c r="CY264" i="1"/>
  <c r="CY265" i="1"/>
  <c r="CY266" i="1"/>
  <c r="CY267" i="1"/>
  <c r="CY268" i="1"/>
  <c r="CY269" i="1"/>
  <c r="CY270" i="1"/>
  <c r="CY271" i="1"/>
  <c r="CY272" i="1"/>
  <c r="CY273" i="1"/>
  <c r="CY274" i="1"/>
  <c r="CY275" i="1"/>
  <c r="CY276" i="1"/>
  <c r="CY277" i="1"/>
  <c r="CY278" i="1"/>
  <c r="CY279" i="1"/>
  <c r="CY280" i="1"/>
  <c r="CY281" i="1"/>
  <c r="CY282" i="1"/>
  <c r="CY283" i="1"/>
  <c r="CY284" i="1"/>
  <c r="CY285" i="1"/>
  <c r="CY286" i="1"/>
  <c r="CY287" i="1"/>
  <c r="CY288" i="1"/>
  <c r="CY289" i="1"/>
  <c r="CY290" i="1"/>
  <c r="CY291" i="1"/>
  <c r="CY292" i="1"/>
  <c r="CY293" i="1"/>
  <c r="CY294" i="1"/>
  <c r="CY295" i="1"/>
  <c r="CY296" i="1"/>
  <c r="CY297" i="1"/>
  <c r="CY298" i="1"/>
  <c r="CY299" i="1"/>
  <c r="CY300" i="1"/>
  <c r="CY301" i="1"/>
  <c r="CY302" i="1"/>
  <c r="CY303" i="1"/>
  <c r="CY304" i="1"/>
  <c r="CY305" i="1"/>
  <c r="CY306" i="1"/>
  <c r="CY307" i="1"/>
  <c r="CY308" i="1"/>
  <c r="CY309" i="1"/>
  <c r="CY310" i="1"/>
  <c r="CY311" i="1"/>
  <c r="CY312" i="1"/>
  <c r="CY313" i="1"/>
  <c r="CY314" i="1"/>
  <c r="CY315" i="1"/>
  <c r="CY316" i="1"/>
  <c r="CY317" i="1"/>
  <c r="CY318" i="1"/>
  <c r="CY319" i="1"/>
  <c r="CY320" i="1"/>
  <c r="CY321" i="1"/>
  <c r="CY322" i="1"/>
  <c r="CY323" i="1"/>
  <c r="CY324" i="1"/>
  <c r="CY325" i="1"/>
  <c r="CY326" i="1"/>
  <c r="CY327" i="1"/>
  <c r="CY328" i="1"/>
  <c r="CY329" i="1"/>
  <c r="CY330" i="1"/>
  <c r="CY331" i="1"/>
  <c r="CY332" i="1"/>
  <c r="CY333" i="1"/>
  <c r="CY334" i="1"/>
  <c r="CY335" i="1"/>
  <c r="CY336" i="1"/>
  <c r="CY337" i="1"/>
  <c r="CY338" i="1"/>
  <c r="CY339" i="1"/>
  <c r="CY340" i="1"/>
  <c r="CY341" i="1"/>
  <c r="CY342" i="1"/>
  <c r="CY343" i="1"/>
  <c r="CY344" i="1"/>
  <c r="CY345" i="1"/>
  <c r="CY346" i="1"/>
  <c r="CY347" i="1"/>
  <c r="CY348" i="1"/>
  <c r="CY349" i="1"/>
  <c r="CY350" i="1"/>
  <c r="CY351" i="1"/>
  <c r="CY352" i="1"/>
  <c r="CY353" i="1"/>
  <c r="CY354" i="1"/>
  <c r="CY355" i="1"/>
  <c r="CY356" i="1"/>
  <c r="CK2" i="1"/>
  <c r="CK3" i="1"/>
  <c r="CK4" i="1"/>
  <c r="CK5" i="1"/>
  <c r="CK6" i="1"/>
  <c r="CK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K102" i="1"/>
  <c r="CK103" i="1"/>
  <c r="CK104" i="1"/>
  <c r="CK105" i="1"/>
  <c r="CK106" i="1"/>
  <c r="CK107" i="1"/>
  <c r="CK108" i="1"/>
  <c r="CK109" i="1"/>
  <c r="CK110" i="1"/>
  <c r="CK111" i="1"/>
  <c r="CK112" i="1"/>
  <c r="CK113" i="1"/>
  <c r="CK114" i="1"/>
  <c r="CK115" i="1"/>
  <c r="CK116" i="1"/>
  <c r="CK117" i="1"/>
  <c r="CK118" i="1"/>
  <c r="CK119" i="1"/>
  <c r="CK120" i="1"/>
  <c r="CK121" i="1"/>
  <c r="CK122" i="1"/>
  <c r="CK123" i="1"/>
  <c r="CK124" i="1"/>
  <c r="CK125" i="1"/>
  <c r="CK126" i="1"/>
  <c r="CK127" i="1"/>
  <c r="CK128" i="1"/>
  <c r="CK129" i="1"/>
  <c r="CK130" i="1"/>
  <c r="CK131" i="1"/>
  <c r="CK132" i="1"/>
  <c r="CK133" i="1"/>
  <c r="CK134" i="1"/>
  <c r="CK135" i="1"/>
  <c r="CK136" i="1"/>
  <c r="CK137" i="1"/>
  <c r="CK138" i="1"/>
  <c r="CK139" i="1"/>
  <c r="CK140" i="1"/>
  <c r="CK141" i="1"/>
  <c r="CK142" i="1"/>
  <c r="CK143" i="1"/>
  <c r="CK144" i="1"/>
  <c r="CK145" i="1"/>
  <c r="CK146" i="1"/>
  <c r="CK147" i="1"/>
  <c r="CK148" i="1"/>
  <c r="CK149" i="1"/>
  <c r="CK150" i="1"/>
  <c r="CK151" i="1"/>
  <c r="CK152" i="1"/>
  <c r="CK153" i="1"/>
  <c r="CK154" i="1"/>
  <c r="CK155" i="1"/>
  <c r="CK156" i="1"/>
  <c r="CK157" i="1"/>
  <c r="CK158" i="1"/>
  <c r="CK159" i="1"/>
  <c r="CK160" i="1"/>
  <c r="CK161" i="1"/>
  <c r="CK162" i="1"/>
  <c r="CK163" i="1"/>
  <c r="CK164" i="1"/>
  <c r="CK165" i="1"/>
  <c r="CK166" i="1"/>
  <c r="CK167" i="1"/>
  <c r="CK168" i="1"/>
  <c r="CK169" i="1"/>
  <c r="CK170" i="1"/>
  <c r="CK171" i="1"/>
  <c r="CK172" i="1"/>
  <c r="CK173" i="1"/>
  <c r="CK174" i="1"/>
  <c r="CK175" i="1"/>
  <c r="CK176" i="1"/>
  <c r="CK177" i="1"/>
  <c r="CK178" i="1"/>
  <c r="CK179" i="1"/>
  <c r="CK180" i="1"/>
  <c r="CK181" i="1"/>
  <c r="CK182" i="1"/>
  <c r="CK183" i="1"/>
  <c r="CK184" i="1"/>
  <c r="CK185" i="1"/>
  <c r="CK186" i="1"/>
  <c r="CK187" i="1"/>
  <c r="CK188" i="1"/>
  <c r="CK189" i="1"/>
  <c r="CK190" i="1"/>
  <c r="CK191" i="1"/>
  <c r="CK192" i="1"/>
  <c r="CK193" i="1"/>
  <c r="CK194" i="1"/>
  <c r="CK195" i="1"/>
  <c r="CK196" i="1"/>
  <c r="CK197" i="1"/>
  <c r="CK198" i="1"/>
  <c r="CK199" i="1"/>
  <c r="CK200" i="1"/>
  <c r="CK201" i="1"/>
  <c r="CK202" i="1"/>
  <c r="CK203" i="1"/>
  <c r="CK204" i="1"/>
  <c r="CK205" i="1"/>
  <c r="CK206" i="1"/>
  <c r="CK207" i="1"/>
  <c r="CK208" i="1"/>
  <c r="CK209" i="1"/>
  <c r="CK210" i="1"/>
  <c r="CK211" i="1"/>
  <c r="CK212" i="1"/>
  <c r="CK213" i="1"/>
  <c r="CK214" i="1"/>
  <c r="CK215" i="1"/>
  <c r="CK216" i="1"/>
  <c r="CK217" i="1"/>
  <c r="CK218" i="1"/>
  <c r="CK219" i="1"/>
  <c r="CK220" i="1"/>
  <c r="CK221" i="1"/>
  <c r="CK222" i="1"/>
  <c r="CK223" i="1"/>
  <c r="CK224" i="1"/>
  <c r="CK225" i="1"/>
  <c r="CK226" i="1"/>
  <c r="CK227" i="1"/>
  <c r="CK228" i="1"/>
  <c r="CK229" i="1"/>
  <c r="CK230" i="1"/>
  <c r="CK231" i="1"/>
  <c r="CK232" i="1"/>
  <c r="CK233" i="1"/>
  <c r="CK234" i="1"/>
  <c r="CK235" i="1"/>
  <c r="CK236" i="1"/>
  <c r="CK237" i="1"/>
  <c r="CK238" i="1"/>
  <c r="CK239" i="1"/>
  <c r="CK240" i="1"/>
  <c r="CK241" i="1"/>
  <c r="CK242" i="1"/>
  <c r="CK243" i="1"/>
  <c r="CK244" i="1"/>
  <c r="CK245" i="1"/>
  <c r="CK246" i="1"/>
  <c r="CK247" i="1"/>
  <c r="CK248" i="1"/>
  <c r="CK249" i="1"/>
  <c r="CK250" i="1"/>
  <c r="CK251" i="1"/>
  <c r="CK252" i="1"/>
  <c r="CK253" i="1"/>
  <c r="CK254" i="1"/>
  <c r="CK255" i="1"/>
  <c r="CK256" i="1"/>
  <c r="CK257" i="1"/>
  <c r="CK258" i="1"/>
  <c r="CK259" i="1"/>
  <c r="CK260" i="1"/>
  <c r="CK261" i="1"/>
  <c r="CK262" i="1"/>
  <c r="CK263" i="1"/>
  <c r="CK264" i="1"/>
  <c r="CK265" i="1"/>
  <c r="CK266" i="1"/>
  <c r="CK267" i="1"/>
  <c r="CK268" i="1"/>
  <c r="CK269" i="1"/>
  <c r="CK270" i="1"/>
  <c r="CK271" i="1"/>
  <c r="CK272" i="1"/>
  <c r="CK273" i="1"/>
  <c r="CK274" i="1"/>
  <c r="CK275" i="1"/>
  <c r="CK276" i="1"/>
  <c r="CK277" i="1"/>
  <c r="CK278" i="1"/>
  <c r="CK279" i="1"/>
  <c r="CK280" i="1"/>
  <c r="CK281" i="1"/>
  <c r="CK282" i="1"/>
  <c r="CK283" i="1"/>
  <c r="CK284" i="1"/>
  <c r="CK285" i="1"/>
  <c r="CK286" i="1"/>
  <c r="CK287" i="1"/>
  <c r="CK288" i="1"/>
  <c r="CK289" i="1"/>
  <c r="CK290" i="1"/>
  <c r="CK291" i="1"/>
  <c r="CK292" i="1"/>
  <c r="CK293" i="1"/>
  <c r="CK294" i="1"/>
  <c r="CK295" i="1"/>
  <c r="CK296" i="1"/>
  <c r="CK297" i="1"/>
  <c r="CK298" i="1"/>
  <c r="CK299" i="1"/>
  <c r="CK300" i="1"/>
  <c r="CK301" i="1"/>
  <c r="CK302" i="1"/>
  <c r="CK303" i="1"/>
  <c r="CK304" i="1"/>
  <c r="CK305" i="1"/>
  <c r="CK306" i="1"/>
  <c r="CK307" i="1"/>
  <c r="CK308" i="1"/>
  <c r="CK309" i="1"/>
  <c r="CK310" i="1"/>
  <c r="CK311" i="1"/>
  <c r="CK312" i="1"/>
  <c r="CK313" i="1"/>
  <c r="CK314" i="1"/>
  <c r="CK315" i="1"/>
  <c r="CK316" i="1"/>
  <c r="CK317" i="1"/>
  <c r="CK318" i="1"/>
  <c r="CK319" i="1"/>
  <c r="CK320" i="1"/>
  <c r="CK321" i="1"/>
  <c r="CK322" i="1"/>
  <c r="CK323" i="1"/>
  <c r="CK324" i="1"/>
  <c r="CK325" i="1"/>
  <c r="CK326" i="1"/>
  <c r="CK327" i="1"/>
  <c r="CK328" i="1"/>
  <c r="CK329" i="1"/>
  <c r="CK330" i="1"/>
  <c r="CK331" i="1"/>
  <c r="CK332" i="1"/>
  <c r="CK333" i="1"/>
  <c r="CK334" i="1"/>
  <c r="CK335" i="1"/>
  <c r="CK336" i="1"/>
  <c r="CK337" i="1"/>
  <c r="CK338" i="1"/>
  <c r="CK339" i="1"/>
  <c r="CK340" i="1"/>
  <c r="CK341" i="1"/>
  <c r="CK342" i="1"/>
  <c r="CK343" i="1"/>
  <c r="CK344" i="1"/>
  <c r="CK345" i="1"/>
  <c r="CK346" i="1"/>
  <c r="CK347" i="1"/>
  <c r="CK348" i="1"/>
  <c r="CK349" i="1"/>
  <c r="CK350" i="1"/>
  <c r="CK351" i="1"/>
  <c r="CK352" i="1"/>
  <c r="CK353" i="1"/>
  <c r="CK354" i="1"/>
  <c r="CK355" i="1"/>
  <c r="CK356" i="1"/>
  <c r="CD4" i="1"/>
  <c r="CD5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172" i="1"/>
  <c r="CD173" i="1"/>
  <c r="CD174" i="1"/>
  <c r="CD175" i="1"/>
  <c r="CD176" i="1"/>
  <c r="CD177" i="1"/>
  <c r="CD178" i="1"/>
  <c r="CD179" i="1"/>
  <c r="CD180" i="1"/>
  <c r="CD181" i="1"/>
  <c r="CD182" i="1"/>
  <c r="CD183" i="1"/>
  <c r="CD184" i="1"/>
  <c r="CD185" i="1"/>
  <c r="CD186" i="1"/>
  <c r="CD187" i="1"/>
  <c r="CD188" i="1"/>
  <c r="CD189" i="1"/>
  <c r="CD190" i="1"/>
  <c r="CD191" i="1"/>
  <c r="CD192" i="1"/>
  <c r="CD193" i="1"/>
  <c r="CD194" i="1"/>
  <c r="CD195" i="1"/>
  <c r="CD196" i="1"/>
  <c r="CD197" i="1"/>
  <c r="CD198" i="1"/>
  <c r="CD199" i="1"/>
  <c r="CD200" i="1"/>
  <c r="CD201" i="1"/>
  <c r="CD202" i="1"/>
  <c r="CD203" i="1"/>
  <c r="CD204" i="1"/>
  <c r="CD205" i="1"/>
  <c r="CD206" i="1"/>
  <c r="CD207" i="1"/>
  <c r="CD208" i="1"/>
  <c r="CD209" i="1"/>
  <c r="CD210" i="1"/>
  <c r="CD211" i="1"/>
  <c r="CD212" i="1"/>
  <c r="CD213" i="1"/>
  <c r="CD214" i="1"/>
  <c r="CD215" i="1"/>
  <c r="CD216" i="1"/>
  <c r="CD217" i="1"/>
  <c r="CD218" i="1"/>
  <c r="CD219" i="1"/>
  <c r="CD220" i="1"/>
  <c r="CD221" i="1"/>
  <c r="CD222" i="1"/>
  <c r="CD223" i="1"/>
  <c r="CD224" i="1"/>
  <c r="CD225" i="1"/>
  <c r="CD226" i="1"/>
  <c r="CD227" i="1"/>
  <c r="CD228" i="1"/>
  <c r="CD229" i="1"/>
  <c r="CD230" i="1"/>
  <c r="CD231" i="1"/>
  <c r="CD232" i="1"/>
  <c r="CD233" i="1"/>
  <c r="CD234" i="1"/>
  <c r="CD235" i="1"/>
  <c r="CD236" i="1"/>
  <c r="CD237" i="1"/>
  <c r="CD238" i="1"/>
  <c r="CD239" i="1"/>
  <c r="CD240" i="1"/>
  <c r="CD241" i="1"/>
  <c r="CD242" i="1"/>
  <c r="CD243" i="1"/>
  <c r="CD244" i="1"/>
  <c r="CD245" i="1"/>
  <c r="CD246" i="1"/>
  <c r="CD247" i="1"/>
  <c r="CD248" i="1"/>
  <c r="CD249" i="1"/>
  <c r="CD250" i="1"/>
  <c r="CD251" i="1"/>
  <c r="CD252" i="1"/>
  <c r="CD253" i="1"/>
  <c r="CD254" i="1"/>
  <c r="CD255" i="1"/>
  <c r="CD256" i="1"/>
  <c r="CD257" i="1"/>
  <c r="CD258" i="1"/>
  <c r="CD259" i="1"/>
  <c r="CD260" i="1"/>
  <c r="CD261" i="1"/>
  <c r="CD262" i="1"/>
  <c r="CD263" i="1"/>
  <c r="CD264" i="1"/>
  <c r="CD265" i="1"/>
  <c r="CD266" i="1"/>
  <c r="CD267" i="1"/>
  <c r="CD268" i="1"/>
  <c r="CD269" i="1"/>
  <c r="CD270" i="1"/>
  <c r="CD271" i="1"/>
  <c r="CD272" i="1"/>
  <c r="CD273" i="1"/>
  <c r="CD274" i="1"/>
  <c r="CD275" i="1"/>
  <c r="CD276" i="1"/>
  <c r="CD277" i="1"/>
  <c r="CD278" i="1"/>
  <c r="CD279" i="1"/>
  <c r="CD280" i="1"/>
  <c r="CD281" i="1"/>
  <c r="CD282" i="1"/>
  <c r="CD283" i="1"/>
  <c r="CD284" i="1"/>
  <c r="CD285" i="1"/>
  <c r="CD286" i="1"/>
  <c r="CD287" i="1"/>
  <c r="CD288" i="1"/>
  <c r="CD289" i="1"/>
  <c r="CD290" i="1"/>
  <c r="CD291" i="1"/>
  <c r="CD292" i="1"/>
  <c r="CD293" i="1"/>
  <c r="CD294" i="1"/>
  <c r="CD295" i="1"/>
  <c r="CD296" i="1"/>
  <c r="CD297" i="1"/>
  <c r="CD298" i="1"/>
  <c r="CD299" i="1"/>
  <c r="CD300" i="1"/>
  <c r="CD301" i="1"/>
  <c r="CD302" i="1"/>
  <c r="CD303" i="1"/>
  <c r="CD304" i="1"/>
  <c r="CD305" i="1"/>
  <c r="CD306" i="1"/>
  <c r="CD307" i="1"/>
  <c r="CD308" i="1"/>
  <c r="CD309" i="1"/>
  <c r="CD310" i="1"/>
  <c r="CD311" i="1"/>
  <c r="CD312" i="1"/>
  <c r="CD313" i="1"/>
  <c r="CD314" i="1"/>
  <c r="CD315" i="1"/>
  <c r="CD316" i="1"/>
  <c r="CD317" i="1"/>
  <c r="CD318" i="1"/>
  <c r="CD319" i="1"/>
  <c r="CD320" i="1"/>
  <c r="CD321" i="1"/>
  <c r="CD322" i="1"/>
  <c r="CD323" i="1"/>
  <c r="CD324" i="1"/>
  <c r="CD325" i="1"/>
  <c r="CD326" i="1"/>
  <c r="CD327" i="1"/>
  <c r="CD328" i="1"/>
  <c r="CD329" i="1"/>
  <c r="CD330" i="1"/>
  <c r="CD331" i="1"/>
  <c r="CD332" i="1"/>
  <c r="CD333" i="1"/>
  <c r="CD334" i="1"/>
  <c r="CD335" i="1"/>
  <c r="CD336" i="1"/>
  <c r="CD337" i="1"/>
  <c r="CD338" i="1"/>
  <c r="CD339" i="1"/>
  <c r="CD340" i="1"/>
  <c r="CD341" i="1"/>
  <c r="CD342" i="1"/>
  <c r="CD343" i="1"/>
  <c r="CD344" i="1"/>
  <c r="CD345" i="1"/>
  <c r="CD346" i="1"/>
  <c r="CD347" i="1"/>
  <c r="CD348" i="1"/>
  <c r="CD349" i="1"/>
  <c r="CD350" i="1"/>
  <c r="CD351" i="1"/>
  <c r="CD352" i="1"/>
  <c r="CD353" i="1"/>
  <c r="CD354" i="1"/>
  <c r="CD355" i="1"/>
  <c r="CD356" i="1"/>
  <c r="CD3" i="1"/>
  <c r="CD2" i="1"/>
  <c r="BV2" i="1"/>
  <c r="BV3" i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176" i="1"/>
  <c r="BV177" i="1"/>
  <c r="BV178" i="1"/>
  <c r="BV179" i="1"/>
  <c r="BV180" i="1"/>
  <c r="BV181" i="1"/>
  <c r="BV182" i="1"/>
  <c r="BV183" i="1"/>
  <c r="BV184" i="1"/>
  <c r="BV185" i="1"/>
  <c r="BV186" i="1"/>
  <c r="BV187" i="1"/>
  <c r="BV188" i="1"/>
  <c r="BV189" i="1"/>
  <c r="BV190" i="1"/>
  <c r="BV191" i="1"/>
  <c r="BV192" i="1"/>
  <c r="BV193" i="1"/>
  <c r="BV194" i="1"/>
  <c r="BV195" i="1"/>
  <c r="BV196" i="1"/>
  <c r="BV197" i="1"/>
  <c r="BV198" i="1"/>
  <c r="BV199" i="1"/>
  <c r="BV200" i="1"/>
  <c r="BV201" i="1"/>
  <c r="BV202" i="1"/>
  <c r="BV203" i="1"/>
  <c r="BV204" i="1"/>
  <c r="BV205" i="1"/>
  <c r="BV206" i="1"/>
  <c r="BV207" i="1"/>
  <c r="BV208" i="1"/>
  <c r="BV209" i="1"/>
  <c r="BV210" i="1"/>
  <c r="BV211" i="1"/>
  <c r="BV212" i="1"/>
  <c r="BV213" i="1"/>
  <c r="BV214" i="1"/>
  <c r="BV215" i="1"/>
  <c r="BV216" i="1"/>
  <c r="BV217" i="1"/>
  <c r="BV218" i="1"/>
  <c r="BV219" i="1"/>
  <c r="BV220" i="1"/>
  <c r="BV221" i="1"/>
  <c r="BV222" i="1"/>
  <c r="BV223" i="1"/>
  <c r="BV224" i="1"/>
  <c r="BV225" i="1"/>
  <c r="BV226" i="1"/>
  <c r="BV227" i="1"/>
  <c r="BV228" i="1"/>
  <c r="BV229" i="1"/>
  <c r="BV230" i="1"/>
  <c r="BV231" i="1"/>
  <c r="BV232" i="1"/>
  <c r="BV233" i="1"/>
  <c r="BV234" i="1"/>
  <c r="BV235" i="1"/>
  <c r="BV236" i="1"/>
  <c r="BV237" i="1"/>
  <c r="BV238" i="1"/>
  <c r="BV239" i="1"/>
  <c r="BV240" i="1"/>
  <c r="BV241" i="1"/>
  <c r="BV242" i="1"/>
  <c r="BV243" i="1"/>
  <c r="BV244" i="1"/>
  <c r="BV245" i="1"/>
  <c r="BV246" i="1"/>
  <c r="BV247" i="1"/>
  <c r="BV248" i="1"/>
  <c r="BV249" i="1"/>
  <c r="BV250" i="1"/>
  <c r="BV251" i="1"/>
  <c r="BV252" i="1"/>
  <c r="BV253" i="1"/>
  <c r="BV254" i="1"/>
  <c r="BV255" i="1"/>
  <c r="BV256" i="1"/>
  <c r="BV257" i="1"/>
  <c r="BV258" i="1"/>
  <c r="BV259" i="1"/>
  <c r="BV260" i="1"/>
  <c r="BV261" i="1"/>
  <c r="BV262" i="1"/>
  <c r="BV263" i="1"/>
  <c r="BV264" i="1"/>
  <c r="BV265" i="1"/>
  <c r="BV266" i="1"/>
  <c r="BV267" i="1"/>
  <c r="BV268" i="1"/>
  <c r="BV269" i="1"/>
  <c r="BV270" i="1"/>
  <c r="BV271" i="1"/>
  <c r="BV272" i="1"/>
  <c r="BV273" i="1"/>
  <c r="BV274" i="1"/>
  <c r="BV275" i="1"/>
  <c r="BV276" i="1"/>
  <c r="BV277" i="1"/>
  <c r="BV278" i="1"/>
  <c r="BV279" i="1"/>
  <c r="BV280" i="1"/>
  <c r="BV281" i="1"/>
  <c r="BV282" i="1"/>
  <c r="BV283" i="1"/>
  <c r="BV284" i="1"/>
  <c r="BV285" i="1"/>
  <c r="BV286" i="1"/>
  <c r="BV287" i="1"/>
  <c r="BV288" i="1"/>
  <c r="BV289" i="1"/>
  <c r="BV290" i="1"/>
  <c r="BV291" i="1"/>
  <c r="BV292" i="1"/>
  <c r="BV293" i="1"/>
  <c r="BV294" i="1"/>
  <c r="BV295" i="1"/>
  <c r="BV296" i="1"/>
  <c r="BV297" i="1"/>
  <c r="BV298" i="1"/>
  <c r="BV299" i="1"/>
  <c r="BV300" i="1"/>
  <c r="BV301" i="1"/>
  <c r="BV302" i="1"/>
  <c r="BV303" i="1"/>
  <c r="BV304" i="1"/>
  <c r="BV305" i="1"/>
  <c r="BV306" i="1"/>
  <c r="BV307" i="1"/>
  <c r="BV308" i="1"/>
  <c r="BV309" i="1"/>
  <c r="BV310" i="1"/>
  <c r="BV311" i="1"/>
  <c r="BV312" i="1"/>
  <c r="BV313" i="1"/>
  <c r="BV314" i="1"/>
  <c r="BV315" i="1"/>
  <c r="BV316" i="1"/>
  <c r="BV317" i="1"/>
  <c r="BV318" i="1"/>
  <c r="BV319" i="1"/>
  <c r="BV320" i="1"/>
  <c r="BV321" i="1"/>
  <c r="BV322" i="1"/>
  <c r="BV323" i="1"/>
  <c r="BV324" i="1"/>
  <c r="BV325" i="1"/>
  <c r="BV326" i="1"/>
  <c r="BV327" i="1"/>
  <c r="BV328" i="1"/>
  <c r="BV329" i="1"/>
  <c r="BV330" i="1"/>
  <c r="BV331" i="1"/>
  <c r="BV332" i="1"/>
  <c r="BV333" i="1"/>
  <c r="BV334" i="1"/>
  <c r="BV335" i="1"/>
  <c r="BV336" i="1"/>
  <c r="BV337" i="1"/>
  <c r="BV338" i="1"/>
  <c r="BV339" i="1"/>
  <c r="BV340" i="1"/>
  <c r="BV341" i="1"/>
  <c r="BV342" i="1"/>
  <c r="BV343" i="1"/>
  <c r="BV344" i="1"/>
  <c r="BV345" i="1"/>
  <c r="BV346" i="1"/>
  <c r="BV347" i="1"/>
  <c r="BV348" i="1"/>
  <c r="BV349" i="1"/>
  <c r="BV350" i="1"/>
  <c r="BV351" i="1"/>
  <c r="BV352" i="1"/>
  <c r="BV353" i="1"/>
  <c r="BV354" i="1"/>
  <c r="BV355" i="1"/>
  <c r="BV356" i="1"/>
  <c r="CJ2" i="1"/>
  <c r="CJ3" i="1"/>
  <c r="CJ4" i="1"/>
  <c r="CJ5" i="1"/>
  <c r="CJ6" i="1"/>
  <c r="CJ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6" i="1"/>
  <c r="CJ57" i="1"/>
  <c r="CJ58" i="1"/>
  <c r="CJ59" i="1"/>
  <c r="CJ60" i="1"/>
  <c r="CJ61" i="1"/>
  <c r="CJ62" i="1"/>
  <c r="CJ63" i="1"/>
  <c r="CJ64" i="1"/>
  <c r="CJ65" i="1"/>
  <c r="CJ66" i="1"/>
  <c r="CJ67" i="1"/>
  <c r="CJ68" i="1"/>
  <c r="CJ69" i="1"/>
  <c r="CJ70" i="1"/>
  <c r="CJ71" i="1"/>
  <c r="CJ72" i="1"/>
  <c r="CJ73" i="1"/>
  <c r="CJ74" i="1"/>
  <c r="CJ75" i="1"/>
  <c r="CJ76" i="1"/>
  <c r="CJ77" i="1"/>
  <c r="CJ78" i="1"/>
  <c r="CJ79" i="1"/>
  <c r="CJ80" i="1"/>
  <c r="CJ81" i="1"/>
  <c r="CJ82" i="1"/>
  <c r="CJ83" i="1"/>
  <c r="CJ84" i="1"/>
  <c r="CJ85" i="1"/>
  <c r="CJ86" i="1"/>
  <c r="CJ87" i="1"/>
  <c r="CJ88" i="1"/>
  <c r="CJ89" i="1"/>
  <c r="CJ90" i="1"/>
  <c r="CJ91" i="1"/>
  <c r="CJ92" i="1"/>
  <c r="CJ93" i="1"/>
  <c r="CJ94" i="1"/>
  <c r="CJ95" i="1"/>
  <c r="CJ96" i="1"/>
  <c r="CJ97" i="1"/>
  <c r="CJ98" i="1"/>
  <c r="CJ99" i="1"/>
  <c r="CJ100" i="1"/>
  <c r="CJ101" i="1"/>
  <c r="CJ102" i="1"/>
  <c r="CJ103" i="1"/>
  <c r="CJ104" i="1"/>
  <c r="CJ105" i="1"/>
  <c r="CJ106" i="1"/>
  <c r="CJ107" i="1"/>
  <c r="CJ108" i="1"/>
  <c r="CJ109" i="1"/>
  <c r="CJ110" i="1"/>
  <c r="CJ111" i="1"/>
  <c r="CJ112" i="1"/>
  <c r="CJ113" i="1"/>
  <c r="CJ114" i="1"/>
  <c r="CJ115" i="1"/>
  <c r="CJ116" i="1"/>
  <c r="CJ117" i="1"/>
  <c r="CJ118" i="1"/>
  <c r="CJ119" i="1"/>
  <c r="CJ120" i="1"/>
  <c r="CJ121" i="1"/>
  <c r="CJ122" i="1"/>
  <c r="CJ123" i="1"/>
  <c r="CJ124" i="1"/>
  <c r="CJ125" i="1"/>
  <c r="CJ126" i="1"/>
  <c r="CJ127" i="1"/>
  <c r="CJ128" i="1"/>
  <c r="CJ129" i="1"/>
  <c r="CJ130" i="1"/>
  <c r="CJ131" i="1"/>
  <c r="CJ132" i="1"/>
  <c r="CJ133" i="1"/>
  <c r="CJ134" i="1"/>
  <c r="CJ135" i="1"/>
  <c r="CJ136" i="1"/>
  <c r="CJ137" i="1"/>
  <c r="CJ138" i="1"/>
  <c r="CJ139" i="1"/>
  <c r="CJ140" i="1"/>
  <c r="CJ141" i="1"/>
  <c r="CJ142" i="1"/>
  <c r="CJ143" i="1"/>
  <c r="CJ144" i="1"/>
  <c r="CJ145" i="1"/>
  <c r="CJ146" i="1"/>
  <c r="CJ147" i="1"/>
  <c r="CJ148" i="1"/>
  <c r="CJ149" i="1"/>
  <c r="CJ150" i="1"/>
  <c r="CJ151" i="1"/>
  <c r="CJ152" i="1"/>
  <c r="CJ153" i="1"/>
  <c r="CJ154" i="1"/>
  <c r="CJ155" i="1"/>
  <c r="CJ156" i="1"/>
  <c r="CJ157" i="1"/>
  <c r="CJ158" i="1"/>
  <c r="CJ159" i="1"/>
  <c r="CJ160" i="1"/>
  <c r="CJ161" i="1"/>
  <c r="CJ162" i="1"/>
  <c r="CJ163" i="1"/>
  <c r="CJ164" i="1"/>
  <c r="CJ165" i="1"/>
  <c r="CJ166" i="1"/>
  <c r="CJ167" i="1"/>
  <c r="CJ168" i="1"/>
  <c r="CJ169" i="1"/>
  <c r="CJ170" i="1"/>
  <c r="CJ171" i="1"/>
  <c r="CJ172" i="1"/>
  <c r="CJ173" i="1"/>
  <c r="CJ174" i="1"/>
  <c r="CJ175" i="1"/>
  <c r="CJ176" i="1"/>
  <c r="CJ177" i="1"/>
  <c r="CJ178" i="1"/>
  <c r="CJ179" i="1"/>
  <c r="CJ180" i="1"/>
  <c r="CJ181" i="1"/>
  <c r="CJ182" i="1"/>
  <c r="CJ183" i="1"/>
  <c r="CJ184" i="1"/>
  <c r="CJ185" i="1"/>
  <c r="CJ186" i="1"/>
  <c r="CJ187" i="1"/>
  <c r="CJ188" i="1"/>
  <c r="CJ189" i="1"/>
  <c r="CJ190" i="1"/>
  <c r="CJ191" i="1"/>
  <c r="CJ192" i="1"/>
  <c r="CJ193" i="1"/>
  <c r="CJ194" i="1"/>
  <c r="CJ195" i="1"/>
  <c r="CJ196" i="1"/>
  <c r="CJ197" i="1"/>
  <c r="CJ198" i="1"/>
  <c r="CJ199" i="1"/>
  <c r="CJ200" i="1"/>
  <c r="CJ201" i="1"/>
  <c r="CJ202" i="1"/>
  <c r="CJ203" i="1"/>
  <c r="CJ204" i="1"/>
  <c r="CJ205" i="1"/>
  <c r="CJ206" i="1"/>
  <c r="CJ207" i="1"/>
  <c r="CJ208" i="1"/>
  <c r="CJ209" i="1"/>
  <c r="CJ210" i="1"/>
  <c r="CJ211" i="1"/>
  <c r="CJ212" i="1"/>
  <c r="CJ213" i="1"/>
  <c r="CJ214" i="1"/>
  <c r="CJ215" i="1"/>
  <c r="CJ216" i="1"/>
  <c r="CJ217" i="1"/>
  <c r="CJ218" i="1"/>
  <c r="CJ219" i="1"/>
  <c r="CJ220" i="1"/>
  <c r="CJ221" i="1"/>
  <c r="CJ222" i="1"/>
  <c r="CJ223" i="1"/>
  <c r="CJ224" i="1"/>
  <c r="CJ225" i="1"/>
  <c r="CJ226" i="1"/>
  <c r="CJ227" i="1"/>
  <c r="CJ228" i="1"/>
  <c r="CJ229" i="1"/>
  <c r="CJ230" i="1"/>
  <c r="CJ231" i="1"/>
  <c r="CJ232" i="1"/>
  <c r="CJ233" i="1"/>
  <c r="CJ234" i="1"/>
  <c r="CJ235" i="1"/>
  <c r="CJ236" i="1"/>
  <c r="CJ237" i="1"/>
  <c r="CJ238" i="1"/>
  <c r="CJ239" i="1"/>
  <c r="CJ240" i="1"/>
  <c r="CJ241" i="1"/>
  <c r="CJ242" i="1"/>
  <c r="CJ243" i="1"/>
  <c r="CJ244" i="1"/>
  <c r="CJ245" i="1"/>
  <c r="CJ246" i="1"/>
  <c r="CJ247" i="1"/>
  <c r="CJ248" i="1"/>
  <c r="CJ249" i="1"/>
  <c r="CJ250" i="1"/>
  <c r="CJ251" i="1"/>
  <c r="CJ252" i="1"/>
  <c r="CJ253" i="1"/>
  <c r="CJ254" i="1"/>
  <c r="CJ255" i="1"/>
  <c r="CJ256" i="1"/>
  <c r="CJ257" i="1"/>
  <c r="CJ258" i="1"/>
  <c r="CJ259" i="1"/>
  <c r="CJ260" i="1"/>
  <c r="CJ261" i="1"/>
  <c r="CJ262" i="1"/>
  <c r="CJ263" i="1"/>
  <c r="CJ264" i="1"/>
  <c r="CJ265" i="1"/>
  <c r="CJ266" i="1"/>
  <c r="CJ267" i="1"/>
  <c r="CJ268" i="1"/>
  <c r="CJ269" i="1"/>
  <c r="CJ270" i="1"/>
  <c r="CJ271" i="1"/>
  <c r="CJ272" i="1"/>
  <c r="CJ273" i="1"/>
  <c r="CJ274" i="1"/>
  <c r="CJ275" i="1"/>
  <c r="CJ276" i="1"/>
  <c r="CJ277" i="1"/>
  <c r="CJ278" i="1"/>
  <c r="CJ279" i="1"/>
  <c r="CJ280" i="1"/>
  <c r="CJ281" i="1"/>
  <c r="CJ282" i="1"/>
  <c r="CJ283" i="1"/>
  <c r="CJ284" i="1"/>
  <c r="CJ285" i="1"/>
  <c r="CJ286" i="1"/>
  <c r="CJ287" i="1"/>
  <c r="CJ288" i="1"/>
  <c r="CJ289" i="1"/>
  <c r="CJ290" i="1"/>
  <c r="CJ291" i="1"/>
  <c r="CJ292" i="1"/>
  <c r="CJ293" i="1"/>
  <c r="CJ294" i="1"/>
  <c r="CJ295" i="1"/>
  <c r="CJ296" i="1"/>
  <c r="CJ297" i="1"/>
  <c r="CJ298" i="1"/>
  <c r="CJ299" i="1"/>
  <c r="CJ300" i="1"/>
  <c r="CJ301" i="1"/>
  <c r="CJ302" i="1"/>
  <c r="CJ303" i="1"/>
  <c r="CJ304" i="1"/>
  <c r="CJ305" i="1"/>
  <c r="CJ306" i="1"/>
  <c r="CJ307" i="1"/>
  <c r="CJ308" i="1"/>
  <c r="CJ309" i="1"/>
  <c r="CJ310" i="1"/>
  <c r="CJ311" i="1"/>
  <c r="CJ312" i="1"/>
  <c r="CJ313" i="1"/>
  <c r="CJ314" i="1"/>
  <c r="CJ315" i="1"/>
  <c r="CJ316" i="1"/>
  <c r="CJ317" i="1"/>
  <c r="CJ318" i="1"/>
  <c r="CJ319" i="1"/>
  <c r="CJ320" i="1"/>
  <c r="CJ321" i="1"/>
  <c r="CJ322" i="1"/>
  <c r="CJ323" i="1"/>
  <c r="CJ324" i="1"/>
  <c r="CJ325" i="1"/>
  <c r="CJ326" i="1"/>
  <c r="CJ327" i="1"/>
  <c r="CJ328" i="1"/>
  <c r="CJ329" i="1"/>
  <c r="CJ330" i="1"/>
  <c r="CJ331" i="1"/>
  <c r="CJ332" i="1"/>
  <c r="CJ333" i="1"/>
  <c r="CJ334" i="1"/>
  <c r="CJ335" i="1"/>
  <c r="CJ336" i="1"/>
  <c r="CJ337" i="1"/>
  <c r="CJ338" i="1"/>
  <c r="CJ339" i="1"/>
  <c r="CJ340" i="1"/>
  <c r="CJ341" i="1"/>
  <c r="CJ342" i="1"/>
  <c r="CJ343" i="1"/>
  <c r="CJ344" i="1"/>
  <c r="CJ345" i="1"/>
  <c r="CJ346" i="1"/>
  <c r="CJ347" i="1"/>
  <c r="CJ348" i="1"/>
  <c r="CJ349" i="1"/>
  <c r="CJ350" i="1"/>
  <c r="CJ351" i="1"/>
  <c r="CJ352" i="1"/>
  <c r="CJ353" i="1"/>
  <c r="CJ354" i="1"/>
  <c r="CJ355" i="1"/>
  <c r="CJ356" i="1"/>
  <c r="CZ2" i="1"/>
  <c r="CZ3" i="1"/>
  <c r="CZ4" i="1"/>
  <c r="CZ5" i="1"/>
  <c r="CZ6" i="1"/>
  <c r="CZ7" i="1"/>
  <c r="CZ8" i="1"/>
  <c r="CZ9" i="1"/>
  <c r="CZ10" i="1"/>
  <c r="CZ11" i="1"/>
  <c r="CZ12" i="1"/>
  <c r="CZ13" i="1"/>
  <c r="CZ14" i="1"/>
  <c r="CZ15" i="1"/>
  <c r="CZ16" i="1"/>
  <c r="CZ17" i="1"/>
  <c r="CZ18" i="1"/>
  <c r="CZ19" i="1"/>
  <c r="CZ20" i="1"/>
  <c r="CZ21" i="1"/>
  <c r="CZ22" i="1"/>
  <c r="CZ23" i="1"/>
  <c r="CZ24" i="1"/>
  <c r="CZ25" i="1"/>
  <c r="CZ26" i="1"/>
  <c r="CZ27" i="1"/>
  <c r="CZ28" i="1"/>
  <c r="CZ29" i="1"/>
  <c r="CZ30" i="1"/>
  <c r="CZ31" i="1"/>
  <c r="CZ32" i="1"/>
  <c r="CZ33" i="1"/>
  <c r="CZ34" i="1"/>
  <c r="CZ35" i="1"/>
  <c r="CZ36" i="1"/>
  <c r="CZ37" i="1"/>
  <c r="CZ38" i="1"/>
  <c r="CZ39" i="1"/>
  <c r="CZ40" i="1"/>
  <c r="CZ41" i="1"/>
  <c r="CZ42" i="1"/>
  <c r="CZ43" i="1"/>
  <c r="CZ44" i="1"/>
  <c r="CZ45" i="1"/>
  <c r="CZ46" i="1"/>
  <c r="CZ47" i="1"/>
  <c r="CZ48" i="1"/>
  <c r="CZ49" i="1"/>
  <c r="CZ50" i="1"/>
  <c r="CZ51" i="1"/>
  <c r="CZ52" i="1"/>
  <c r="CZ53" i="1"/>
  <c r="CZ54" i="1"/>
  <c r="CZ55" i="1"/>
  <c r="CZ56" i="1"/>
  <c r="CZ57" i="1"/>
  <c r="CZ58" i="1"/>
  <c r="CZ59" i="1"/>
  <c r="CZ60" i="1"/>
  <c r="CZ61" i="1"/>
  <c r="CZ62" i="1"/>
  <c r="CZ63" i="1"/>
  <c r="CZ64" i="1"/>
  <c r="CZ65" i="1"/>
  <c r="CZ66" i="1"/>
  <c r="CZ67" i="1"/>
  <c r="CZ68" i="1"/>
  <c r="CZ69" i="1"/>
  <c r="CZ70" i="1"/>
  <c r="CZ71" i="1"/>
  <c r="CZ72" i="1"/>
  <c r="CZ73" i="1"/>
  <c r="CZ74" i="1"/>
  <c r="CZ75" i="1"/>
  <c r="CZ76" i="1"/>
  <c r="CZ77" i="1"/>
  <c r="CZ78" i="1"/>
  <c r="CZ79" i="1"/>
  <c r="CZ80" i="1"/>
  <c r="CZ81" i="1"/>
  <c r="CZ82" i="1"/>
  <c r="CZ83" i="1"/>
  <c r="CZ84" i="1"/>
  <c r="CZ85" i="1"/>
  <c r="CZ86" i="1"/>
  <c r="CZ87" i="1"/>
  <c r="CZ88" i="1"/>
  <c r="CZ89" i="1"/>
  <c r="CZ90" i="1"/>
  <c r="CZ91" i="1"/>
  <c r="CZ92" i="1"/>
  <c r="CZ93" i="1"/>
  <c r="CZ94" i="1"/>
  <c r="CZ95" i="1"/>
  <c r="CZ96" i="1"/>
  <c r="CZ97" i="1"/>
  <c r="CZ98" i="1"/>
  <c r="CZ99" i="1"/>
  <c r="CZ100" i="1"/>
  <c r="CZ101" i="1"/>
  <c r="CZ102" i="1"/>
  <c r="CZ103" i="1"/>
  <c r="CZ104" i="1"/>
  <c r="CZ105" i="1"/>
  <c r="CZ106" i="1"/>
  <c r="CZ107" i="1"/>
  <c r="CZ108" i="1"/>
  <c r="CZ109" i="1"/>
  <c r="CZ110" i="1"/>
  <c r="CZ111" i="1"/>
  <c r="CZ112" i="1"/>
  <c r="CZ113" i="1"/>
  <c r="CZ114" i="1"/>
  <c r="CZ115" i="1"/>
  <c r="CZ116" i="1"/>
  <c r="CZ117" i="1"/>
  <c r="CZ118" i="1"/>
  <c r="CZ119" i="1"/>
  <c r="CZ120" i="1"/>
  <c r="CZ121" i="1"/>
  <c r="CZ122" i="1"/>
  <c r="CZ123" i="1"/>
  <c r="CZ124" i="1"/>
  <c r="CZ125" i="1"/>
  <c r="CZ126" i="1"/>
  <c r="CZ127" i="1"/>
  <c r="CZ128" i="1"/>
  <c r="CZ129" i="1"/>
  <c r="CZ130" i="1"/>
  <c r="CZ131" i="1"/>
  <c r="CZ132" i="1"/>
  <c r="CZ133" i="1"/>
  <c r="CZ134" i="1"/>
  <c r="CZ135" i="1"/>
  <c r="CZ136" i="1"/>
  <c r="CZ137" i="1"/>
  <c r="CZ138" i="1"/>
  <c r="CZ139" i="1"/>
  <c r="CZ140" i="1"/>
  <c r="CZ141" i="1"/>
  <c r="CZ142" i="1"/>
  <c r="CZ143" i="1"/>
  <c r="CZ144" i="1"/>
  <c r="CZ145" i="1"/>
  <c r="CZ146" i="1"/>
  <c r="CZ147" i="1"/>
  <c r="CZ148" i="1"/>
  <c r="CZ149" i="1"/>
  <c r="CZ150" i="1"/>
  <c r="CZ151" i="1"/>
  <c r="CZ152" i="1"/>
  <c r="CZ153" i="1"/>
  <c r="CZ154" i="1"/>
  <c r="CZ155" i="1"/>
  <c r="CZ156" i="1"/>
  <c r="CZ157" i="1"/>
  <c r="CZ158" i="1"/>
  <c r="CZ159" i="1"/>
  <c r="CZ160" i="1"/>
  <c r="CZ161" i="1"/>
  <c r="CZ162" i="1"/>
  <c r="CZ163" i="1"/>
  <c r="CZ164" i="1"/>
  <c r="CZ165" i="1"/>
  <c r="CZ166" i="1"/>
  <c r="CZ167" i="1"/>
  <c r="CZ168" i="1"/>
  <c r="CZ169" i="1"/>
  <c r="CZ170" i="1"/>
  <c r="CZ171" i="1"/>
  <c r="CZ172" i="1"/>
  <c r="CZ173" i="1"/>
  <c r="CZ174" i="1"/>
  <c r="CZ175" i="1"/>
  <c r="CZ176" i="1"/>
  <c r="CZ177" i="1"/>
  <c r="CZ178" i="1"/>
  <c r="CZ179" i="1"/>
  <c r="CZ180" i="1"/>
  <c r="CZ181" i="1"/>
  <c r="CZ182" i="1"/>
  <c r="CZ183" i="1"/>
  <c r="CZ184" i="1"/>
  <c r="CZ185" i="1"/>
  <c r="CZ186" i="1"/>
  <c r="CZ187" i="1"/>
  <c r="CZ188" i="1"/>
  <c r="CZ189" i="1"/>
  <c r="CZ190" i="1"/>
  <c r="CZ191" i="1"/>
  <c r="CZ192" i="1"/>
  <c r="CZ193" i="1"/>
  <c r="CZ194" i="1"/>
  <c r="CZ195" i="1"/>
  <c r="CZ196" i="1"/>
  <c r="CZ197" i="1"/>
  <c r="CZ198" i="1"/>
  <c r="CZ199" i="1"/>
  <c r="CZ200" i="1"/>
  <c r="CZ201" i="1"/>
  <c r="CZ202" i="1"/>
  <c r="CZ203" i="1"/>
  <c r="CZ204" i="1"/>
  <c r="CZ205" i="1"/>
  <c r="CZ206" i="1"/>
  <c r="CZ207" i="1"/>
  <c r="CZ208" i="1"/>
  <c r="CZ209" i="1"/>
  <c r="CZ210" i="1"/>
  <c r="CZ211" i="1"/>
  <c r="CZ212" i="1"/>
  <c r="CZ213" i="1"/>
  <c r="CZ214" i="1"/>
  <c r="CZ215" i="1"/>
  <c r="CZ216" i="1"/>
  <c r="CZ217" i="1"/>
  <c r="CZ218" i="1"/>
  <c r="CZ219" i="1"/>
  <c r="CZ220" i="1"/>
  <c r="CZ221" i="1"/>
  <c r="CZ222" i="1"/>
  <c r="CZ223" i="1"/>
  <c r="CZ224" i="1"/>
  <c r="CZ225" i="1"/>
  <c r="CZ226" i="1"/>
  <c r="CZ227" i="1"/>
  <c r="CZ228" i="1"/>
  <c r="CZ229" i="1"/>
  <c r="CZ230" i="1"/>
  <c r="CZ231" i="1"/>
  <c r="CZ232" i="1"/>
  <c r="CZ233" i="1"/>
  <c r="CZ234" i="1"/>
  <c r="CZ235" i="1"/>
  <c r="CZ236" i="1"/>
  <c r="CZ237" i="1"/>
  <c r="CZ238" i="1"/>
  <c r="CZ239" i="1"/>
  <c r="CZ240" i="1"/>
  <c r="CZ241" i="1"/>
  <c r="CZ242" i="1"/>
  <c r="CZ243" i="1"/>
  <c r="CZ244" i="1"/>
  <c r="CZ245" i="1"/>
  <c r="CZ246" i="1"/>
  <c r="CZ247" i="1"/>
  <c r="CZ248" i="1"/>
  <c r="CZ249" i="1"/>
  <c r="CZ250" i="1"/>
  <c r="CZ251" i="1"/>
  <c r="CZ252" i="1"/>
  <c r="CZ253" i="1"/>
  <c r="CZ254" i="1"/>
  <c r="CZ255" i="1"/>
  <c r="CZ256" i="1"/>
  <c r="CZ257" i="1"/>
  <c r="CZ258" i="1"/>
  <c r="CZ259" i="1"/>
  <c r="CZ260" i="1"/>
  <c r="CZ261" i="1"/>
  <c r="CZ262" i="1"/>
  <c r="CZ263" i="1"/>
  <c r="CZ264" i="1"/>
  <c r="CZ265" i="1"/>
  <c r="CZ266" i="1"/>
  <c r="CZ267" i="1"/>
  <c r="CZ268" i="1"/>
  <c r="CZ269" i="1"/>
  <c r="CZ270" i="1"/>
  <c r="CZ271" i="1"/>
  <c r="CZ272" i="1"/>
  <c r="CZ273" i="1"/>
  <c r="CZ274" i="1"/>
  <c r="CZ275" i="1"/>
  <c r="CZ276" i="1"/>
  <c r="CZ277" i="1"/>
  <c r="CZ278" i="1"/>
  <c r="CZ279" i="1"/>
  <c r="CZ280" i="1"/>
  <c r="CZ281" i="1"/>
  <c r="CZ282" i="1"/>
  <c r="CZ283" i="1"/>
  <c r="CZ284" i="1"/>
  <c r="CZ285" i="1"/>
  <c r="CZ286" i="1"/>
  <c r="CZ287" i="1"/>
  <c r="CZ288" i="1"/>
  <c r="CZ289" i="1"/>
  <c r="CZ290" i="1"/>
  <c r="CZ291" i="1"/>
  <c r="CZ292" i="1"/>
  <c r="CZ293" i="1"/>
  <c r="CZ294" i="1"/>
  <c r="CZ295" i="1"/>
  <c r="CZ296" i="1"/>
  <c r="CZ297" i="1"/>
  <c r="CZ298" i="1"/>
  <c r="CZ299" i="1"/>
  <c r="CZ300" i="1"/>
  <c r="CZ301" i="1"/>
  <c r="CZ302" i="1"/>
  <c r="CZ303" i="1"/>
  <c r="CZ304" i="1"/>
  <c r="CZ305" i="1"/>
  <c r="CZ306" i="1"/>
  <c r="CZ307" i="1"/>
  <c r="CZ308" i="1"/>
  <c r="CZ309" i="1"/>
  <c r="CZ310" i="1"/>
  <c r="CZ311" i="1"/>
  <c r="CZ312" i="1"/>
  <c r="CZ313" i="1"/>
  <c r="CZ314" i="1"/>
  <c r="CZ315" i="1"/>
  <c r="CZ316" i="1"/>
  <c r="CZ317" i="1"/>
  <c r="CZ318" i="1"/>
  <c r="CZ319" i="1"/>
  <c r="CZ320" i="1"/>
  <c r="CZ321" i="1"/>
  <c r="CZ322" i="1"/>
  <c r="CZ323" i="1"/>
  <c r="CZ324" i="1"/>
  <c r="CZ325" i="1"/>
  <c r="CZ326" i="1"/>
  <c r="CZ327" i="1"/>
  <c r="CZ328" i="1"/>
  <c r="CZ329" i="1"/>
  <c r="CZ330" i="1"/>
  <c r="CZ331" i="1"/>
  <c r="CZ332" i="1"/>
  <c r="CZ333" i="1"/>
  <c r="CZ334" i="1"/>
  <c r="CZ335" i="1"/>
  <c r="CZ336" i="1"/>
  <c r="CZ337" i="1"/>
  <c r="CZ338" i="1"/>
  <c r="CZ339" i="1"/>
  <c r="CZ340" i="1"/>
  <c r="CZ341" i="1"/>
  <c r="CZ342" i="1"/>
  <c r="CZ343" i="1"/>
  <c r="CZ344" i="1"/>
  <c r="CZ345" i="1"/>
  <c r="CZ346" i="1"/>
  <c r="CZ347" i="1"/>
  <c r="CZ348" i="1"/>
  <c r="CZ349" i="1"/>
  <c r="CZ350" i="1"/>
  <c r="CZ351" i="1"/>
  <c r="CZ352" i="1"/>
  <c r="CZ353" i="1"/>
  <c r="CZ354" i="1"/>
  <c r="CZ355" i="1"/>
  <c r="CZ356" i="1"/>
  <c r="AR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BJ2" i="1"/>
  <c r="BJ3" i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176" i="1"/>
  <c r="BJ177" i="1"/>
  <c r="BJ178" i="1"/>
  <c r="BJ179" i="1"/>
  <c r="BJ180" i="1"/>
  <c r="BJ181" i="1"/>
  <c r="BJ182" i="1"/>
  <c r="BJ183" i="1"/>
  <c r="BJ184" i="1"/>
  <c r="BJ185" i="1"/>
  <c r="BJ186" i="1"/>
  <c r="BJ187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J200" i="1"/>
  <c r="BJ201" i="1"/>
  <c r="BJ202" i="1"/>
  <c r="BJ203" i="1"/>
  <c r="BJ204" i="1"/>
  <c r="BJ205" i="1"/>
  <c r="BJ206" i="1"/>
  <c r="BJ207" i="1"/>
  <c r="BJ208" i="1"/>
  <c r="BJ209" i="1"/>
  <c r="BJ210" i="1"/>
  <c r="BJ211" i="1"/>
  <c r="BJ212" i="1"/>
  <c r="BJ213" i="1"/>
  <c r="BJ214" i="1"/>
  <c r="BJ215" i="1"/>
  <c r="BJ216" i="1"/>
  <c r="BJ217" i="1"/>
  <c r="BJ218" i="1"/>
  <c r="BJ219" i="1"/>
  <c r="BJ220" i="1"/>
  <c r="BJ221" i="1"/>
  <c r="BJ222" i="1"/>
  <c r="BJ223" i="1"/>
  <c r="BJ224" i="1"/>
  <c r="BJ225" i="1"/>
  <c r="BJ226" i="1"/>
  <c r="BJ227" i="1"/>
  <c r="BJ228" i="1"/>
  <c r="BJ229" i="1"/>
  <c r="BJ230" i="1"/>
  <c r="BJ231" i="1"/>
  <c r="BJ232" i="1"/>
  <c r="BJ233" i="1"/>
  <c r="BJ234" i="1"/>
  <c r="BJ235" i="1"/>
  <c r="BJ236" i="1"/>
  <c r="BJ237" i="1"/>
  <c r="BJ238" i="1"/>
  <c r="BJ239" i="1"/>
  <c r="BJ240" i="1"/>
  <c r="BJ241" i="1"/>
  <c r="BJ242" i="1"/>
  <c r="BJ243" i="1"/>
  <c r="BJ244" i="1"/>
  <c r="BJ245" i="1"/>
  <c r="BJ246" i="1"/>
  <c r="BJ247" i="1"/>
  <c r="BJ248" i="1"/>
  <c r="BJ249" i="1"/>
  <c r="BJ250" i="1"/>
  <c r="BJ251" i="1"/>
  <c r="BJ252" i="1"/>
  <c r="BJ253" i="1"/>
  <c r="BJ254" i="1"/>
  <c r="BJ255" i="1"/>
  <c r="BJ256" i="1"/>
  <c r="BJ257" i="1"/>
  <c r="BJ258" i="1"/>
  <c r="BJ259" i="1"/>
  <c r="BJ260" i="1"/>
  <c r="BJ261" i="1"/>
  <c r="BJ262" i="1"/>
  <c r="BJ263" i="1"/>
  <c r="BJ264" i="1"/>
  <c r="BJ265" i="1"/>
  <c r="BJ266" i="1"/>
  <c r="BJ267" i="1"/>
  <c r="BJ268" i="1"/>
  <c r="BJ269" i="1"/>
  <c r="BJ270" i="1"/>
  <c r="BJ271" i="1"/>
  <c r="BJ272" i="1"/>
  <c r="BJ273" i="1"/>
  <c r="BJ274" i="1"/>
  <c r="BJ275" i="1"/>
  <c r="BJ276" i="1"/>
  <c r="BJ277" i="1"/>
  <c r="BJ278" i="1"/>
  <c r="BJ279" i="1"/>
  <c r="BJ280" i="1"/>
  <c r="BJ281" i="1"/>
  <c r="BJ282" i="1"/>
  <c r="BJ283" i="1"/>
  <c r="BJ284" i="1"/>
  <c r="BJ285" i="1"/>
  <c r="BJ286" i="1"/>
  <c r="BJ287" i="1"/>
  <c r="BJ288" i="1"/>
  <c r="BJ289" i="1"/>
  <c r="BJ290" i="1"/>
  <c r="BJ291" i="1"/>
  <c r="BJ292" i="1"/>
  <c r="BJ293" i="1"/>
  <c r="BJ294" i="1"/>
  <c r="BJ295" i="1"/>
  <c r="BJ296" i="1"/>
  <c r="BJ297" i="1"/>
  <c r="BJ298" i="1"/>
  <c r="BJ299" i="1"/>
  <c r="BJ300" i="1"/>
  <c r="BJ301" i="1"/>
  <c r="BJ302" i="1"/>
  <c r="BJ303" i="1"/>
  <c r="BJ304" i="1"/>
  <c r="BJ305" i="1"/>
  <c r="BJ306" i="1"/>
  <c r="BJ307" i="1"/>
  <c r="BJ308" i="1"/>
  <c r="BJ309" i="1"/>
  <c r="BJ310" i="1"/>
  <c r="BJ311" i="1"/>
  <c r="BJ312" i="1"/>
  <c r="BJ313" i="1"/>
  <c r="BJ314" i="1"/>
  <c r="BJ315" i="1"/>
  <c r="BJ316" i="1"/>
  <c r="BJ317" i="1"/>
  <c r="BJ318" i="1"/>
  <c r="BJ319" i="1"/>
  <c r="BJ320" i="1"/>
  <c r="BJ321" i="1"/>
  <c r="BJ322" i="1"/>
  <c r="BJ323" i="1"/>
  <c r="BJ324" i="1"/>
  <c r="BJ325" i="1"/>
  <c r="BJ326" i="1"/>
  <c r="BJ327" i="1"/>
  <c r="BJ328" i="1"/>
  <c r="BJ329" i="1"/>
  <c r="BJ330" i="1"/>
  <c r="BJ331" i="1"/>
  <c r="BJ332" i="1"/>
  <c r="BJ333" i="1"/>
  <c r="BJ334" i="1"/>
  <c r="BJ335" i="1"/>
  <c r="BJ336" i="1"/>
  <c r="BJ337" i="1"/>
  <c r="BJ338" i="1"/>
  <c r="BJ339" i="1"/>
  <c r="BJ340" i="1"/>
  <c r="BJ341" i="1"/>
  <c r="BJ342" i="1"/>
  <c r="BJ343" i="1"/>
  <c r="BJ344" i="1"/>
  <c r="BJ345" i="1"/>
  <c r="BJ346" i="1"/>
  <c r="BJ347" i="1"/>
  <c r="BJ348" i="1"/>
  <c r="BJ349" i="1"/>
  <c r="BJ350" i="1"/>
  <c r="BJ351" i="1"/>
  <c r="BJ352" i="1"/>
  <c r="BJ353" i="1"/>
  <c r="BJ354" i="1"/>
  <c r="BJ355" i="1"/>
  <c r="BJ356" i="1"/>
  <c r="CE2" i="1"/>
  <c r="CE3" i="1"/>
  <c r="CE4" i="1"/>
  <c r="CE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102" i="1"/>
  <c r="CE103" i="1"/>
  <c r="CE104" i="1"/>
  <c r="CE105" i="1"/>
  <c r="CE106" i="1"/>
  <c r="CE107" i="1"/>
  <c r="CE108" i="1"/>
  <c r="CE109" i="1"/>
  <c r="CE110" i="1"/>
  <c r="CE111" i="1"/>
  <c r="CE112" i="1"/>
  <c r="CE113" i="1"/>
  <c r="CE114" i="1"/>
  <c r="CE115" i="1"/>
  <c r="CE116" i="1"/>
  <c r="CE117" i="1"/>
  <c r="CE118" i="1"/>
  <c r="CE119" i="1"/>
  <c r="CE120" i="1"/>
  <c r="CE121" i="1"/>
  <c r="CE122" i="1"/>
  <c r="CE123" i="1"/>
  <c r="CE124" i="1"/>
  <c r="CE125" i="1"/>
  <c r="CE126" i="1"/>
  <c r="CE127" i="1"/>
  <c r="CE128" i="1"/>
  <c r="CE129" i="1"/>
  <c r="CE130" i="1"/>
  <c r="CE131" i="1"/>
  <c r="CE132" i="1"/>
  <c r="CE133" i="1"/>
  <c r="CE134" i="1"/>
  <c r="CE135" i="1"/>
  <c r="CE136" i="1"/>
  <c r="CE137" i="1"/>
  <c r="CE138" i="1"/>
  <c r="CE139" i="1"/>
  <c r="CE140" i="1"/>
  <c r="CE141" i="1"/>
  <c r="CE142" i="1"/>
  <c r="CE143" i="1"/>
  <c r="CE144" i="1"/>
  <c r="CE145" i="1"/>
  <c r="CE146" i="1"/>
  <c r="CE147" i="1"/>
  <c r="CE148" i="1"/>
  <c r="CE149" i="1"/>
  <c r="CE150" i="1"/>
  <c r="CE151" i="1"/>
  <c r="CE152" i="1"/>
  <c r="CE153" i="1"/>
  <c r="CE154" i="1"/>
  <c r="CE155" i="1"/>
  <c r="CE156" i="1"/>
  <c r="CE157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0" i="1"/>
  <c r="CE171" i="1"/>
  <c r="CE172" i="1"/>
  <c r="CE173" i="1"/>
  <c r="CE174" i="1"/>
  <c r="CE175" i="1"/>
  <c r="CE176" i="1"/>
  <c r="CE177" i="1"/>
  <c r="CE178" i="1"/>
  <c r="CE179" i="1"/>
  <c r="CE180" i="1"/>
  <c r="CE181" i="1"/>
  <c r="CE182" i="1"/>
  <c r="CE183" i="1"/>
  <c r="CE184" i="1"/>
  <c r="CE185" i="1"/>
  <c r="CE186" i="1"/>
  <c r="CE187" i="1"/>
  <c r="CE188" i="1"/>
  <c r="CE189" i="1"/>
  <c r="CE190" i="1"/>
  <c r="CE191" i="1"/>
  <c r="CE192" i="1"/>
  <c r="CE193" i="1"/>
  <c r="CE194" i="1"/>
  <c r="CE195" i="1"/>
  <c r="CE196" i="1"/>
  <c r="CE197" i="1"/>
  <c r="CE198" i="1"/>
  <c r="CE199" i="1"/>
  <c r="CE200" i="1"/>
  <c r="CE201" i="1"/>
  <c r="CE202" i="1"/>
  <c r="CE203" i="1"/>
  <c r="CE204" i="1"/>
  <c r="CE205" i="1"/>
  <c r="CE206" i="1"/>
  <c r="CE207" i="1"/>
  <c r="CE208" i="1"/>
  <c r="CE209" i="1"/>
  <c r="CE210" i="1"/>
  <c r="CE211" i="1"/>
  <c r="CE212" i="1"/>
  <c r="CE213" i="1"/>
  <c r="CE214" i="1"/>
  <c r="CE215" i="1"/>
  <c r="CE216" i="1"/>
  <c r="CE217" i="1"/>
  <c r="CE218" i="1"/>
  <c r="CE219" i="1"/>
  <c r="CE220" i="1"/>
  <c r="CE221" i="1"/>
  <c r="CE222" i="1"/>
  <c r="CE223" i="1"/>
  <c r="CE224" i="1"/>
  <c r="CE225" i="1"/>
  <c r="CE226" i="1"/>
  <c r="CE227" i="1"/>
  <c r="CE228" i="1"/>
  <c r="CE229" i="1"/>
  <c r="CE230" i="1"/>
  <c r="CE231" i="1"/>
  <c r="CE232" i="1"/>
  <c r="CE233" i="1"/>
  <c r="CE234" i="1"/>
  <c r="CE235" i="1"/>
  <c r="CE236" i="1"/>
  <c r="CE237" i="1"/>
  <c r="CE238" i="1"/>
  <c r="CE239" i="1"/>
  <c r="CE240" i="1"/>
  <c r="CE241" i="1"/>
  <c r="CE242" i="1"/>
  <c r="CE243" i="1"/>
  <c r="CE244" i="1"/>
  <c r="CE245" i="1"/>
  <c r="CE246" i="1"/>
  <c r="CE247" i="1"/>
  <c r="CE248" i="1"/>
  <c r="CE249" i="1"/>
  <c r="CE250" i="1"/>
  <c r="CE251" i="1"/>
  <c r="CE252" i="1"/>
  <c r="CE253" i="1"/>
  <c r="CE254" i="1"/>
  <c r="CE255" i="1"/>
  <c r="CE256" i="1"/>
  <c r="CE257" i="1"/>
  <c r="CE258" i="1"/>
  <c r="CE259" i="1"/>
  <c r="CE260" i="1"/>
  <c r="CE261" i="1"/>
  <c r="CE262" i="1"/>
  <c r="CE263" i="1"/>
  <c r="CE264" i="1"/>
  <c r="CE265" i="1"/>
  <c r="CE266" i="1"/>
  <c r="CE267" i="1"/>
  <c r="CE268" i="1"/>
  <c r="CE269" i="1"/>
  <c r="CE270" i="1"/>
  <c r="CE271" i="1"/>
  <c r="CE272" i="1"/>
  <c r="CE273" i="1"/>
  <c r="CE274" i="1"/>
  <c r="CE275" i="1"/>
  <c r="CE276" i="1"/>
  <c r="CE277" i="1"/>
  <c r="CE278" i="1"/>
  <c r="CE279" i="1"/>
  <c r="CE280" i="1"/>
  <c r="CE281" i="1"/>
  <c r="CE282" i="1"/>
  <c r="CE283" i="1"/>
  <c r="CE284" i="1"/>
  <c r="CE285" i="1"/>
  <c r="CE286" i="1"/>
  <c r="CE287" i="1"/>
  <c r="CE288" i="1"/>
  <c r="CE289" i="1"/>
  <c r="CE290" i="1"/>
  <c r="CE291" i="1"/>
  <c r="CE292" i="1"/>
  <c r="CE293" i="1"/>
  <c r="CE294" i="1"/>
  <c r="CE295" i="1"/>
  <c r="CE296" i="1"/>
  <c r="CE297" i="1"/>
  <c r="CE298" i="1"/>
  <c r="CE299" i="1"/>
  <c r="CE300" i="1"/>
  <c r="CE301" i="1"/>
  <c r="CE302" i="1"/>
  <c r="CE303" i="1"/>
  <c r="CE304" i="1"/>
  <c r="CE305" i="1"/>
  <c r="CE306" i="1"/>
  <c r="CE307" i="1"/>
  <c r="CE308" i="1"/>
  <c r="CE309" i="1"/>
  <c r="CE310" i="1"/>
  <c r="CE311" i="1"/>
  <c r="CE312" i="1"/>
  <c r="CE313" i="1"/>
  <c r="CE314" i="1"/>
  <c r="CE315" i="1"/>
  <c r="CE316" i="1"/>
  <c r="CE317" i="1"/>
  <c r="CE318" i="1"/>
  <c r="CE319" i="1"/>
  <c r="CE320" i="1"/>
  <c r="CE321" i="1"/>
  <c r="CE322" i="1"/>
  <c r="CE323" i="1"/>
  <c r="CE324" i="1"/>
  <c r="CE325" i="1"/>
  <c r="CE326" i="1"/>
  <c r="CE327" i="1"/>
  <c r="CE328" i="1"/>
  <c r="CE329" i="1"/>
  <c r="CE330" i="1"/>
  <c r="CE331" i="1"/>
  <c r="CE332" i="1"/>
  <c r="CE333" i="1"/>
  <c r="CE334" i="1"/>
  <c r="CE335" i="1"/>
  <c r="CE336" i="1"/>
  <c r="CE337" i="1"/>
  <c r="CE338" i="1"/>
  <c r="CE339" i="1"/>
  <c r="CE340" i="1"/>
  <c r="CE341" i="1"/>
  <c r="CE342" i="1"/>
  <c r="CE343" i="1"/>
  <c r="CE344" i="1"/>
  <c r="CE345" i="1"/>
  <c r="CE346" i="1"/>
  <c r="CE347" i="1"/>
  <c r="CE348" i="1"/>
  <c r="CE349" i="1"/>
  <c r="CE350" i="1"/>
  <c r="CE351" i="1"/>
  <c r="CE352" i="1"/>
  <c r="CE353" i="1"/>
  <c r="CE354" i="1"/>
  <c r="CE355" i="1"/>
  <c r="CE356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AX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Z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31" i="1"/>
  <c r="AZ232" i="1"/>
  <c r="AZ233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268" i="1"/>
  <c r="AZ269" i="1"/>
  <c r="AZ270" i="1"/>
  <c r="AZ271" i="1"/>
  <c r="AZ272" i="1"/>
  <c r="AZ273" i="1"/>
  <c r="AZ274" i="1"/>
  <c r="AZ275" i="1"/>
  <c r="AZ276" i="1"/>
  <c r="AZ277" i="1"/>
  <c r="AZ278" i="1"/>
  <c r="AZ279" i="1"/>
  <c r="AZ280" i="1"/>
  <c r="AZ281" i="1"/>
  <c r="AZ282" i="1"/>
  <c r="AZ283" i="1"/>
  <c r="AZ284" i="1"/>
  <c r="AZ285" i="1"/>
  <c r="AZ286" i="1"/>
  <c r="AZ287" i="1"/>
  <c r="AZ288" i="1"/>
  <c r="AZ289" i="1"/>
  <c r="AZ290" i="1"/>
  <c r="AZ291" i="1"/>
  <c r="AZ292" i="1"/>
  <c r="AZ293" i="1"/>
  <c r="AZ294" i="1"/>
  <c r="AZ295" i="1"/>
  <c r="AZ296" i="1"/>
  <c r="AZ297" i="1"/>
  <c r="AZ298" i="1"/>
  <c r="AZ299" i="1"/>
  <c r="AZ300" i="1"/>
  <c r="AZ301" i="1"/>
  <c r="AZ302" i="1"/>
  <c r="AZ303" i="1"/>
  <c r="AZ304" i="1"/>
  <c r="AZ305" i="1"/>
  <c r="AZ306" i="1"/>
  <c r="AZ307" i="1"/>
  <c r="AZ308" i="1"/>
  <c r="AZ309" i="1"/>
  <c r="AZ310" i="1"/>
  <c r="AZ311" i="1"/>
  <c r="AZ312" i="1"/>
  <c r="AZ313" i="1"/>
  <c r="AZ314" i="1"/>
  <c r="AZ315" i="1"/>
  <c r="AZ316" i="1"/>
  <c r="AZ317" i="1"/>
  <c r="AZ318" i="1"/>
  <c r="AZ319" i="1"/>
  <c r="AZ320" i="1"/>
  <c r="AZ321" i="1"/>
  <c r="AZ322" i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5" i="1"/>
  <c r="AZ336" i="1"/>
  <c r="AZ337" i="1"/>
  <c r="AZ338" i="1"/>
  <c r="AZ339" i="1"/>
  <c r="AZ340" i="1"/>
  <c r="AZ341" i="1"/>
  <c r="AZ342" i="1"/>
  <c r="AZ343" i="1"/>
  <c r="AZ344" i="1"/>
  <c r="AZ345" i="1"/>
  <c r="AZ346" i="1"/>
  <c r="AZ347" i="1"/>
  <c r="AZ348" i="1"/>
  <c r="AZ349" i="1"/>
  <c r="AZ350" i="1"/>
  <c r="AZ351" i="1"/>
  <c r="AZ352" i="1"/>
  <c r="AZ353" i="1"/>
  <c r="AZ354" i="1"/>
  <c r="AZ355" i="1"/>
  <c r="AZ356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BA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BB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1" i="1"/>
  <c r="BB292" i="1"/>
  <c r="BB293" i="1"/>
  <c r="BB294" i="1"/>
  <c r="BB295" i="1"/>
  <c r="BB296" i="1"/>
  <c r="BB297" i="1"/>
  <c r="BB298" i="1"/>
  <c r="BB299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322" i="1"/>
  <c r="BB323" i="1"/>
  <c r="BB324" i="1"/>
  <c r="BB325" i="1"/>
  <c r="BB326" i="1"/>
  <c r="BB327" i="1"/>
  <c r="BB328" i="1"/>
  <c r="BB329" i="1"/>
  <c r="BB330" i="1"/>
  <c r="BB331" i="1"/>
  <c r="BB332" i="1"/>
  <c r="BB333" i="1"/>
  <c r="BB334" i="1"/>
  <c r="BB335" i="1"/>
  <c r="BB336" i="1"/>
  <c r="BB337" i="1"/>
  <c r="BB338" i="1"/>
  <c r="BB339" i="1"/>
  <c r="BB340" i="1"/>
  <c r="BB341" i="1"/>
  <c r="BB342" i="1"/>
  <c r="BB343" i="1"/>
  <c r="BB344" i="1"/>
  <c r="BB345" i="1"/>
  <c r="BB346" i="1"/>
  <c r="BB347" i="1"/>
  <c r="BB348" i="1"/>
  <c r="BB349" i="1"/>
  <c r="BB350" i="1"/>
  <c r="BB351" i="1"/>
  <c r="BB352" i="1"/>
  <c r="BB353" i="1"/>
  <c r="BB354" i="1"/>
  <c r="BB355" i="1"/>
  <c r="BB356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BC2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0" i="1"/>
  <c r="BC241" i="1"/>
  <c r="BC242" i="1"/>
  <c r="BC243" i="1"/>
  <c r="BC244" i="1"/>
  <c r="BC245" i="1"/>
  <c r="BC246" i="1"/>
  <c r="BC247" i="1"/>
  <c r="BC248" i="1"/>
  <c r="BC249" i="1"/>
  <c r="BC250" i="1"/>
  <c r="BC251" i="1"/>
  <c r="BC252" i="1"/>
  <c r="BC253" i="1"/>
  <c r="BC254" i="1"/>
  <c r="BC255" i="1"/>
  <c r="BC256" i="1"/>
  <c r="BC257" i="1"/>
  <c r="BC258" i="1"/>
  <c r="BC259" i="1"/>
  <c r="BC260" i="1"/>
  <c r="BC261" i="1"/>
  <c r="BC262" i="1"/>
  <c r="BC263" i="1"/>
  <c r="BC264" i="1"/>
  <c r="BC265" i="1"/>
  <c r="BC266" i="1"/>
  <c r="BC267" i="1"/>
  <c r="BC268" i="1"/>
  <c r="BC269" i="1"/>
  <c r="BC270" i="1"/>
  <c r="BC271" i="1"/>
  <c r="BC272" i="1"/>
  <c r="BC273" i="1"/>
  <c r="BC274" i="1"/>
  <c r="BC275" i="1"/>
  <c r="BC276" i="1"/>
  <c r="BC277" i="1"/>
  <c r="BC278" i="1"/>
  <c r="BC279" i="1"/>
  <c r="BC280" i="1"/>
  <c r="BC281" i="1"/>
  <c r="BC282" i="1"/>
  <c r="BC283" i="1"/>
  <c r="BC284" i="1"/>
  <c r="BC285" i="1"/>
  <c r="BC286" i="1"/>
  <c r="BC287" i="1"/>
  <c r="BC288" i="1"/>
  <c r="BC289" i="1"/>
  <c r="BC290" i="1"/>
  <c r="BC291" i="1"/>
  <c r="BC292" i="1"/>
  <c r="BC293" i="1"/>
  <c r="BC294" i="1"/>
  <c r="BC295" i="1"/>
  <c r="BC296" i="1"/>
  <c r="BC297" i="1"/>
  <c r="BC298" i="1"/>
  <c r="BC299" i="1"/>
  <c r="BC300" i="1"/>
  <c r="BC301" i="1"/>
  <c r="BC302" i="1"/>
  <c r="BC303" i="1"/>
  <c r="BC304" i="1"/>
  <c r="BC305" i="1"/>
  <c r="BC306" i="1"/>
  <c r="BC307" i="1"/>
  <c r="BC308" i="1"/>
  <c r="BC309" i="1"/>
  <c r="BC310" i="1"/>
  <c r="BC311" i="1"/>
  <c r="BC312" i="1"/>
  <c r="BC313" i="1"/>
  <c r="BC314" i="1"/>
  <c r="BC315" i="1"/>
  <c r="BC316" i="1"/>
  <c r="BC317" i="1"/>
  <c r="BC318" i="1"/>
  <c r="BC319" i="1"/>
  <c r="BC320" i="1"/>
  <c r="BC321" i="1"/>
  <c r="BC322" i="1"/>
  <c r="BC323" i="1"/>
  <c r="BC324" i="1"/>
  <c r="BC325" i="1"/>
  <c r="BC326" i="1"/>
  <c r="BC327" i="1"/>
  <c r="BC328" i="1"/>
  <c r="BC329" i="1"/>
  <c r="BC330" i="1"/>
  <c r="BC331" i="1"/>
  <c r="BC332" i="1"/>
  <c r="BC333" i="1"/>
  <c r="BC334" i="1"/>
  <c r="BC335" i="1"/>
  <c r="BC336" i="1"/>
  <c r="BC337" i="1"/>
  <c r="BC338" i="1"/>
  <c r="BC339" i="1"/>
  <c r="BC340" i="1"/>
  <c r="BC341" i="1"/>
  <c r="BC342" i="1"/>
  <c r="BC343" i="1"/>
  <c r="BC344" i="1"/>
  <c r="BC345" i="1"/>
  <c r="BC346" i="1"/>
  <c r="BC347" i="1"/>
  <c r="BC348" i="1"/>
  <c r="BC349" i="1"/>
  <c r="BC350" i="1"/>
  <c r="BC351" i="1"/>
  <c r="BC352" i="1"/>
  <c r="BC353" i="1"/>
  <c r="BC354" i="1"/>
  <c r="BC355" i="1"/>
  <c r="BC356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BD2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D224" i="1"/>
  <c r="BD225" i="1"/>
  <c r="BD226" i="1"/>
  <c r="BD227" i="1"/>
  <c r="BD228" i="1"/>
  <c r="BD229" i="1"/>
  <c r="BD230" i="1"/>
  <c r="BD231" i="1"/>
  <c r="BD232" i="1"/>
  <c r="BD233" i="1"/>
  <c r="BD234" i="1"/>
  <c r="BD235" i="1"/>
  <c r="BD236" i="1"/>
  <c r="BD237" i="1"/>
  <c r="BD238" i="1"/>
  <c r="BD239" i="1"/>
  <c r="BD240" i="1"/>
  <c r="BD241" i="1"/>
  <c r="BD242" i="1"/>
  <c r="BD243" i="1"/>
  <c r="BD244" i="1"/>
  <c r="BD245" i="1"/>
  <c r="BD246" i="1"/>
  <c r="BD247" i="1"/>
  <c r="BD248" i="1"/>
  <c r="BD249" i="1"/>
  <c r="BD250" i="1"/>
  <c r="BD251" i="1"/>
  <c r="BD252" i="1"/>
  <c r="BD253" i="1"/>
  <c r="BD254" i="1"/>
  <c r="BD255" i="1"/>
  <c r="BD256" i="1"/>
  <c r="BD257" i="1"/>
  <c r="BD258" i="1"/>
  <c r="BD259" i="1"/>
  <c r="BD260" i="1"/>
  <c r="BD261" i="1"/>
  <c r="BD262" i="1"/>
  <c r="BD263" i="1"/>
  <c r="BD264" i="1"/>
  <c r="BD265" i="1"/>
  <c r="BD266" i="1"/>
  <c r="BD267" i="1"/>
  <c r="BD268" i="1"/>
  <c r="BD269" i="1"/>
  <c r="BD270" i="1"/>
  <c r="BD271" i="1"/>
  <c r="BD272" i="1"/>
  <c r="BD273" i="1"/>
  <c r="BD274" i="1"/>
  <c r="BD275" i="1"/>
  <c r="BD276" i="1"/>
  <c r="BD277" i="1"/>
  <c r="BD278" i="1"/>
  <c r="BD279" i="1"/>
  <c r="BD280" i="1"/>
  <c r="BD281" i="1"/>
  <c r="BD282" i="1"/>
  <c r="BD283" i="1"/>
  <c r="BD284" i="1"/>
  <c r="BD285" i="1"/>
  <c r="BD286" i="1"/>
  <c r="BD287" i="1"/>
  <c r="BD288" i="1"/>
  <c r="BD289" i="1"/>
  <c r="BD290" i="1"/>
  <c r="BD291" i="1"/>
  <c r="BD292" i="1"/>
  <c r="BD293" i="1"/>
  <c r="BD294" i="1"/>
  <c r="BD295" i="1"/>
  <c r="BD296" i="1"/>
  <c r="BD297" i="1"/>
  <c r="BD298" i="1"/>
  <c r="BD299" i="1"/>
  <c r="BD300" i="1"/>
  <c r="BD301" i="1"/>
  <c r="BD302" i="1"/>
  <c r="BD303" i="1"/>
  <c r="BD304" i="1"/>
  <c r="BD305" i="1"/>
  <c r="BD306" i="1"/>
  <c r="BD307" i="1"/>
  <c r="BD308" i="1"/>
  <c r="BD309" i="1"/>
  <c r="BD310" i="1"/>
  <c r="BD311" i="1"/>
  <c r="BD312" i="1"/>
  <c r="BD313" i="1"/>
  <c r="BD314" i="1"/>
  <c r="BD315" i="1"/>
  <c r="BD316" i="1"/>
  <c r="BD317" i="1"/>
  <c r="BD318" i="1"/>
  <c r="BD319" i="1"/>
  <c r="BD320" i="1"/>
  <c r="BD321" i="1"/>
  <c r="BD322" i="1"/>
  <c r="BD323" i="1"/>
  <c r="BD324" i="1"/>
  <c r="BD325" i="1"/>
  <c r="BD326" i="1"/>
  <c r="BD327" i="1"/>
  <c r="BD328" i="1"/>
  <c r="BD329" i="1"/>
  <c r="BD330" i="1"/>
  <c r="BD331" i="1"/>
  <c r="BD332" i="1"/>
  <c r="BD333" i="1"/>
  <c r="BD334" i="1"/>
  <c r="BD335" i="1"/>
  <c r="BD336" i="1"/>
  <c r="BD337" i="1"/>
  <c r="BD338" i="1"/>
  <c r="BD339" i="1"/>
  <c r="BD340" i="1"/>
  <c r="BD341" i="1"/>
  <c r="BD342" i="1"/>
  <c r="BD343" i="1"/>
  <c r="BD344" i="1"/>
  <c r="BD345" i="1"/>
  <c r="BD346" i="1"/>
  <c r="BD347" i="1"/>
  <c r="BD348" i="1"/>
  <c r="BD349" i="1"/>
  <c r="BD350" i="1"/>
  <c r="BD351" i="1"/>
  <c r="BD352" i="1"/>
  <c r="BD353" i="1"/>
  <c r="BD354" i="1"/>
  <c r="BD355" i="1"/>
  <c r="BD356" i="1"/>
  <c r="BG2" i="1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G300" i="1"/>
  <c r="BG301" i="1"/>
  <c r="BG302" i="1"/>
  <c r="BG303" i="1"/>
  <c r="BG304" i="1"/>
  <c r="BG305" i="1"/>
  <c r="BG306" i="1"/>
  <c r="BG307" i="1"/>
  <c r="BG308" i="1"/>
  <c r="BG309" i="1"/>
  <c r="BG310" i="1"/>
  <c r="BG311" i="1"/>
  <c r="BG312" i="1"/>
  <c r="BG313" i="1"/>
  <c r="BG314" i="1"/>
  <c r="BG315" i="1"/>
  <c r="BG316" i="1"/>
  <c r="BG317" i="1"/>
  <c r="BG318" i="1"/>
  <c r="BG319" i="1"/>
  <c r="BG320" i="1"/>
  <c r="BG321" i="1"/>
  <c r="BG322" i="1"/>
  <c r="BG323" i="1"/>
  <c r="BG324" i="1"/>
  <c r="BG325" i="1"/>
  <c r="BG326" i="1"/>
  <c r="BG327" i="1"/>
  <c r="BG328" i="1"/>
  <c r="BG329" i="1"/>
  <c r="BG330" i="1"/>
  <c r="BG331" i="1"/>
  <c r="BG332" i="1"/>
  <c r="BG333" i="1"/>
  <c r="BG334" i="1"/>
  <c r="BG335" i="1"/>
  <c r="BG336" i="1"/>
  <c r="BG337" i="1"/>
  <c r="BG338" i="1"/>
  <c r="BG339" i="1"/>
  <c r="BG340" i="1"/>
  <c r="BG341" i="1"/>
  <c r="BG342" i="1"/>
  <c r="BG343" i="1"/>
  <c r="BG344" i="1"/>
  <c r="BG345" i="1"/>
  <c r="BG346" i="1"/>
  <c r="BG347" i="1"/>
  <c r="BG348" i="1"/>
  <c r="BG349" i="1"/>
  <c r="BG350" i="1"/>
  <c r="BG351" i="1"/>
  <c r="BG352" i="1"/>
  <c r="BG353" i="1"/>
  <c r="BG354" i="1"/>
  <c r="BG355" i="1"/>
  <c r="BG356" i="1"/>
  <c r="AE2" i="1"/>
  <c r="AF2" i="1" s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111" i="1"/>
  <c r="AF111" i="1" s="1"/>
  <c r="AE112" i="1"/>
  <c r="AF112" i="1" s="1"/>
  <c r="AE113" i="1"/>
  <c r="AF113" i="1" s="1"/>
  <c r="AE114" i="1"/>
  <c r="AF114" i="1" s="1"/>
  <c r="AE115" i="1"/>
  <c r="AF115" i="1" s="1"/>
  <c r="AE116" i="1"/>
  <c r="AF116" i="1" s="1"/>
  <c r="AE117" i="1"/>
  <c r="AF117" i="1" s="1"/>
  <c r="AE118" i="1"/>
  <c r="AF118" i="1" s="1"/>
  <c r="AE119" i="1"/>
  <c r="AF119" i="1" s="1"/>
  <c r="AE120" i="1"/>
  <c r="AF120" i="1" s="1"/>
  <c r="AE121" i="1"/>
  <c r="AF121" i="1" s="1"/>
  <c r="AE122" i="1"/>
  <c r="AF122" i="1" s="1"/>
  <c r="AE123" i="1"/>
  <c r="AF123" i="1" s="1"/>
  <c r="AE124" i="1"/>
  <c r="AF124" i="1" s="1"/>
  <c r="AE125" i="1"/>
  <c r="AF125" i="1" s="1"/>
  <c r="AE126" i="1"/>
  <c r="AF126" i="1" s="1"/>
  <c r="AE127" i="1"/>
  <c r="AF127" i="1" s="1"/>
  <c r="AE128" i="1"/>
  <c r="AF128" i="1" s="1"/>
  <c r="AE129" i="1"/>
  <c r="AF129" i="1" s="1"/>
  <c r="AE130" i="1"/>
  <c r="AF130" i="1" s="1"/>
  <c r="AE131" i="1"/>
  <c r="AF131" i="1" s="1"/>
  <c r="AE132" i="1"/>
  <c r="AF132" i="1" s="1"/>
  <c r="AE133" i="1"/>
  <c r="AF133" i="1" s="1"/>
  <c r="AE134" i="1"/>
  <c r="AF134" i="1" s="1"/>
  <c r="AE135" i="1"/>
  <c r="AF135" i="1" s="1"/>
  <c r="AE136" i="1"/>
  <c r="AF136" i="1" s="1"/>
  <c r="AE137" i="1"/>
  <c r="AF137" i="1" s="1"/>
  <c r="AE138" i="1"/>
  <c r="AF138" i="1" s="1"/>
  <c r="AE139" i="1"/>
  <c r="AF139" i="1" s="1"/>
  <c r="AE140" i="1"/>
  <c r="AF140" i="1" s="1"/>
  <c r="AE141" i="1"/>
  <c r="AF141" i="1" s="1"/>
  <c r="AE142" i="1"/>
  <c r="AF142" i="1" s="1"/>
  <c r="AE143" i="1"/>
  <c r="AF143" i="1" s="1"/>
  <c r="AE144" i="1"/>
  <c r="AF144" i="1" s="1"/>
  <c r="AE145" i="1"/>
  <c r="AF145" i="1" s="1"/>
  <c r="AE146" i="1"/>
  <c r="AF146" i="1" s="1"/>
  <c r="AE147" i="1"/>
  <c r="AF147" i="1" s="1"/>
  <c r="AE148" i="1"/>
  <c r="AF148" i="1" s="1"/>
  <c r="AE149" i="1"/>
  <c r="AF149" i="1" s="1"/>
  <c r="AE150" i="1"/>
  <c r="AF150" i="1" s="1"/>
  <c r="AE151" i="1"/>
  <c r="AF151" i="1" s="1"/>
  <c r="AE152" i="1"/>
  <c r="AF152" i="1" s="1"/>
  <c r="AE153" i="1"/>
  <c r="AF153" i="1" s="1"/>
  <c r="AE154" i="1"/>
  <c r="AF154" i="1" s="1"/>
  <c r="AE155" i="1"/>
  <c r="AF155" i="1" s="1"/>
  <c r="AE156" i="1"/>
  <c r="AF156" i="1" s="1"/>
  <c r="AE157" i="1"/>
  <c r="AF157" i="1" s="1"/>
  <c r="AE158" i="1"/>
  <c r="AF158" i="1" s="1"/>
  <c r="AE159" i="1"/>
  <c r="AF159" i="1" s="1"/>
  <c r="AE160" i="1"/>
  <c r="AF160" i="1" s="1"/>
  <c r="AE161" i="1"/>
  <c r="AF161" i="1" s="1"/>
  <c r="AE162" i="1"/>
  <c r="AF162" i="1" s="1"/>
  <c r="AE163" i="1"/>
  <c r="AF163" i="1" s="1"/>
  <c r="AE164" i="1"/>
  <c r="AF164" i="1" s="1"/>
  <c r="AE165" i="1"/>
  <c r="AF165" i="1" s="1"/>
  <c r="AE166" i="1"/>
  <c r="AF166" i="1" s="1"/>
  <c r="AE167" i="1"/>
  <c r="AF167" i="1" s="1"/>
  <c r="AE168" i="1"/>
  <c r="AF168" i="1" s="1"/>
  <c r="AE169" i="1"/>
  <c r="AF169" i="1" s="1"/>
  <c r="AE170" i="1"/>
  <c r="AF170" i="1" s="1"/>
  <c r="AE171" i="1"/>
  <c r="AF171" i="1" s="1"/>
  <c r="AE172" i="1"/>
  <c r="AF172" i="1" s="1"/>
  <c r="AE173" i="1"/>
  <c r="AF173" i="1" s="1"/>
  <c r="AE174" i="1"/>
  <c r="AF174" i="1" s="1"/>
  <c r="AE175" i="1"/>
  <c r="AF175" i="1" s="1"/>
  <c r="AE176" i="1"/>
  <c r="AF176" i="1" s="1"/>
  <c r="AE177" i="1"/>
  <c r="AF177" i="1" s="1"/>
  <c r="AE178" i="1"/>
  <c r="AF178" i="1" s="1"/>
  <c r="AE179" i="1"/>
  <c r="AF179" i="1" s="1"/>
  <c r="AE180" i="1"/>
  <c r="AF180" i="1" s="1"/>
  <c r="AE181" i="1"/>
  <c r="AF181" i="1" s="1"/>
  <c r="AE182" i="1"/>
  <c r="AF182" i="1" s="1"/>
  <c r="AE183" i="1"/>
  <c r="AF183" i="1" s="1"/>
  <c r="AE184" i="1"/>
  <c r="AF184" i="1" s="1"/>
  <c r="AE185" i="1"/>
  <c r="AF185" i="1" s="1"/>
  <c r="AE186" i="1"/>
  <c r="AF186" i="1" s="1"/>
  <c r="AE187" i="1"/>
  <c r="AF187" i="1" s="1"/>
  <c r="AE188" i="1"/>
  <c r="AF188" i="1" s="1"/>
  <c r="AE189" i="1"/>
  <c r="AF189" i="1" s="1"/>
  <c r="AE190" i="1"/>
  <c r="AF190" i="1" s="1"/>
  <c r="AE191" i="1"/>
  <c r="AF191" i="1" s="1"/>
  <c r="AE192" i="1"/>
  <c r="AF192" i="1" s="1"/>
  <c r="AE193" i="1"/>
  <c r="AF193" i="1" s="1"/>
  <c r="AE194" i="1"/>
  <c r="AF194" i="1" s="1"/>
  <c r="AE195" i="1"/>
  <c r="AF195" i="1" s="1"/>
  <c r="AE196" i="1"/>
  <c r="AF196" i="1" s="1"/>
  <c r="AE197" i="1"/>
  <c r="AF197" i="1" s="1"/>
  <c r="AE198" i="1"/>
  <c r="AF198" i="1" s="1"/>
  <c r="AE199" i="1"/>
  <c r="AF199" i="1" s="1"/>
  <c r="AE200" i="1"/>
  <c r="AF200" i="1" s="1"/>
  <c r="AE201" i="1"/>
  <c r="AF201" i="1" s="1"/>
  <c r="AE202" i="1"/>
  <c r="AF202" i="1" s="1"/>
  <c r="AE203" i="1"/>
  <c r="AF203" i="1" s="1"/>
  <c r="AE204" i="1"/>
  <c r="AF204" i="1" s="1"/>
  <c r="AE205" i="1"/>
  <c r="AF205" i="1" s="1"/>
  <c r="AE206" i="1"/>
  <c r="AF206" i="1" s="1"/>
  <c r="AE207" i="1"/>
  <c r="AF207" i="1" s="1"/>
  <c r="AE208" i="1"/>
  <c r="AF208" i="1" s="1"/>
  <c r="AE209" i="1"/>
  <c r="AF209" i="1" s="1"/>
  <c r="AE210" i="1"/>
  <c r="AF210" i="1" s="1"/>
  <c r="AE211" i="1"/>
  <c r="AF211" i="1" s="1"/>
  <c r="AE212" i="1"/>
  <c r="AF212" i="1" s="1"/>
  <c r="AE213" i="1"/>
  <c r="AF213" i="1" s="1"/>
  <c r="AE214" i="1"/>
  <c r="AF214" i="1" s="1"/>
  <c r="AE215" i="1"/>
  <c r="AF215" i="1" s="1"/>
  <c r="AE216" i="1"/>
  <c r="AF216" i="1" s="1"/>
  <c r="AE217" i="1"/>
  <c r="AF217" i="1" s="1"/>
  <c r="AE218" i="1"/>
  <c r="AF218" i="1" s="1"/>
  <c r="AE219" i="1"/>
  <c r="AF219" i="1" s="1"/>
  <c r="AE220" i="1"/>
  <c r="AF220" i="1" s="1"/>
  <c r="AE221" i="1"/>
  <c r="AF221" i="1" s="1"/>
  <c r="AE222" i="1"/>
  <c r="AF222" i="1" s="1"/>
  <c r="AE223" i="1"/>
  <c r="AF223" i="1" s="1"/>
  <c r="AE224" i="1"/>
  <c r="AF224" i="1" s="1"/>
  <c r="AE225" i="1"/>
  <c r="AF225" i="1" s="1"/>
  <c r="AE226" i="1"/>
  <c r="AF226" i="1" s="1"/>
  <c r="AE227" i="1"/>
  <c r="AF227" i="1" s="1"/>
  <c r="AE228" i="1"/>
  <c r="AF228" i="1" s="1"/>
  <c r="AE229" i="1"/>
  <c r="AF229" i="1" s="1"/>
  <c r="AE230" i="1"/>
  <c r="AF230" i="1" s="1"/>
  <c r="AE231" i="1"/>
  <c r="AF231" i="1" s="1"/>
  <c r="AE232" i="1"/>
  <c r="AF232" i="1" s="1"/>
  <c r="AE233" i="1"/>
  <c r="AF233" i="1" s="1"/>
  <c r="AE234" i="1"/>
  <c r="AF234" i="1" s="1"/>
  <c r="AE235" i="1"/>
  <c r="AF235" i="1" s="1"/>
  <c r="AE236" i="1"/>
  <c r="AF236" i="1" s="1"/>
  <c r="AE237" i="1"/>
  <c r="AF237" i="1" s="1"/>
  <c r="AE238" i="1"/>
  <c r="AF238" i="1" s="1"/>
  <c r="AE239" i="1"/>
  <c r="AF239" i="1" s="1"/>
  <c r="AE240" i="1"/>
  <c r="AF240" i="1" s="1"/>
  <c r="AE241" i="1"/>
  <c r="AF241" i="1" s="1"/>
  <c r="AE242" i="1"/>
  <c r="AF242" i="1" s="1"/>
  <c r="AE243" i="1"/>
  <c r="AF243" i="1" s="1"/>
  <c r="AE244" i="1"/>
  <c r="AF244" i="1" s="1"/>
  <c r="AE245" i="1"/>
  <c r="AF245" i="1" s="1"/>
  <c r="AE246" i="1"/>
  <c r="AF246" i="1" s="1"/>
  <c r="AE247" i="1"/>
  <c r="AF247" i="1" s="1"/>
  <c r="AE248" i="1"/>
  <c r="AF248" i="1" s="1"/>
  <c r="AE249" i="1"/>
  <c r="AF249" i="1" s="1"/>
  <c r="AE250" i="1"/>
  <c r="AF250" i="1" s="1"/>
  <c r="AE251" i="1"/>
  <c r="AF251" i="1" s="1"/>
  <c r="AE252" i="1"/>
  <c r="AF252" i="1" s="1"/>
  <c r="AE253" i="1"/>
  <c r="AF253" i="1" s="1"/>
  <c r="AE254" i="1"/>
  <c r="AF254" i="1" s="1"/>
  <c r="AE255" i="1"/>
  <c r="AF255" i="1" s="1"/>
  <c r="AE256" i="1"/>
  <c r="AF256" i="1" s="1"/>
  <c r="AE257" i="1"/>
  <c r="AF257" i="1" s="1"/>
  <c r="AE258" i="1"/>
  <c r="AF258" i="1" s="1"/>
  <c r="AE259" i="1"/>
  <c r="AF259" i="1" s="1"/>
  <c r="AE260" i="1"/>
  <c r="AF260" i="1" s="1"/>
  <c r="AE261" i="1"/>
  <c r="AF261" i="1" s="1"/>
  <c r="AE262" i="1"/>
  <c r="AF262" i="1" s="1"/>
  <c r="AE263" i="1"/>
  <c r="AF263" i="1" s="1"/>
  <c r="AE264" i="1"/>
  <c r="AF264" i="1" s="1"/>
  <c r="AE265" i="1"/>
  <c r="AF265" i="1" s="1"/>
  <c r="AE266" i="1"/>
  <c r="AF266" i="1" s="1"/>
  <c r="AE267" i="1"/>
  <c r="AF267" i="1" s="1"/>
  <c r="AE268" i="1"/>
  <c r="AF268" i="1" s="1"/>
  <c r="AE269" i="1"/>
  <c r="AF269" i="1" s="1"/>
  <c r="AE270" i="1"/>
  <c r="AF270" i="1" s="1"/>
  <c r="AE271" i="1"/>
  <c r="AF271" i="1" s="1"/>
  <c r="AE272" i="1"/>
  <c r="AF272" i="1" s="1"/>
  <c r="AE273" i="1"/>
  <c r="AF273" i="1" s="1"/>
  <c r="AE274" i="1"/>
  <c r="AF274" i="1" s="1"/>
  <c r="AE275" i="1"/>
  <c r="AF275" i="1" s="1"/>
  <c r="AE276" i="1"/>
  <c r="AF276" i="1" s="1"/>
  <c r="AE277" i="1"/>
  <c r="AF277" i="1" s="1"/>
  <c r="AE278" i="1"/>
  <c r="AF278" i="1" s="1"/>
  <c r="AE279" i="1"/>
  <c r="AF279" i="1" s="1"/>
  <c r="AE280" i="1"/>
  <c r="AF280" i="1" s="1"/>
  <c r="AE281" i="1"/>
  <c r="AF281" i="1" s="1"/>
  <c r="AE282" i="1"/>
  <c r="AF282" i="1" s="1"/>
  <c r="AE283" i="1"/>
  <c r="AF283" i="1" s="1"/>
  <c r="AE284" i="1"/>
  <c r="AF284" i="1" s="1"/>
  <c r="AE285" i="1"/>
  <c r="AF285" i="1" s="1"/>
  <c r="AE286" i="1"/>
  <c r="AF286" i="1" s="1"/>
  <c r="AE287" i="1"/>
  <c r="AF287" i="1" s="1"/>
  <c r="AE288" i="1"/>
  <c r="AF288" i="1" s="1"/>
  <c r="AE289" i="1"/>
  <c r="AF289" i="1" s="1"/>
  <c r="AE290" i="1"/>
  <c r="AF290" i="1" s="1"/>
  <c r="AE291" i="1"/>
  <c r="AF291" i="1" s="1"/>
  <c r="AE292" i="1"/>
  <c r="AF292" i="1" s="1"/>
  <c r="AE293" i="1"/>
  <c r="AF293" i="1" s="1"/>
  <c r="AE294" i="1"/>
  <c r="AF294" i="1" s="1"/>
  <c r="AE295" i="1"/>
  <c r="AF295" i="1" s="1"/>
  <c r="AE296" i="1"/>
  <c r="AF296" i="1" s="1"/>
  <c r="AE297" i="1"/>
  <c r="AF297" i="1" s="1"/>
  <c r="AE298" i="1"/>
  <c r="AF298" i="1" s="1"/>
  <c r="AE299" i="1"/>
  <c r="AF299" i="1" s="1"/>
  <c r="AE300" i="1"/>
  <c r="AF300" i="1" s="1"/>
  <c r="AE301" i="1"/>
  <c r="AF301" i="1" s="1"/>
  <c r="AE302" i="1"/>
  <c r="AF302" i="1" s="1"/>
  <c r="AE303" i="1"/>
  <c r="AF303" i="1" s="1"/>
  <c r="AE304" i="1"/>
  <c r="AF304" i="1" s="1"/>
  <c r="AE305" i="1"/>
  <c r="AF305" i="1" s="1"/>
  <c r="AE306" i="1"/>
  <c r="AF306" i="1" s="1"/>
  <c r="AE307" i="1"/>
  <c r="AF307" i="1" s="1"/>
  <c r="AE308" i="1"/>
  <c r="AF308" i="1" s="1"/>
  <c r="AE309" i="1"/>
  <c r="AF309" i="1" s="1"/>
  <c r="AE310" i="1"/>
  <c r="AF310" i="1" s="1"/>
  <c r="AE311" i="1"/>
  <c r="AF311" i="1" s="1"/>
  <c r="AE312" i="1"/>
  <c r="AF312" i="1" s="1"/>
  <c r="AE313" i="1"/>
  <c r="AF313" i="1" s="1"/>
  <c r="AE314" i="1"/>
  <c r="AF314" i="1" s="1"/>
  <c r="AE315" i="1"/>
  <c r="AF315" i="1" s="1"/>
  <c r="AE316" i="1"/>
  <c r="AF316" i="1" s="1"/>
  <c r="AE317" i="1"/>
  <c r="AF317" i="1" s="1"/>
  <c r="AE318" i="1"/>
  <c r="AF318" i="1" s="1"/>
  <c r="AE319" i="1"/>
  <c r="AF319" i="1" s="1"/>
  <c r="AE320" i="1"/>
  <c r="AF320" i="1" s="1"/>
  <c r="AE321" i="1"/>
  <c r="AF321" i="1" s="1"/>
  <c r="AE322" i="1"/>
  <c r="AF322" i="1" s="1"/>
  <c r="AE323" i="1"/>
  <c r="AF323" i="1" s="1"/>
  <c r="AE324" i="1"/>
  <c r="AF324" i="1" s="1"/>
  <c r="AE325" i="1"/>
  <c r="AF325" i="1" s="1"/>
  <c r="AE326" i="1"/>
  <c r="AF326" i="1" s="1"/>
  <c r="AE327" i="1"/>
  <c r="AF327" i="1" s="1"/>
  <c r="AE328" i="1"/>
  <c r="AF328" i="1" s="1"/>
  <c r="AE329" i="1"/>
  <c r="AF329" i="1" s="1"/>
  <c r="AE330" i="1"/>
  <c r="AF330" i="1" s="1"/>
  <c r="AE331" i="1"/>
  <c r="AF331" i="1" s="1"/>
  <c r="AE332" i="1"/>
  <c r="AF332" i="1" s="1"/>
  <c r="AE333" i="1"/>
  <c r="AF333" i="1" s="1"/>
  <c r="AE334" i="1"/>
  <c r="AF334" i="1" s="1"/>
  <c r="AE335" i="1"/>
  <c r="AF335" i="1" s="1"/>
  <c r="AE336" i="1"/>
  <c r="AF336" i="1" s="1"/>
  <c r="AE337" i="1"/>
  <c r="AF337" i="1" s="1"/>
  <c r="AE338" i="1"/>
  <c r="AF338" i="1" s="1"/>
  <c r="AE339" i="1"/>
  <c r="AF339" i="1" s="1"/>
  <c r="AE340" i="1"/>
  <c r="AF340" i="1" s="1"/>
  <c r="AE341" i="1"/>
  <c r="AF341" i="1" s="1"/>
  <c r="AE342" i="1"/>
  <c r="AF342" i="1" s="1"/>
  <c r="AE343" i="1"/>
  <c r="AF343" i="1" s="1"/>
  <c r="AE344" i="1"/>
  <c r="AF344" i="1" s="1"/>
  <c r="AE345" i="1"/>
  <c r="AF345" i="1" s="1"/>
  <c r="AE346" i="1"/>
  <c r="AF346" i="1" s="1"/>
  <c r="AE347" i="1"/>
  <c r="AF347" i="1" s="1"/>
  <c r="AE348" i="1"/>
  <c r="AF348" i="1" s="1"/>
  <c r="AE349" i="1"/>
  <c r="AF349" i="1" s="1"/>
  <c r="AE350" i="1"/>
  <c r="AF350" i="1" s="1"/>
  <c r="AE351" i="1"/>
  <c r="AF351" i="1" s="1"/>
  <c r="AE352" i="1"/>
  <c r="AF352" i="1" s="1"/>
  <c r="AE353" i="1"/>
  <c r="AF353" i="1" s="1"/>
  <c r="AE354" i="1"/>
  <c r="AF354" i="1" s="1"/>
  <c r="AE355" i="1"/>
  <c r="AF355" i="1" s="1"/>
  <c r="AE356" i="1"/>
  <c r="AF356" i="1" s="1"/>
  <c r="AS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U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2" i="1"/>
  <c r="BM2" i="1" l="1"/>
  <c r="P355" i="1"/>
  <c r="K355" i="1"/>
  <c r="K257" i="1"/>
  <c r="K348" i="1"/>
  <c r="K193" i="1"/>
  <c r="K347" i="1"/>
  <c r="K129" i="1"/>
  <c r="K356" i="1"/>
  <c r="K321" i="1"/>
  <c r="K65" i="1"/>
  <c r="K305" i="1"/>
  <c r="K241" i="1"/>
  <c r="K177" i="1"/>
  <c r="K113" i="1"/>
  <c r="K49" i="1"/>
  <c r="K352" i="1"/>
  <c r="K344" i="1"/>
  <c r="K289" i="1"/>
  <c r="K225" i="1"/>
  <c r="K161" i="1"/>
  <c r="K97" i="1"/>
  <c r="K33" i="1"/>
  <c r="K351" i="1"/>
  <c r="K343" i="1"/>
  <c r="K273" i="1"/>
  <c r="K209" i="1"/>
  <c r="K145" i="1"/>
  <c r="K81" i="1"/>
  <c r="K17" i="1"/>
  <c r="K329" i="1"/>
  <c r="K301" i="1"/>
  <c r="K253" i="1"/>
  <c r="K221" i="1"/>
  <c r="K189" i="1"/>
  <c r="K141" i="1"/>
  <c r="K29" i="1"/>
  <c r="P340" i="1"/>
  <c r="K340" i="1"/>
  <c r="P336" i="1"/>
  <c r="K336" i="1"/>
  <c r="P332" i="1"/>
  <c r="K332" i="1"/>
  <c r="P328" i="1"/>
  <c r="K328" i="1"/>
  <c r="P324" i="1"/>
  <c r="K324" i="1"/>
  <c r="P320" i="1"/>
  <c r="K320" i="1"/>
  <c r="P316" i="1"/>
  <c r="K316" i="1"/>
  <c r="P312" i="1"/>
  <c r="K312" i="1"/>
  <c r="P308" i="1"/>
  <c r="K308" i="1"/>
  <c r="P304" i="1"/>
  <c r="K304" i="1"/>
  <c r="P300" i="1"/>
  <c r="K300" i="1"/>
  <c r="P296" i="1"/>
  <c r="K296" i="1"/>
  <c r="P292" i="1"/>
  <c r="K292" i="1"/>
  <c r="P288" i="1"/>
  <c r="K288" i="1"/>
  <c r="P284" i="1"/>
  <c r="K284" i="1"/>
  <c r="P280" i="1"/>
  <c r="K280" i="1"/>
  <c r="P276" i="1"/>
  <c r="K276" i="1"/>
  <c r="P272" i="1"/>
  <c r="K272" i="1"/>
  <c r="P268" i="1"/>
  <c r="K268" i="1"/>
  <c r="P264" i="1"/>
  <c r="K264" i="1"/>
  <c r="P260" i="1"/>
  <c r="K260" i="1"/>
  <c r="P256" i="1"/>
  <c r="K256" i="1"/>
  <c r="P252" i="1"/>
  <c r="K252" i="1"/>
  <c r="P248" i="1"/>
  <c r="K248" i="1"/>
  <c r="P244" i="1"/>
  <c r="K244" i="1"/>
  <c r="P240" i="1"/>
  <c r="K240" i="1"/>
  <c r="P236" i="1"/>
  <c r="K236" i="1"/>
  <c r="P232" i="1"/>
  <c r="K232" i="1"/>
  <c r="P228" i="1"/>
  <c r="K228" i="1"/>
  <c r="P224" i="1"/>
  <c r="K224" i="1"/>
  <c r="P220" i="1"/>
  <c r="K220" i="1"/>
  <c r="P216" i="1"/>
  <c r="K216" i="1"/>
  <c r="P212" i="1"/>
  <c r="K212" i="1"/>
  <c r="P208" i="1"/>
  <c r="K208" i="1"/>
  <c r="P204" i="1"/>
  <c r="K204" i="1"/>
  <c r="P200" i="1"/>
  <c r="K200" i="1"/>
  <c r="P196" i="1"/>
  <c r="K196" i="1"/>
  <c r="P192" i="1"/>
  <c r="K192" i="1"/>
  <c r="P188" i="1"/>
  <c r="K188" i="1"/>
  <c r="P184" i="1"/>
  <c r="K184" i="1"/>
  <c r="P180" i="1"/>
  <c r="K180" i="1"/>
  <c r="P176" i="1"/>
  <c r="K176" i="1"/>
  <c r="P172" i="1"/>
  <c r="K172" i="1"/>
  <c r="P168" i="1"/>
  <c r="K168" i="1"/>
  <c r="P164" i="1"/>
  <c r="K164" i="1"/>
  <c r="P160" i="1"/>
  <c r="K160" i="1"/>
  <c r="P156" i="1"/>
  <c r="K156" i="1"/>
  <c r="P152" i="1"/>
  <c r="K152" i="1"/>
  <c r="P148" i="1"/>
  <c r="K148" i="1"/>
  <c r="P144" i="1"/>
  <c r="K144" i="1"/>
  <c r="P140" i="1"/>
  <c r="K140" i="1"/>
  <c r="P136" i="1"/>
  <c r="K136" i="1"/>
  <c r="P132" i="1"/>
  <c r="K132" i="1"/>
  <c r="P128" i="1"/>
  <c r="K128" i="1"/>
  <c r="P124" i="1"/>
  <c r="K124" i="1"/>
  <c r="P120" i="1"/>
  <c r="K120" i="1"/>
  <c r="P116" i="1"/>
  <c r="K116" i="1"/>
  <c r="P112" i="1"/>
  <c r="K112" i="1"/>
  <c r="P108" i="1"/>
  <c r="K108" i="1"/>
  <c r="P104" i="1"/>
  <c r="K104" i="1"/>
  <c r="P100" i="1"/>
  <c r="K100" i="1"/>
  <c r="P96" i="1"/>
  <c r="K96" i="1"/>
  <c r="P92" i="1"/>
  <c r="K92" i="1"/>
  <c r="P88" i="1"/>
  <c r="K88" i="1"/>
  <c r="P84" i="1"/>
  <c r="K84" i="1"/>
  <c r="P80" i="1"/>
  <c r="K80" i="1"/>
  <c r="P76" i="1"/>
  <c r="K76" i="1"/>
  <c r="P72" i="1"/>
  <c r="K72" i="1"/>
  <c r="P68" i="1"/>
  <c r="K68" i="1"/>
  <c r="P64" i="1"/>
  <c r="K64" i="1"/>
  <c r="P60" i="1"/>
  <c r="K60" i="1"/>
  <c r="P56" i="1"/>
  <c r="K56" i="1"/>
  <c r="P52" i="1"/>
  <c r="K52" i="1"/>
  <c r="P48" i="1"/>
  <c r="K48" i="1"/>
  <c r="P44" i="1"/>
  <c r="K44" i="1"/>
  <c r="P40" i="1"/>
  <c r="K40" i="1"/>
  <c r="P36" i="1"/>
  <c r="K36" i="1"/>
  <c r="P32" i="1"/>
  <c r="K32" i="1"/>
  <c r="P28" i="1"/>
  <c r="K28" i="1"/>
  <c r="P24" i="1"/>
  <c r="K24" i="1"/>
  <c r="P20" i="1"/>
  <c r="K20" i="1"/>
  <c r="P16" i="1"/>
  <c r="K16" i="1"/>
  <c r="P12" i="1"/>
  <c r="K12" i="1"/>
  <c r="P8" i="1"/>
  <c r="K8" i="1"/>
  <c r="P4" i="1"/>
  <c r="K4" i="1"/>
  <c r="K354" i="1"/>
  <c r="K350" i="1"/>
  <c r="K346" i="1"/>
  <c r="K342" i="1"/>
  <c r="K313" i="1"/>
  <c r="K297" i="1"/>
  <c r="K281" i="1"/>
  <c r="K265" i="1"/>
  <c r="K249" i="1"/>
  <c r="K233" i="1"/>
  <c r="K217" i="1"/>
  <c r="K201" i="1"/>
  <c r="K185" i="1"/>
  <c r="K169" i="1"/>
  <c r="K153" i="1"/>
  <c r="K137" i="1"/>
  <c r="K121" i="1"/>
  <c r="K105" i="1"/>
  <c r="K89" i="1"/>
  <c r="K73" i="1"/>
  <c r="K57" i="1"/>
  <c r="K41" i="1"/>
  <c r="K25" i="1"/>
  <c r="K9" i="1"/>
  <c r="K337" i="1"/>
  <c r="K317" i="1"/>
  <c r="K285" i="1"/>
  <c r="K269" i="1"/>
  <c r="K237" i="1"/>
  <c r="K205" i="1"/>
  <c r="K173" i="1"/>
  <c r="K157" i="1"/>
  <c r="K125" i="1"/>
  <c r="K109" i="1"/>
  <c r="K93" i="1"/>
  <c r="K77" i="1"/>
  <c r="K61" i="1"/>
  <c r="K45" i="1"/>
  <c r="K13" i="1"/>
  <c r="P339" i="1"/>
  <c r="K339" i="1"/>
  <c r="P335" i="1"/>
  <c r="K335" i="1"/>
  <c r="P331" i="1"/>
  <c r="K331" i="1"/>
  <c r="P327" i="1"/>
  <c r="K327" i="1"/>
  <c r="P323" i="1"/>
  <c r="K323" i="1"/>
  <c r="P319" i="1"/>
  <c r="K319" i="1"/>
  <c r="P315" i="1"/>
  <c r="K315" i="1"/>
  <c r="P311" i="1"/>
  <c r="K311" i="1"/>
  <c r="P307" i="1"/>
  <c r="K307" i="1"/>
  <c r="P303" i="1"/>
  <c r="K303" i="1"/>
  <c r="P299" i="1"/>
  <c r="K299" i="1"/>
  <c r="P295" i="1"/>
  <c r="K295" i="1"/>
  <c r="P291" i="1"/>
  <c r="K291" i="1"/>
  <c r="P287" i="1"/>
  <c r="K287" i="1"/>
  <c r="P283" i="1"/>
  <c r="K283" i="1"/>
  <c r="P279" i="1"/>
  <c r="K279" i="1"/>
  <c r="P275" i="1"/>
  <c r="K275" i="1"/>
  <c r="P271" i="1"/>
  <c r="K271" i="1"/>
  <c r="P267" i="1"/>
  <c r="K267" i="1"/>
  <c r="P263" i="1"/>
  <c r="K263" i="1"/>
  <c r="P259" i="1"/>
  <c r="K259" i="1"/>
  <c r="P255" i="1"/>
  <c r="K255" i="1"/>
  <c r="P251" i="1"/>
  <c r="K251" i="1"/>
  <c r="P247" i="1"/>
  <c r="K247" i="1"/>
  <c r="P243" i="1"/>
  <c r="K243" i="1"/>
  <c r="P239" i="1"/>
  <c r="K239" i="1"/>
  <c r="P235" i="1"/>
  <c r="K235" i="1"/>
  <c r="P231" i="1"/>
  <c r="K231" i="1"/>
  <c r="P227" i="1"/>
  <c r="K227" i="1"/>
  <c r="P223" i="1"/>
  <c r="K223" i="1"/>
  <c r="P219" i="1"/>
  <c r="K219" i="1"/>
  <c r="P215" i="1"/>
  <c r="K215" i="1"/>
  <c r="P211" i="1"/>
  <c r="K211" i="1"/>
  <c r="P207" i="1"/>
  <c r="K207" i="1"/>
  <c r="P203" i="1"/>
  <c r="K203" i="1"/>
  <c r="P199" i="1"/>
  <c r="K199" i="1"/>
  <c r="P195" i="1"/>
  <c r="K195" i="1"/>
  <c r="P191" i="1"/>
  <c r="K191" i="1"/>
  <c r="P187" i="1"/>
  <c r="K187" i="1"/>
  <c r="P183" i="1"/>
  <c r="K183" i="1"/>
  <c r="P179" i="1"/>
  <c r="K179" i="1"/>
  <c r="P175" i="1"/>
  <c r="K175" i="1"/>
  <c r="P171" i="1"/>
  <c r="K171" i="1"/>
  <c r="P167" i="1"/>
  <c r="K167" i="1"/>
  <c r="P163" i="1"/>
  <c r="K163" i="1"/>
  <c r="P159" i="1"/>
  <c r="K159" i="1"/>
  <c r="K353" i="1"/>
  <c r="K349" i="1"/>
  <c r="K345" i="1"/>
  <c r="K341" i="1"/>
  <c r="K333" i="1"/>
  <c r="K325" i="1"/>
  <c r="K309" i="1"/>
  <c r="K293" i="1"/>
  <c r="K277" i="1"/>
  <c r="K261" i="1"/>
  <c r="K245" i="1"/>
  <c r="K229" i="1"/>
  <c r="K213" i="1"/>
  <c r="K197" i="1"/>
  <c r="K181" i="1"/>
  <c r="K165" i="1"/>
  <c r="K149" i="1"/>
  <c r="K133" i="1"/>
  <c r="K117" i="1"/>
  <c r="K101" i="1"/>
  <c r="K85" i="1"/>
  <c r="K69" i="1"/>
  <c r="K53" i="1"/>
  <c r="K37" i="1"/>
  <c r="K21" i="1"/>
  <c r="K5" i="1"/>
  <c r="M328" i="1"/>
  <c r="M277" i="1"/>
  <c r="M228" i="1"/>
  <c r="M176" i="1"/>
  <c r="M129" i="1"/>
  <c r="M97" i="1"/>
  <c r="M65" i="1"/>
  <c r="M33" i="1"/>
  <c r="M313" i="1"/>
  <c r="M264" i="1"/>
  <c r="M213" i="1"/>
  <c r="M164" i="1"/>
  <c r="M128" i="1"/>
  <c r="M96" i="1"/>
  <c r="M64" i="1"/>
  <c r="M32" i="1"/>
  <c r="M349" i="1"/>
  <c r="M304" i="1"/>
  <c r="M249" i="1"/>
  <c r="M200" i="1"/>
  <c r="M145" i="1"/>
  <c r="M113" i="1"/>
  <c r="M81" i="1"/>
  <c r="M49" i="1"/>
  <c r="M17" i="1"/>
  <c r="M341" i="1"/>
  <c r="M292" i="1"/>
  <c r="M240" i="1"/>
  <c r="M185" i="1"/>
  <c r="M144" i="1"/>
  <c r="M112" i="1"/>
  <c r="M80" i="1"/>
  <c r="M48" i="1"/>
  <c r="M16" i="1"/>
  <c r="M356" i="1"/>
  <c r="M348" i="1"/>
  <c r="M340" i="1"/>
  <c r="M325" i="1"/>
  <c r="M312" i="1"/>
  <c r="M297" i="1"/>
  <c r="M288" i="1"/>
  <c r="M276" i="1"/>
  <c r="M261" i="1"/>
  <c r="M248" i="1"/>
  <c r="M233" i="1"/>
  <c r="M224" i="1"/>
  <c r="M212" i="1"/>
  <c r="M197" i="1"/>
  <c r="M184" i="1"/>
  <c r="M169" i="1"/>
  <c r="M160" i="1"/>
  <c r="M353" i="1"/>
  <c r="M345" i="1"/>
  <c r="M336" i="1"/>
  <c r="M324" i="1"/>
  <c r="M309" i="1"/>
  <c r="M296" i="1"/>
  <c r="M281" i="1"/>
  <c r="M272" i="1"/>
  <c r="M260" i="1"/>
  <c r="M245" i="1"/>
  <c r="M232" i="1"/>
  <c r="M217" i="1"/>
  <c r="M208" i="1"/>
  <c r="M196" i="1"/>
  <c r="M181" i="1"/>
  <c r="M168" i="1"/>
  <c r="M153" i="1"/>
  <c r="M137" i="1"/>
  <c r="M121" i="1"/>
  <c r="M105" i="1"/>
  <c r="M89" i="1"/>
  <c r="M73" i="1"/>
  <c r="M57" i="1"/>
  <c r="M41" i="1"/>
  <c r="M25" i="1"/>
  <c r="M9" i="1"/>
  <c r="M352" i="1"/>
  <c r="M344" i="1"/>
  <c r="M329" i="1"/>
  <c r="M320" i="1"/>
  <c r="M308" i="1"/>
  <c r="M293" i="1"/>
  <c r="M280" i="1"/>
  <c r="M265" i="1"/>
  <c r="M256" i="1"/>
  <c r="M244" i="1"/>
  <c r="M229" i="1"/>
  <c r="M216" i="1"/>
  <c r="M201" i="1"/>
  <c r="M192" i="1"/>
  <c r="M180" i="1"/>
  <c r="M165" i="1"/>
  <c r="M152" i="1"/>
  <c r="M136" i="1"/>
  <c r="M120" i="1"/>
  <c r="M104" i="1"/>
  <c r="M88" i="1"/>
  <c r="M72" i="1"/>
  <c r="M56" i="1"/>
  <c r="M40" i="1"/>
  <c r="M24" i="1"/>
  <c r="M8" i="1"/>
  <c r="P155" i="1"/>
  <c r="M155" i="1"/>
  <c r="P147" i="1"/>
  <c r="M147" i="1"/>
  <c r="P139" i="1"/>
  <c r="M139" i="1"/>
  <c r="P131" i="1"/>
  <c r="M131" i="1"/>
  <c r="P123" i="1"/>
  <c r="M123" i="1"/>
  <c r="P115" i="1"/>
  <c r="M115" i="1"/>
  <c r="P107" i="1"/>
  <c r="M107" i="1"/>
  <c r="P99" i="1"/>
  <c r="M99" i="1"/>
  <c r="P91" i="1"/>
  <c r="M91" i="1"/>
  <c r="P83" i="1"/>
  <c r="M83" i="1"/>
  <c r="P75" i="1"/>
  <c r="M75" i="1"/>
  <c r="P67" i="1"/>
  <c r="M67" i="1"/>
  <c r="P59" i="1"/>
  <c r="M59" i="1"/>
  <c r="P51" i="1"/>
  <c r="M51" i="1"/>
  <c r="P43" i="1"/>
  <c r="M43" i="1"/>
  <c r="P35" i="1"/>
  <c r="M35" i="1"/>
  <c r="P27" i="1"/>
  <c r="M27" i="1"/>
  <c r="P19" i="1"/>
  <c r="M19" i="1"/>
  <c r="P15" i="1"/>
  <c r="M15" i="1"/>
  <c r="P7" i="1"/>
  <c r="M7" i="1"/>
  <c r="M331" i="1"/>
  <c r="M299" i="1"/>
  <c r="M267" i="1"/>
  <c r="M235" i="1"/>
  <c r="M203" i="1"/>
  <c r="P334" i="1"/>
  <c r="M334" i="1"/>
  <c r="P326" i="1"/>
  <c r="M326" i="1"/>
  <c r="P318" i="1"/>
  <c r="M318" i="1"/>
  <c r="P310" i="1"/>
  <c r="M310" i="1"/>
  <c r="P302" i="1"/>
  <c r="M302" i="1"/>
  <c r="P294" i="1"/>
  <c r="M294" i="1"/>
  <c r="P286" i="1"/>
  <c r="M286" i="1"/>
  <c r="P278" i="1"/>
  <c r="M278" i="1"/>
  <c r="P270" i="1"/>
  <c r="M270" i="1"/>
  <c r="P262" i="1"/>
  <c r="M262" i="1"/>
  <c r="P254" i="1"/>
  <c r="M254" i="1"/>
  <c r="P246" i="1"/>
  <c r="M246" i="1"/>
  <c r="P238" i="1"/>
  <c r="M238" i="1"/>
  <c r="P230" i="1"/>
  <c r="M230" i="1"/>
  <c r="P222" i="1"/>
  <c r="M222" i="1"/>
  <c r="P214" i="1"/>
  <c r="M214" i="1"/>
  <c r="P206" i="1"/>
  <c r="M206" i="1"/>
  <c r="P198" i="1"/>
  <c r="M198" i="1"/>
  <c r="P190" i="1"/>
  <c r="M190" i="1"/>
  <c r="P182" i="1"/>
  <c r="M182" i="1"/>
  <c r="P174" i="1"/>
  <c r="M174" i="1"/>
  <c r="P166" i="1"/>
  <c r="M166" i="1"/>
  <c r="P158" i="1"/>
  <c r="M158" i="1"/>
  <c r="P150" i="1"/>
  <c r="M150" i="1"/>
  <c r="P142" i="1"/>
  <c r="M142" i="1"/>
  <c r="P134" i="1"/>
  <c r="M134" i="1"/>
  <c r="P126" i="1"/>
  <c r="M126" i="1"/>
  <c r="P118" i="1"/>
  <c r="M118" i="1"/>
  <c r="P110" i="1"/>
  <c r="M110" i="1"/>
  <c r="P102" i="1"/>
  <c r="M102" i="1"/>
  <c r="P94" i="1"/>
  <c r="M94" i="1"/>
  <c r="P86" i="1"/>
  <c r="M86" i="1"/>
  <c r="P78" i="1"/>
  <c r="M78" i="1"/>
  <c r="P70" i="1"/>
  <c r="M70" i="1"/>
  <c r="P62" i="1"/>
  <c r="M62" i="1"/>
  <c r="P54" i="1"/>
  <c r="M54" i="1"/>
  <c r="P42" i="1"/>
  <c r="M42" i="1"/>
  <c r="P34" i="1"/>
  <c r="M34" i="1"/>
  <c r="P26" i="1"/>
  <c r="M26" i="1"/>
  <c r="P18" i="1"/>
  <c r="M18" i="1"/>
  <c r="P10" i="1"/>
  <c r="M10" i="1"/>
  <c r="P2" i="1"/>
  <c r="M2" i="1"/>
  <c r="M319" i="1"/>
  <c r="M287" i="1"/>
  <c r="M255" i="1"/>
  <c r="M223" i="1"/>
  <c r="M191" i="1"/>
  <c r="M355" i="1"/>
  <c r="M347" i="1"/>
  <c r="M343" i="1"/>
  <c r="M339" i="1"/>
  <c r="M333" i="1"/>
  <c r="M323" i="1"/>
  <c r="M317" i="1"/>
  <c r="M307" i="1"/>
  <c r="M301" i="1"/>
  <c r="M291" i="1"/>
  <c r="M285" i="1"/>
  <c r="M275" i="1"/>
  <c r="M269" i="1"/>
  <c r="M259" i="1"/>
  <c r="M253" i="1"/>
  <c r="M243" i="1"/>
  <c r="M237" i="1"/>
  <c r="M227" i="1"/>
  <c r="M221" i="1"/>
  <c r="M211" i="1"/>
  <c r="M205" i="1"/>
  <c r="M195" i="1"/>
  <c r="M189" i="1"/>
  <c r="M179" i="1"/>
  <c r="M173" i="1"/>
  <c r="M163" i="1"/>
  <c r="M157" i="1"/>
  <c r="M149" i="1"/>
  <c r="M141" i="1"/>
  <c r="M133" i="1"/>
  <c r="M125" i="1"/>
  <c r="M117" i="1"/>
  <c r="M109" i="1"/>
  <c r="M101" i="1"/>
  <c r="M93" i="1"/>
  <c r="M85" i="1"/>
  <c r="M77" i="1"/>
  <c r="M69" i="1"/>
  <c r="M61" i="1"/>
  <c r="M53" i="1"/>
  <c r="M45" i="1"/>
  <c r="M37" i="1"/>
  <c r="M29" i="1"/>
  <c r="M21" i="1"/>
  <c r="M13" i="1"/>
  <c r="M5" i="1"/>
  <c r="P151" i="1"/>
  <c r="M151" i="1"/>
  <c r="P143" i="1"/>
  <c r="M143" i="1"/>
  <c r="P135" i="1"/>
  <c r="M135" i="1"/>
  <c r="P127" i="1"/>
  <c r="M127" i="1"/>
  <c r="P119" i="1"/>
  <c r="M119" i="1"/>
  <c r="P111" i="1"/>
  <c r="M111" i="1"/>
  <c r="P103" i="1"/>
  <c r="M103" i="1"/>
  <c r="P95" i="1"/>
  <c r="M95" i="1"/>
  <c r="P87" i="1"/>
  <c r="M87" i="1"/>
  <c r="P79" i="1"/>
  <c r="M79" i="1"/>
  <c r="P71" i="1"/>
  <c r="M71" i="1"/>
  <c r="P63" i="1"/>
  <c r="M63" i="1"/>
  <c r="P55" i="1"/>
  <c r="M55" i="1"/>
  <c r="P47" i="1"/>
  <c r="M47" i="1"/>
  <c r="P39" i="1"/>
  <c r="M39" i="1"/>
  <c r="P31" i="1"/>
  <c r="M31" i="1"/>
  <c r="P23" i="1"/>
  <c r="M23" i="1"/>
  <c r="P11" i="1"/>
  <c r="M11" i="1"/>
  <c r="P3" i="1"/>
  <c r="M3" i="1"/>
  <c r="M315" i="1"/>
  <c r="M283" i="1"/>
  <c r="M251" i="1"/>
  <c r="M219" i="1"/>
  <c r="M187" i="1"/>
  <c r="M171" i="1"/>
  <c r="P338" i="1"/>
  <c r="M338" i="1"/>
  <c r="P330" i="1"/>
  <c r="M330" i="1"/>
  <c r="P322" i="1"/>
  <c r="M322" i="1"/>
  <c r="P314" i="1"/>
  <c r="M314" i="1"/>
  <c r="P306" i="1"/>
  <c r="M306" i="1"/>
  <c r="P298" i="1"/>
  <c r="M298" i="1"/>
  <c r="P290" i="1"/>
  <c r="M290" i="1"/>
  <c r="P282" i="1"/>
  <c r="M282" i="1"/>
  <c r="P274" i="1"/>
  <c r="M274" i="1"/>
  <c r="P266" i="1"/>
  <c r="M266" i="1"/>
  <c r="P258" i="1"/>
  <c r="M258" i="1"/>
  <c r="P250" i="1"/>
  <c r="M250" i="1"/>
  <c r="P242" i="1"/>
  <c r="M242" i="1"/>
  <c r="P234" i="1"/>
  <c r="M234" i="1"/>
  <c r="P226" i="1"/>
  <c r="M226" i="1"/>
  <c r="P218" i="1"/>
  <c r="M218" i="1"/>
  <c r="P210" i="1"/>
  <c r="M210" i="1"/>
  <c r="P202" i="1"/>
  <c r="M202" i="1"/>
  <c r="P194" i="1"/>
  <c r="M194" i="1"/>
  <c r="P186" i="1"/>
  <c r="M186" i="1"/>
  <c r="P178" i="1"/>
  <c r="M178" i="1"/>
  <c r="P170" i="1"/>
  <c r="M170" i="1"/>
  <c r="P162" i="1"/>
  <c r="M162" i="1"/>
  <c r="P154" i="1"/>
  <c r="M154" i="1"/>
  <c r="P146" i="1"/>
  <c r="M146" i="1"/>
  <c r="P138" i="1"/>
  <c r="M138" i="1"/>
  <c r="P130" i="1"/>
  <c r="M130" i="1"/>
  <c r="P122" i="1"/>
  <c r="M122" i="1"/>
  <c r="P114" i="1"/>
  <c r="M114" i="1"/>
  <c r="P106" i="1"/>
  <c r="M106" i="1"/>
  <c r="P98" i="1"/>
  <c r="M98" i="1"/>
  <c r="P90" i="1"/>
  <c r="M90" i="1"/>
  <c r="P82" i="1"/>
  <c r="M82" i="1"/>
  <c r="P74" i="1"/>
  <c r="M74" i="1"/>
  <c r="P66" i="1"/>
  <c r="M66" i="1"/>
  <c r="P58" i="1"/>
  <c r="M58" i="1"/>
  <c r="P50" i="1"/>
  <c r="M50" i="1"/>
  <c r="P46" i="1"/>
  <c r="M46" i="1"/>
  <c r="P38" i="1"/>
  <c r="M38" i="1"/>
  <c r="P30" i="1"/>
  <c r="M30" i="1"/>
  <c r="P22" i="1"/>
  <c r="M22" i="1"/>
  <c r="P14" i="1"/>
  <c r="M14" i="1"/>
  <c r="P6" i="1"/>
  <c r="M6" i="1"/>
  <c r="M335" i="1"/>
  <c r="M303" i="1"/>
  <c r="M271" i="1"/>
  <c r="M239" i="1"/>
  <c r="M207" i="1"/>
  <c r="M175" i="1"/>
  <c r="M159" i="1"/>
  <c r="M351" i="1"/>
  <c r="M354" i="1"/>
  <c r="M350" i="1"/>
  <c r="M346" i="1"/>
  <c r="M342" i="1"/>
  <c r="M337" i="1"/>
  <c r="M332" i="1"/>
  <c r="M327" i="1"/>
  <c r="M321" i="1"/>
  <c r="M316" i="1"/>
  <c r="M311" i="1"/>
  <c r="M305" i="1"/>
  <c r="M300" i="1"/>
  <c r="M295" i="1"/>
  <c r="M289" i="1"/>
  <c r="M284" i="1"/>
  <c r="M279" i="1"/>
  <c r="M273" i="1"/>
  <c r="M268" i="1"/>
  <c r="M263" i="1"/>
  <c r="M257" i="1"/>
  <c r="M252" i="1"/>
  <c r="M247" i="1"/>
  <c r="M241" i="1"/>
  <c r="M236" i="1"/>
  <c r="M231" i="1"/>
  <c r="M225" i="1"/>
  <c r="M220" i="1"/>
  <c r="M215" i="1"/>
  <c r="M209" i="1"/>
  <c r="M204" i="1"/>
  <c r="M199" i="1"/>
  <c r="M193" i="1"/>
  <c r="M188" i="1"/>
  <c r="M183" i="1"/>
  <c r="M177" i="1"/>
  <c r="M172" i="1"/>
  <c r="M167" i="1"/>
  <c r="M161" i="1"/>
  <c r="M156" i="1"/>
  <c r="M148" i="1"/>
  <c r="M140" i="1"/>
  <c r="M132" i="1"/>
  <c r="M124" i="1"/>
  <c r="M116" i="1"/>
  <c r="M108" i="1"/>
  <c r="M100" i="1"/>
  <c r="M92" i="1"/>
  <c r="M84" i="1"/>
  <c r="M76" i="1"/>
  <c r="M68" i="1"/>
  <c r="M60" i="1"/>
  <c r="M52" i="1"/>
  <c r="M44" i="1"/>
  <c r="M36" i="1"/>
  <c r="M28" i="1"/>
  <c r="M20" i="1"/>
  <c r="M12" i="1"/>
  <c r="M4" i="1"/>
  <c r="AG2" i="1"/>
  <c r="AG6" i="1"/>
  <c r="AG10" i="1"/>
  <c r="AG14" i="1"/>
  <c r="AG18" i="1"/>
  <c r="AG22" i="1"/>
  <c r="AG26" i="1"/>
  <c r="AG30" i="1"/>
  <c r="AG34" i="1"/>
  <c r="AG38" i="1"/>
  <c r="AG42" i="1"/>
  <c r="AG46" i="1"/>
  <c r="AG50" i="1"/>
  <c r="AG54" i="1"/>
  <c r="AG58" i="1"/>
  <c r="AG62" i="1"/>
  <c r="AG66" i="1"/>
  <c r="AG70" i="1"/>
  <c r="AG74" i="1"/>
  <c r="AG78" i="1"/>
  <c r="AG82" i="1"/>
  <c r="AG86" i="1"/>
  <c r="AG90" i="1"/>
  <c r="AG94" i="1"/>
  <c r="AG98" i="1"/>
  <c r="AG102" i="1"/>
  <c r="AG106" i="1"/>
  <c r="AG110" i="1"/>
  <c r="AG114" i="1"/>
  <c r="AG118" i="1"/>
  <c r="AG122" i="1"/>
  <c r="AG126" i="1"/>
  <c r="AG130" i="1"/>
  <c r="AG134" i="1"/>
  <c r="AG138" i="1"/>
  <c r="AG142" i="1"/>
  <c r="AG146" i="1"/>
  <c r="AG150" i="1"/>
  <c r="AG154" i="1"/>
  <c r="AG158" i="1"/>
  <c r="AG162" i="1"/>
  <c r="AG166" i="1"/>
  <c r="AG170" i="1"/>
  <c r="AG174" i="1"/>
  <c r="AG178" i="1"/>
  <c r="AG182" i="1"/>
  <c r="AG186" i="1"/>
  <c r="AG190" i="1"/>
  <c r="AG194" i="1"/>
  <c r="AG198" i="1"/>
  <c r="AG202" i="1"/>
  <c r="AG206" i="1"/>
  <c r="AG210" i="1"/>
  <c r="AG214" i="1"/>
  <c r="AG218" i="1"/>
  <c r="AG222" i="1"/>
  <c r="AG226" i="1"/>
  <c r="AG230" i="1"/>
  <c r="AG234" i="1"/>
  <c r="AG238" i="1"/>
  <c r="AG242" i="1"/>
  <c r="AG246" i="1"/>
  <c r="AG250" i="1"/>
  <c r="AG254" i="1"/>
  <c r="AG258" i="1"/>
  <c r="AG262" i="1"/>
  <c r="AG266" i="1"/>
  <c r="AG270" i="1"/>
  <c r="AG274" i="1"/>
  <c r="AG278" i="1"/>
  <c r="AG282" i="1"/>
  <c r="AG286" i="1"/>
  <c r="AG290" i="1"/>
  <c r="AG294" i="1"/>
  <c r="AG298" i="1"/>
  <c r="AG302" i="1"/>
  <c r="AG306" i="1"/>
  <c r="AG310" i="1"/>
  <c r="AG314" i="1"/>
  <c r="AG318" i="1"/>
  <c r="AG322" i="1"/>
  <c r="AG326" i="1"/>
  <c r="AG330" i="1"/>
  <c r="AG334" i="1"/>
  <c r="AG338" i="1"/>
  <c r="AG3" i="1"/>
  <c r="AG7" i="1"/>
  <c r="AG11" i="1"/>
  <c r="AG15" i="1"/>
  <c r="AG19" i="1"/>
  <c r="AG23" i="1"/>
  <c r="AG27" i="1"/>
  <c r="AG31" i="1"/>
  <c r="AG35" i="1"/>
  <c r="AG39" i="1"/>
  <c r="AG43" i="1"/>
  <c r="AG47" i="1"/>
  <c r="AG51" i="1"/>
  <c r="AG55" i="1"/>
  <c r="AG59" i="1"/>
  <c r="AG63" i="1"/>
  <c r="AG67" i="1"/>
  <c r="AG71" i="1"/>
  <c r="AG75" i="1"/>
  <c r="AG79" i="1"/>
  <c r="AG83" i="1"/>
  <c r="AG87" i="1"/>
  <c r="AG91" i="1"/>
  <c r="AG95" i="1"/>
  <c r="AG99" i="1"/>
  <c r="AG103" i="1"/>
  <c r="AG107" i="1"/>
  <c r="AG111" i="1"/>
  <c r="AG115" i="1"/>
  <c r="AG119" i="1"/>
  <c r="AG123" i="1"/>
  <c r="AG127" i="1"/>
  <c r="AG131" i="1"/>
  <c r="AG135" i="1"/>
  <c r="AG139" i="1"/>
  <c r="AG143" i="1"/>
  <c r="AG147" i="1"/>
  <c r="AG151" i="1"/>
  <c r="AG155" i="1"/>
  <c r="AG159" i="1"/>
  <c r="AG163" i="1"/>
  <c r="AG167" i="1"/>
  <c r="AG171" i="1"/>
  <c r="AG175" i="1"/>
  <c r="AG179" i="1"/>
  <c r="AG183" i="1"/>
  <c r="AG187" i="1"/>
  <c r="AG191" i="1"/>
  <c r="AG195" i="1"/>
  <c r="AG199" i="1"/>
  <c r="AG203" i="1"/>
  <c r="AG207" i="1"/>
  <c r="AG211" i="1"/>
  <c r="AG215" i="1"/>
  <c r="AG219" i="1"/>
  <c r="AG223" i="1"/>
  <c r="AG227" i="1"/>
  <c r="AG231" i="1"/>
  <c r="AG235" i="1"/>
  <c r="AG239" i="1"/>
  <c r="AG243" i="1"/>
  <c r="AG247" i="1"/>
  <c r="AG251" i="1"/>
  <c r="AG255" i="1"/>
  <c r="AG259" i="1"/>
  <c r="AG263" i="1"/>
  <c r="AG267" i="1"/>
  <c r="AG271" i="1"/>
  <c r="AG275" i="1"/>
  <c r="AG279" i="1"/>
  <c r="AG283" i="1"/>
  <c r="AG287" i="1"/>
  <c r="AG291" i="1"/>
  <c r="AG295" i="1"/>
  <c r="AG299" i="1"/>
  <c r="AG303" i="1"/>
  <c r="AG307" i="1"/>
  <c r="AG311" i="1"/>
  <c r="AG315" i="1"/>
  <c r="AG319" i="1"/>
  <c r="AG323" i="1"/>
  <c r="AG327" i="1"/>
  <c r="AG331" i="1"/>
  <c r="AG335" i="1"/>
  <c r="AG4" i="1"/>
  <c r="AG8" i="1"/>
  <c r="AG12" i="1"/>
  <c r="AG16" i="1"/>
  <c r="AG20" i="1"/>
  <c r="AG24" i="1"/>
  <c r="AG28" i="1"/>
  <c r="AG32" i="1"/>
  <c r="AG36" i="1"/>
  <c r="AG40" i="1"/>
  <c r="AG44" i="1"/>
  <c r="AG48" i="1"/>
  <c r="AG52" i="1"/>
  <c r="AG56" i="1"/>
  <c r="AG60" i="1"/>
  <c r="AG64" i="1"/>
  <c r="AG68" i="1"/>
  <c r="AG72" i="1"/>
  <c r="AG76" i="1"/>
  <c r="AG80" i="1"/>
  <c r="AG84" i="1"/>
  <c r="AG88" i="1"/>
  <c r="AG92" i="1"/>
  <c r="AG96" i="1"/>
  <c r="AG100" i="1"/>
  <c r="AG104" i="1"/>
  <c r="AG108" i="1"/>
  <c r="AG112" i="1"/>
  <c r="AG116" i="1"/>
  <c r="AG120" i="1"/>
  <c r="AG124" i="1"/>
  <c r="AG128" i="1"/>
  <c r="AG132" i="1"/>
  <c r="AG136" i="1"/>
  <c r="AG140" i="1"/>
  <c r="AG144" i="1"/>
  <c r="AG148" i="1"/>
  <c r="AG152" i="1"/>
  <c r="AG156" i="1"/>
  <c r="AG160" i="1"/>
  <c r="AG164" i="1"/>
  <c r="AG168" i="1"/>
  <c r="AG172" i="1"/>
  <c r="AG176" i="1"/>
  <c r="AG180" i="1"/>
  <c r="AG184" i="1"/>
  <c r="AG188" i="1"/>
  <c r="AG192" i="1"/>
  <c r="AG196" i="1"/>
  <c r="AG200" i="1"/>
  <c r="AG204" i="1"/>
  <c r="AG208" i="1"/>
  <c r="AG212" i="1"/>
  <c r="AG216" i="1"/>
  <c r="AG220" i="1"/>
  <c r="AG224" i="1"/>
  <c r="AG228" i="1"/>
  <c r="AG232" i="1"/>
  <c r="AG236" i="1"/>
  <c r="AG240" i="1"/>
  <c r="AG244" i="1"/>
  <c r="AG248" i="1"/>
  <c r="AG252" i="1"/>
  <c r="AG256" i="1"/>
  <c r="AG260" i="1"/>
  <c r="AG264" i="1"/>
  <c r="AG268" i="1"/>
  <c r="AG272" i="1"/>
  <c r="AG276" i="1"/>
  <c r="AG280" i="1"/>
  <c r="AG284" i="1"/>
  <c r="AG288" i="1"/>
  <c r="AG292" i="1"/>
  <c r="AG296" i="1"/>
  <c r="AG300" i="1"/>
  <c r="AG304" i="1"/>
  <c r="AG308" i="1"/>
  <c r="AG312" i="1"/>
  <c r="AG316" i="1"/>
  <c r="AG320" i="1"/>
  <c r="AG324" i="1"/>
  <c r="AG328" i="1"/>
  <c r="AG332" i="1"/>
  <c r="AG336" i="1"/>
  <c r="AG5" i="1"/>
  <c r="AG9" i="1"/>
  <c r="AG13" i="1"/>
  <c r="AG17" i="1"/>
  <c r="AG21" i="1"/>
  <c r="AG25" i="1"/>
  <c r="AG29" i="1"/>
  <c r="AG33" i="1"/>
  <c r="AG37" i="1"/>
  <c r="AG41" i="1"/>
  <c r="AG45" i="1"/>
  <c r="AG49" i="1"/>
  <c r="AG53" i="1"/>
  <c r="AG57" i="1"/>
  <c r="AG61" i="1"/>
  <c r="AG65" i="1"/>
  <c r="AG69" i="1"/>
  <c r="AG73" i="1"/>
  <c r="AG77" i="1"/>
  <c r="AG81" i="1"/>
  <c r="AG85" i="1"/>
  <c r="AG89" i="1"/>
  <c r="AG93" i="1"/>
  <c r="AG97" i="1"/>
  <c r="AG101" i="1"/>
  <c r="AG105" i="1"/>
  <c r="AG109" i="1"/>
  <c r="AG113" i="1"/>
  <c r="AG117" i="1"/>
  <c r="AG121" i="1"/>
  <c r="AG125" i="1"/>
  <c r="AG129" i="1"/>
  <c r="AG133" i="1"/>
  <c r="AG137" i="1"/>
  <c r="AG141" i="1"/>
  <c r="AG145" i="1"/>
  <c r="AG149" i="1"/>
  <c r="AG153" i="1"/>
  <c r="AG157" i="1"/>
  <c r="AG161" i="1"/>
  <c r="AG165" i="1"/>
  <c r="AG169" i="1"/>
  <c r="AG173" i="1"/>
  <c r="AG177" i="1"/>
  <c r="AG181" i="1"/>
  <c r="AG185" i="1"/>
  <c r="AG189" i="1"/>
  <c r="AG193" i="1"/>
  <c r="AG197" i="1"/>
  <c r="AG201" i="1"/>
  <c r="AG205" i="1"/>
  <c r="AG209" i="1"/>
  <c r="AG213" i="1"/>
  <c r="AG217" i="1"/>
  <c r="AG221" i="1"/>
  <c r="AG225" i="1"/>
  <c r="AG229" i="1"/>
  <c r="AG233" i="1"/>
  <c r="AG237" i="1"/>
  <c r="AG241" i="1"/>
  <c r="AG245" i="1"/>
  <c r="AG249" i="1"/>
  <c r="AG253" i="1"/>
  <c r="AG257" i="1"/>
  <c r="AG261" i="1"/>
  <c r="AG265" i="1"/>
  <c r="AG269" i="1"/>
  <c r="AG273" i="1"/>
  <c r="AG277" i="1"/>
  <c r="AG281" i="1"/>
  <c r="AG285" i="1"/>
  <c r="AG289" i="1"/>
  <c r="AG293" i="1"/>
  <c r="AG297" i="1"/>
  <c r="AG301" i="1"/>
  <c r="AG305" i="1"/>
  <c r="AG309" i="1"/>
  <c r="AG313" i="1"/>
  <c r="AG317" i="1"/>
  <c r="AG321" i="1"/>
  <c r="AG325" i="1"/>
  <c r="AG329" i="1"/>
  <c r="AG333" i="1"/>
  <c r="AG337" i="1"/>
  <c r="AG341" i="1"/>
  <c r="AG355" i="1"/>
  <c r="AG351" i="1"/>
  <c r="AG347" i="1"/>
  <c r="AG343" i="1"/>
  <c r="AG354" i="1"/>
  <c r="AG350" i="1"/>
  <c r="AG346" i="1"/>
  <c r="AG342" i="1"/>
  <c r="AG353" i="1"/>
  <c r="AG349" i="1"/>
  <c r="AG345" i="1"/>
  <c r="AG340" i="1"/>
  <c r="AG356" i="1"/>
  <c r="AG352" i="1"/>
  <c r="AG348" i="1"/>
  <c r="AG344" i="1"/>
  <c r="AG33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<sst xmlns="http://schemas.openxmlformats.org/spreadsheetml/2006/main" count="9326" uniqueCount="1702">
  <si>
    <t>Order_ID</t>
  </si>
  <si>
    <t>Replace</t>
  </si>
  <si>
    <t>MID</t>
  </si>
  <si>
    <t>First 4</t>
  </si>
  <si>
    <t>Last 5</t>
  </si>
  <si>
    <t>ORD</t>
  </si>
  <si>
    <t>ID</t>
  </si>
  <si>
    <t>Formatted_ Order_ ID</t>
  </si>
  <si>
    <t>Edate</t>
  </si>
  <si>
    <t>EDATE2</t>
  </si>
  <si>
    <t>Year</t>
  </si>
  <si>
    <t>Order No.</t>
  </si>
  <si>
    <t>Day</t>
  </si>
  <si>
    <t>Now</t>
  </si>
  <si>
    <t>Today</t>
  </si>
  <si>
    <t>Passed Days</t>
  </si>
  <si>
    <t>Date2</t>
  </si>
  <si>
    <t>Order_Date</t>
  </si>
  <si>
    <t>Year2</t>
  </si>
  <si>
    <t>Month</t>
  </si>
  <si>
    <t>Workdays</t>
  </si>
  <si>
    <t>Concatenate</t>
  </si>
  <si>
    <t>Customer_ID</t>
  </si>
  <si>
    <t>Customer_Name</t>
  </si>
  <si>
    <t>COUNTA</t>
  </si>
  <si>
    <t>Substitue</t>
  </si>
  <si>
    <t>Search A</t>
  </si>
  <si>
    <t>Search</t>
  </si>
  <si>
    <t>Find A</t>
  </si>
  <si>
    <t>Find</t>
  </si>
  <si>
    <t>Trimmed</t>
  </si>
  <si>
    <t>Length</t>
  </si>
  <si>
    <t>Max</t>
  </si>
  <si>
    <t>Proper</t>
  </si>
  <si>
    <t>Lower</t>
  </si>
  <si>
    <t>Upper</t>
  </si>
  <si>
    <t>Id+ Name</t>
  </si>
  <si>
    <t>First Name</t>
  </si>
  <si>
    <t>Last Name</t>
  </si>
  <si>
    <t>Customer Code</t>
  </si>
  <si>
    <t>First Name2</t>
  </si>
  <si>
    <t>Last Name3</t>
  </si>
  <si>
    <t>City</t>
  </si>
  <si>
    <t>TRIM</t>
  </si>
  <si>
    <t>Proper2</t>
  </si>
  <si>
    <t>State</t>
  </si>
  <si>
    <t>City+State</t>
  </si>
  <si>
    <t>Region</t>
  </si>
  <si>
    <t>Product_ID</t>
  </si>
  <si>
    <t>Replace2</t>
  </si>
  <si>
    <t>Product ID</t>
  </si>
  <si>
    <t>Search2</t>
  </si>
  <si>
    <t>Find -</t>
  </si>
  <si>
    <t>MID2</t>
  </si>
  <si>
    <t>Last 32</t>
  </si>
  <si>
    <t>First 3</t>
  </si>
  <si>
    <t>XLOOKUP</t>
  </si>
  <si>
    <t>Product_Name</t>
  </si>
  <si>
    <t>Length2</t>
  </si>
  <si>
    <t>Category</t>
  </si>
  <si>
    <t>COUNTIFS</t>
  </si>
  <si>
    <t>Substitute</t>
  </si>
  <si>
    <t>SUMIF</t>
  </si>
  <si>
    <t>SUMIFS</t>
  </si>
  <si>
    <t>COUNTIF</t>
  </si>
  <si>
    <t>Sub_Category</t>
  </si>
  <si>
    <t>Total Quantity</t>
  </si>
  <si>
    <t>Min Quantity</t>
  </si>
  <si>
    <t>Max Quantity</t>
  </si>
  <si>
    <t>COUNTIFS3</t>
  </si>
  <si>
    <t>Quantity</t>
  </si>
  <si>
    <t>Unit_Price</t>
  </si>
  <si>
    <t>Discount_%</t>
  </si>
  <si>
    <t>Discount AND</t>
  </si>
  <si>
    <t>IFAND</t>
  </si>
  <si>
    <t>Payment_Mode</t>
  </si>
  <si>
    <t>Order_Status</t>
  </si>
  <si>
    <t>COUNTIFS2</t>
  </si>
  <si>
    <t>COUNIF2</t>
  </si>
  <si>
    <t>COUNTIF2</t>
  </si>
  <si>
    <t>IFOR</t>
  </si>
  <si>
    <t>Order OR</t>
  </si>
  <si>
    <t>Substitute2</t>
  </si>
  <si>
    <t>Delivery_Date</t>
  </si>
  <si>
    <t>Working Days</t>
  </si>
  <si>
    <t>Delivery Days</t>
  </si>
  <si>
    <t>Return_Status</t>
  </si>
  <si>
    <t>Rating IF</t>
  </si>
  <si>
    <t>Rating OR</t>
  </si>
  <si>
    <t>IFS</t>
  </si>
  <si>
    <t>Count</t>
  </si>
  <si>
    <t>COUNTBLANK</t>
  </si>
  <si>
    <t>COUNTIF3</t>
  </si>
  <si>
    <t>Coupon_Code</t>
  </si>
  <si>
    <t>Rating</t>
  </si>
  <si>
    <t>Sales_Channel</t>
  </si>
  <si>
    <t>Sales_Rep</t>
  </si>
  <si>
    <t>MIN Sales</t>
  </si>
  <si>
    <t>Sales_Amount</t>
  </si>
  <si>
    <t>Round</t>
  </si>
  <si>
    <t>Min Sales2</t>
  </si>
  <si>
    <t>Total Sales</t>
  </si>
  <si>
    <t>Sales AND</t>
  </si>
  <si>
    <t>Sales IF</t>
  </si>
  <si>
    <t>Profit</t>
  </si>
  <si>
    <t>Round2</t>
  </si>
  <si>
    <t>ABS</t>
  </si>
  <si>
    <t>Max Profit</t>
  </si>
  <si>
    <t>Min Profit</t>
  </si>
  <si>
    <t>Total Profit</t>
  </si>
  <si>
    <t>Profit IF</t>
  </si>
  <si>
    <t>IFAND2</t>
  </si>
  <si>
    <t>RAND</t>
  </si>
  <si>
    <t>RANDBETWEEN</t>
  </si>
  <si>
    <t>AVG SALES</t>
  </si>
  <si>
    <t>AVG PROFIT</t>
  </si>
  <si>
    <t>AVG RATING</t>
  </si>
  <si>
    <t>AVG QUANTITY</t>
  </si>
  <si>
    <t>AVG IF</t>
  </si>
  <si>
    <t>AVGIFS</t>
  </si>
  <si>
    <t>ORD10001</t>
  </si>
  <si>
    <t>ORD-10001</t>
  </si>
  <si>
    <t>C1140</t>
  </si>
  <si>
    <t>Aman Singh</t>
  </si>
  <si>
    <t>Aman</t>
  </si>
  <si>
    <t>Singh</t>
  </si>
  <si>
    <t>AMSI</t>
  </si>
  <si>
    <t>Pune</t>
  </si>
  <si>
    <t>Maharashtra</t>
  </si>
  <si>
    <t>West</t>
  </si>
  <si>
    <t>P111</t>
  </si>
  <si>
    <t>P-111</t>
  </si>
  <si>
    <t>Coffee Maker</t>
  </si>
  <si>
    <t>Home</t>
  </si>
  <si>
    <t>Kitchen</t>
  </si>
  <si>
    <t>Net Banking</t>
  </si>
  <si>
    <t>Delivered</t>
  </si>
  <si>
    <t>No</t>
  </si>
  <si>
    <t>NEWUSER5</t>
  </si>
  <si>
    <t>Website</t>
  </si>
  <si>
    <t>Amit</t>
  </si>
  <si>
    <t>ORD10002</t>
  </si>
  <si>
    <t>ORD-10002</t>
  </si>
  <si>
    <t>C1057</t>
  </si>
  <si>
    <t>Nitin Soni</t>
  </si>
  <si>
    <t>Nitin</t>
  </si>
  <si>
    <t>Soni</t>
  </si>
  <si>
    <t>NISO</t>
  </si>
  <si>
    <t>Jaipur</t>
  </si>
  <si>
    <t>Rajasthan</t>
  </si>
  <si>
    <t>North</t>
  </si>
  <si>
    <t>P102</t>
  </si>
  <si>
    <t>P-102</t>
  </si>
  <si>
    <t>Mechanical Keyboard</t>
  </si>
  <si>
    <t>Electronics</t>
  </si>
  <si>
    <t>Accessories</t>
  </si>
  <si>
    <t>Cancelled</t>
  </si>
  <si>
    <t>FESTIVE20</t>
  </si>
  <si>
    <t>Ravi</t>
  </si>
  <si>
    <t>ORD10003</t>
  </si>
  <si>
    <t>ORD-10003</t>
  </si>
  <si>
    <t>C1024</t>
  </si>
  <si>
    <t>Mohit Khan</t>
  </si>
  <si>
    <t>Mohit</t>
  </si>
  <si>
    <t>Khan</t>
  </si>
  <si>
    <t>MOKH</t>
  </si>
  <si>
    <t>Bengaluru</t>
  </si>
  <si>
    <t>Karnataka</t>
  </si>
  <si>
    <t>South</t>
  </si>
  <si>
    <t>P112</t>
  </si>
  <si>
    <t>P-103</t>
  </si>
  <si>
    <t>Air Fryer</t>
  </si>
  <si>
    <t>UPI</t>
  </si>
  <si>
    <t>Mobile App</t>
  </si>
  <si>
    <t>Priya</t>
  </si>
  <si>
    <t>ORD10004</t>
  </si>
  <si>
    <t>ORD-10004</t>
  </si>
  <si>
    <t>C1093</t>
  </si>
  <si>
    <t>Varun Tiwari</t>
  </si>
  <si>
    <t>Varun</t>
  </si>
  <si>
    <t>Tiwari</t>
  </si>
  <si>
    <t>VATI</t>
  </si>
  <si>
    <t>Mumbai</t>
  </si>
  <si>
    <t>P105</t>
  </si>
  <si>
    <t>P-104</t>
  </si>
  <si>
    <t>Bluetooth Speaker</t>
  </si>
  <si>
    <t>Audio</t>
  </si>
  <si>
    <t>Credit Card</t>
  </si>
  <si>
    <t>ORD10005</t>
  </si>
  <si>
    <t>ORD-10005</t>
  </si>
  <si>
    <t>C1072</t>
  </si>
  <si>
    <t>P-105</t>
  </si>
  <si>
    <t>Debit Card</t>
  </si>
  <si>
    <t>Shipped</t>
  </si>
  <si>
    <t>WELCOME15</t>
  </si>
  <si>
    <t>Sneha</t>
  </si>
  <si>
    <t>ORD10006</t>
  </si>
  <si>
    <t>ORD-10006</t>
  </si>
  <si>
    <t>C1119</t>
  </si>
  <si>
    <t>Lucknow</t>
  </si>
  <si>
    <t>Uttar Pradesh</t>
  </si>
  <si>
    <t>P104</t>
  </si>
  <si>
    <t>P-116</t>
  </si>
  <si>
    <t>USB-C Hub</t>
  </si>
  <si>
    <t>Marketplace</t>
  </si>
  <si>
    <t>ORD10007</t>
  </si>
  <si>
    <t>ORD-10007</t>
  </si>
  <si>
    <t>C1103</t>
  </si>
  <si>
    <t>Vikas Yadav</t>
  </si>
  <si>
    <t>Vikas</t>
  </si>
  <si>
    <t>Yadav</t>
  </si>
  <si>
    <t>VIYA</t>
  </si>
  <si>
    <t>P-117</t>
  </si>
  <si>
    <t>Neeraj</t>
  </si>
  <si>
    <t>ORD10008</t>
  </si>
  <si>
    <t>ORD-10008</t>
  </si>
  <si>
    <t>C1064</t>
  </si>
  <si>
    <t>Riya Agarwal</t>
  </si>
  <si>
    <t>Riya</t>
  </si>
  <si>
    <t>Agarwal</t>
  </si>
  <si>
    <t>RIAG</t>
  </si>
  <si>
    <t>P106</t>
  </si>
  <si>
    <t>P-108</t>
  </si>
  <si>
    <t>Running Shoes</t>
  </si>
  <si>
    <t>Fashion</t>
  </si>
  <si>
    <t>Footwear</t>
  </si>
  <si>
    <t>ORD10009</t>
  </si>
  <si>
    <t>ORD-10009</t>
  </si>
  <si>
    <t>C1013</t>
  </si>
  <si>
    <t>Neha Gupta</t>
  </si>
  <si>
    <t>Neha</t>
  </si>
  <si>
    <t>Gupta</t>
  </si>
  <si>
    <t>NEGU</t>
  </si>
  <si>
    <t>Kolkata</t>
  </si>
  <si>
    <t>West Bengal</t>
  </si>
  <si>
    <t>East</t>
  </si>
  <si>
    <t>P107</t>
  </si>
  <si>
    <t>P-109</t>
  </si>
  <si>
    <t>Casual Sneakers</t>
  </si>
  <si>
    <t>ORD10010</t>
  </si>
  <si>
    <t>ORD-10010</t>
  </si>
  <si>
    <t>C1142</t>
  </si>
  <si>
    <t xml:space="preserve">  rahul sharma  </t>
  </si>
  <si>
    <t>rahul</t>
  </si>
  <si>
    <t>sharma</t>
  </si>
  <si>
    <t>RASH</t>
  </si>
  <si>
    <t>P-1110</t>
  </si>
  <si>
    <t>ORD10011</t>
  </si>
  <si>
    <t>ORD-10011</t>
  </si>
  <si>
    <t>C1001</t>
  </si>
  <si>
    <t>P113</t>
  </si>
  <si>
    <t>P-1011</t>
  </si>
  <si>
    <t>Desk Lamp</t>
  </si>
  <si>
    <t>Furniture</t>
  </si>
  <si>
    <t>ORD10012</t>
  </si>
  <si>
    <t>ORD-10012</t>
  </si>
  <si>
    <t>C1139</t>
  </si>
  <si>
    <t>Aditya Malhotra</t>
  </si>
  <si>
    <t>Aditya</t>
  </si>
  <si>
    <t>Malhotra</t>
  </si>
  <si>
    <t>ADMA</t>
  </si>
  <si>
    <t>P114</t>
  </si>
  <si>
    <t>P-1112</t>
  </si>
  <si>
    <t>Yoga Mat</t>
  </si>
  <si>
    <t>Sports</t>
  </si>
  <si>
    <t>Fitness</t>
  </si>
  <si>
    <t>NONE</t>
  </si>
  <si>
    <t>Kunal</t>
  </si>
  <si>
    <t>ORD10013</t>
  </si>
  <si>
    <t>ORD-10013</t>
  </si>
  <si>
    <t>C1022</t>
  </si>
  <si>
    <t>Kavya Shah</t>
  </si>
  <si>
    <t>Kavya</t>
  </si>
  <si>
    <t>Shah</t>
  </si>
  <si>
    <t>KASH</t>
  </si>
  <si>
    <t>P101</t>
  </si>
  <si>
    <t>P-1013</t>
  </si>
  <si>
    <t>Wireless Mouse</t>
  </si>
  <si>
    <t>ORD10014</t>
  </si>
  <si>
    <t>ORD-10014</t>
  </si>
  <si>
    <t>Karan Patel</t>
  </si>
  <si>
    <t>Karan</t>
  </si>
  <si>
    <t>Patel</t>
  </si>
  <si>
    <t>KAPA</t>
  </si>
  <si>
    <t>Hyderabad</t>
  </si>
  <si>
    <t>Telangana</t>
  </si>
  <si>
    <t>P-1114</t>
  </si>
  <si>
    <t>ORD10015</t>
  </si>
  <si>
    <t>ORD-10015</t>
  </si>
  <si>
    <t>C1087</t>
  </si>
  <si>
    <t>Rahul Sharma</t>
  </si>
  <si>
    <t>Rahul</t>
  </si>
  <si>
    <t>Sharma</t>
  </si>
  <si>
    <t>P-1015</t>
  </si>
  <si>
    <t>ORD10016</t>
  </si>
  <si>
    <t>ORD-10016</t>
  </si>
  <si>
    <t>C1019</t>
  </si>
  <si>
    <t xml:space="preserve">  aditya malhotra  </t>
  </si>
  <si>
    <t>aditya</t>
  </si>
  <si>
    <t>malhotra</t>
  </si>
  <si>
    <t>P-1016</t>
  </si>
  <si>
    <t>ORD10017</t>
  </si>
  <si>
    <t>ORD-10017</t>
  </si>
  <si>
    <t>C1049</t>
  </si>
  <si>
    <t>Chennai</t>
  </si>
  <si>
    <t>Tamil Nadu</t>
  </si>
  <si>
    <t>P-1017</t>
  </si>
  <si>
    <t>ORD10018</t>
  </si>
  <si>
    <t>ORD-10018</t>
  </si>
  <si>
    <t>C1028</t>
  </si>
  <si>
    <t>Anjali Joshi</t>
  </si>
  <si>
    <t>Anjali</t>
  </si>
  <si>
    <t>Joshi</t>
  </si>
  <si>
    <t>ANJO</t>
  </si>
  <si>
    <t>P-1018</t>
  </si>
  <si>
    <t>ORD10019</t>
  </si>
  <si>
    <t>ORD-10019</t>
  </si>
  <si>
    <t>C1141</t>
  </si>
  <si>
    <t xml:space="preserve"> Bengaluru </t>
  </si>
  <si>
    <t>P103</t>
  </si>
  <si>
    <t>P-1119</t>
  </si>
  <si>
    <t>Laptop Stand</t>
  </si>
  <si>
    <t>ORD10020</t>
  </si>
  <si>
    <t>ORD-10020</t>
  </si>
  <si>
    <t>C1016</t>
  </si>
  <si>
    <t>Simran Kaur</t>
  </si>
  <si>
    <t>Simran</t>
  </si>
  <si>
    <t>Kaur</t>
  </si>
  <si>
    <t>SIKA</t>
  </si>
  <si>
    <t>P-1020</t>
  </si>
  <si>
    <t>Cash on Delivery</t>
  </si>
  <si>
    <t>SAVE10</t>
  </si>
  <si>
    <t>ORD10021</t>
  </si>
  <si>
    <t>ORD-10021</t>
  </si>
  <si>
    <t>C1056</t>
  </si>
  <si>
    <t>Priya Verma</t>
  </si>
  <si>
    <t>Verma</t>
  </si>
  <si>
    <t>PRVE</t>
  </si>
  <si>
    <t>P115</t>
  </si>
  <si>
    <t>P-1021</t>
  </si>
  <si>
    <t>Dumbbell Set</t>
  </si>
  <si>
    <t>ORD10022</t>
  </si>
  <si>
    <t>ORD-10022</t>
  </si>
  <si>
    <t>C1131</t>
  </si>
  <si>
    <t>Bhopal</t>
  </si>
  <si>
    <t>Madhya Pradesh</t>
  </si>
  <si>
    <t>Central</t>
  </si>
  <si>
    <t>P-1122</t>
  </si>
  <si>
    <t>ORD10023</t>
  </si>
  <si>
    <t>ORD-10023</t>
  </si>
  <si>
    <t>C1108</t>
  </si>
  <si>
    <t>P-1123</t>
  </si>
  <si>
    <t>ORD10024</t>
  </si>
  <si>
    <t>ORD-10024</t>
  </si>
  <si>
    <t>C1118</t>
  </si>
  <si>
    <t>Arjun Rao</t>
  </si>
  <si>
    <t>Arjun</t>
  </si>
  <si>
    <t>Rao</t>
  </si>
  <si>
    <t>ARRA</t>
  </si>
  <si>
    <t>P-1124</t>
  </si>
  <si>
    <t>ORD10025</t>
  </si>
  <si>
    <t>ORD-10025</t>
  </si>
  <si>
    <t>C1090</t>
  </si>
  <si>
    <t>P110</t>
  </si>
  <si>
    <t>P-1025</t>
  </si>
  <si>
    <t>Smart Watch</t>
  </si>
  <si>
    <t>Wearables</t>
  </si>
  <si>
    <t>ORD10026</t>
  </si>
  <si>
    <t>ORD-10026</t>
  </si>
  <si>
    <t>C1035</t>
  </si>
  <si>
    <t>P108</t>
  </si>
  <si>
    <t>P-1026</t>
  </si>
  <si>
    <t>Hoodie</t>
  </si>
  <si>
    <t>Clothing</t>
  </si>
  <si>
    <t>Returned</t>
  </si>
  <si>
    <t>Yes</t>
  </si>
  <si>
    <t>ORD10027</t>
  </si>
  <si>
    <t>ORD-10027</t>
  </si>
  <si>
    <t>C1068</t>
  </si>
  <si>
    <t>Indore</t>
  </si>
  <si>
    <t>P-1027</t>
  </si>
  <si>
    <t>ORD10028</t>
  </si>
  <si>
    <t>ORD-10028</t>
  </si>
  <si>
    <t>C1042</t>
  </si>
  <si>
    <t>P-1028</t>
  </si>
  <si>
    <t>ORD10029</t>
  </si>
  <si>
    <t>ORD-10029</t>
  </si>
  <si>
    <t>C1111</t>
  </si>
  <si>
    <t>Rohan Mehta</t>
  </si>
  <si>
    <t>Rohan</t>
  </si>
  <si>
    <t>Mehta</t>
  </si>
  <si>
    <t>ROME</t>
  </si>
  <si>
    <t>P-1129</t>
  </si>
  <si>
    <t>ORD10030</t>
  </si>
  <si>
    <t>ORD-10030</t>
  </si>
  <si>
    <t>C1061</t>
  </si>
  <si>
    <t>P-1030</t>
  </si>
  <si>
    <t>ORD10031</t>
  </si>
  <si>
    <t>ORD-10031</t>
  </si>
  <si>
    <t>C1010</t>
  </si>
  <si>
    <t>P-1031</t>
  </si>
  <si>
    <t>ORD10032</t>
  </si>
  <si>
    <t>ORD-10032</t>
  </si>
  <si>
    <t>C1018</t>
  </si>
  <si>
    <t>P-1032</t>
  </si>
  <si>
    <t>ORD10033</t>
  </si>
  <si>
    <t>ORD-10033</t>
  </si>
  <si>
    <t>P-1033</t>
  </si>
  <si>
    <t>ORD10034</t>
  </si>
  <si>
    <t>ORD-10034</t>
  </si>
  <si>
    <t>C1012</t>
  </si>
  <si>
    <t>Isha Kapoor</t>
  </si>
  <si>
    <t>Isha</t>
  </si>
  <si>
    <t>Kapoor</t>
  </si>
  <si>
    <t>ISKA</t>
  </si>
  <si>
    <t>P-1034</t>
  </si>
  <si>
    <t>ORD10035</t>
  </si>
  <si>
    <t>ORD-10035</t>
  </si>
  <si>
    <t>C1032</t>
  </si>
  <si>
    <t>Pooja Jain</t>
  </si>
  <si>
    <t>Pooja</t>
  </si>
  <si>
    <t>Jain</t>
  </si>
  <si>
    <t>POJA</t>
  </si>
  <si>
    <t>Ahmedabad</t>
  </si>
  <si>
    <t>Gujarat</t>
  </si>
  <si>
    <t>P-1035</t>
  </si>
  <si>
    <t>ORD10036</t>
  </si>
  <si>
    <t>ORD-10036</t>
  </si>
  <si>
    <t>C1045</t>
  </si>
  <si>
    <t>Meera Nair</t>
  </si>
  <si>
    <t>Meera</t>
  </si>
  <si>
    <t>Nair</t>
  </si>
  <si>
    <t>MENA</t>
  </si>
  <si>
    <t>P-1036</t>
  </si>
  <si>
    <t>ORD10037</t>
  </si>
  <si>
    <t>ORD-10037</t>
  </si>
  <si>
    <t>C1114</t>
  </si>
  <si>
    <t>P-1137</t>
  </si>
  <si>
    <t>ORD10038</t>
  </si>
  <si>
    <t>ORD-10038</t>
  </si>
  <si>
    <t>C1058</t>
  </si>
  <si>
    <t>P-1038</t>
  </si>
  <si>
    <t>ORD10039</t>
  </si>
  <si>
    <t>ORD-10039</t>
  </si>
  <si>
    <t>C1127</t>
  </si>
  <si>
    <t xml:space="preserve">  mohit khan  </t>
  </si>
  <si>
    <t>mohit</t>
  </si>
  <si>
    <t>khan</t>
  </si>
  <si>
    <t>P-1139</t>
  </si>
  <si>
    <t>ORD10040</t>
  </si>
  <si>
    <t>ORD-10040</t>
  </si>
  <si>
    <t>C1143</t>
  </si>
  <si>
    <t xml:space="preserve">  anjali joshi  </t>
  </si>
  <si>
    <t>anjali</t>
  </si>
  <si>
    <t>joshi</t>
  </si>
  <si>
    <t>P-1140</t>
  </si>
  <si>
    <t>ORD10041</t>
  </si>
  <si>
    <t>ORD-10041</t>
  </si>
  <si>
    <t>P-1141</t>
  </si>
  <si>
    <t>ORD10042</t>
  </si>
  <si>
    <t>ORD-10042</t>
  </si>
  <si>
    <t>C1113</t>
  </si>
  <si>
    <t xml:space="preserve">  aman singh  </t>
  </si>
  <si>
    <t>aman</t>
  </si>
  <si>
    <t>singh</t>
  </si>
  <si>
    <t>P-1142</t>
  </si>
  <si>
    <t>ORD10043</t>
  </si>
  <si>
    <t>ORD-10043</t>
  </si>
  <si>
    <t>C1055</t>
  </si>
  <si>
    <t>P-1043</t>
  </si>
  <si>
    <t>ORD10044</t>
  </si>
  <si>
    <t>ORD-10044</t>
  </si>
  <si>
    <t>C1123</t>
  </si>
  <si>
    <t>P-1144</t>
  </si>
  <si>
    <t>ORD10045</t>
  </si>
  <si>
    <t>ORD-10045</t>
  </si>
  <si>
    <t>C1112</t>
  </si>
  <si>
    <t>P109</t>
  </si>
  <si>
    <t>P-1145</t>
  </si>
  <si>
    <t>Backpack</t>
  </si>
  <si>
    <t>Bags</t>
  </si>
  <si>
    <t>ORD10046</t>
  </si>
  <si>
    <t>ORD-10046</t>
  </si>
  <si>
    <t>C1145</t>
  </si>
  <si>
    <t>P-1146</t>
  </si>
  <si>
    <t>ORD10047</t>
  </si>
  <si>
    <t>ORD-10047</t>
  </si>
  <si>
    <t>C1117</t>
  </si>
  <si>
    <t>P-1147</t>
  </si>
  <si>
    <t>ORD10048</t>
  </si>
  <si>
    <t>ORD-10048</t>
  </si>
  <si>
    <t>C1011</t>
  </si>
  <si>
    <t>P-1048</t>
  </si>
  <si>
    <t>ORD10049</t>
  </si>
  <si>
    <t>ORD-10049</t>
  </si>
  <si>
    <t>C1066</t>
  </si>
  <si>
    <t>Sneha Mishra</t>
  </si>
  <si>
    <t>Mishra</t>
  </si>
  <si>
    <t>SNMI</t>
  </si>
  <si>
    <t>P-1049</t>
  </si>
  <si>
    <t>ORD10050</t>
  </si>
  <si>
    <t>ORD-10050</t>
  </si>
  <si>
    <t>C1148</t>
  </si>
  <si>
    <t>P-1150</t>
  </si>
  <si>
    <t>ORD10051</t>
  </si>
  <si>
    <t>ORD-10051</t>
  </si>
  <si>
    <t>C1089</t>
  </si>
  <si>
    <t>P-1051</t>
  </si>
  <si>
    <t>ORD10052</t>
  </si>
  <si>
    <t>ORD-10052</t>
  </si>
  <si>
    <t>P-1152</t>
  </si>
  <si>
    <t>ORD10053</t>
  </si>
  <si>
    <t>ORD-10053</t>
  </si>
  <si>
    <t>C1083</t>
  </si>
  <si>
    <t>P-1053</t>
  </si>
  <si>
    <t>ORD10054</t>
  </si>
  <si>
    <t>ORD-10054</t>
  </si>
  <si>
    <t>C1125</t>
  </si>
  <si>
    <t>P-1154</t>
  </si>
  <si>
    <t>ORD10055</t>
  </si>
  <si>
    <t>ORD-10055</t>
  </si>
  <si>
    <t>C1062</t>
  </si>
  <si>
    <t>P-1055</t>
  </si>
  <si>
    <t>ORD10056</t>
  </si>
  <si>
    <t>ORD-10056</t>
  </si>
  <si>
    <t>C1104</t>
  </si>
  <si>
    <t>P-1156</t>
  </si>
  <si>
    <t>ORD10057</t>
  </si>
  <si>
    <t>ORD-10057</t>
  </si>
  <si>
    <t>P-1157</t>
  </si>
  <si>
    <t>ORD10058</t>
  </si>
  <si>
    <t>ORD-10058</t>
  </si>
  <si>
    <t>C1071</t>
  </si>
  <si>
    <t>P-1058</t>
  </si>
  <si>
    <t>ORD10059</t>
  </si>
  <si>
    <t>ORD-10059</t>
  </si>
  <si>
    <t>C1137</t>
  </si>
  <si>
    <t>P-1159</t>
  </si>
  <si>
    <t>ORD10060</t>
  </si>
  <si>
    <t>ORD-10060</t>
  </si>
  <si>
    <t>C1121</t>
  </si>
  <si>
    <t>P-1160</t>
  </si>
  <si>
    <t>ORD10061</t>
  </si>
  <si>
    <t>ORD-10061</t>
  </si>
  <si>
    <t>C1039</t>
  </si>
  <si>
    <t>P-1061</t>
  </si>
  <si>
    <t>ORD10062</t>
  </si>
  <si>
    <t>ORD-10062</t>
  </si>
  <si>
    <t>P-1162</t>
  </si>
  <si>
    <t>ORD10063</t>
  </si>
  <si>
    <t>ORD-10063</t>
  </si>
  <si>
    <t>P-1063</t>
  </si>
  <si>
    <t>ORD10064</t>
  </si>
  <si>
    <t>ORD-10064</t>
  </si>
  <si>
    <t>P-1164</t>
  </si>
  <si>
    <t>ORD10065</t>
  </si>
  <si>
    <t>ORD-10065</t>
  </si>
  <si>
    <t>C1037</t>
  </si>
  <si>
    <t>P-1065</t>
  </si>
  <si>
    <t>ORD10066</t>
  </si>
  <si>
    <t>ORD-10066</t>
  </si>
  <si>
    <t>C1070</t>
  </si>
  <si>
    <t>P-1066</t>
  </si>
  <si>
    <t>ORD10067</t>
  </si>
  <si>
    <t>ORD-10067</t>
  </si>
  <si>
    <t>P-1167</t>
  </si>
  <si>
    <t>ORD10068</t>
  </si>
  <si>
    <t>ORD-10068</t>
  </si>
  <si>
    <t>C1126</t>
  </si>
  <si>
    <t>Delhi</t>
  </si>
  <si>
    <t>P-1168</t>
  </si>
  <si>
    <t>ORD10069</t>
  </si>
  <si>
    <t>ORD-10069</t>
  </si>
  <si>
    <t>P-1169</t>
  </si>
  <si>
    <t>ORD10070</t>
  </si>
  <si>
    <t>ORD-10070</t>
  </si>
  <si>
    <t>C1014</t>
  </si>
  <si>
    <t>P-1070</t>
  </si>
  <si>
    <t>ORD10071</t>
  </si>
  <si>
    <t>ORD-10071</t>
  </si>
  <si>
    <t>P-1171</t>
  </si>
  <si>
    <t>ORD10072</t>
  </si>
  <si>
    <t>ORD-10072</t>
  </si>
  <si>
    <t xml:space="preserve">  neha gupta  </t>
  </si>
  <si>
    <t>neha</t>
  </si>
  <si>
    <t>gupta</t>
  </si>
  <si>
    <t>P-1072</t>
  </si>
  <si>
    <t>ORD10073</t>
  </si>
  <si>
    <t>ORD-10073</t>
  </si>
  <si>
    <t>C1063</t>
  </si>
  <si>
    <t>P-1073</t>
  </si>
  <si>
    <t>ORD10074</t>
  </si>
  <si>
    <t>ORD-10074</t>
  </si>
  <si>
    <t>C1130</t>
  </si>
  <si>
    <t>P-1174</t>
  </si>
  <si>
    <t>ORD10075</t>
  </si>
  <si>
    <t>ORD-10075</t>
  </si>
  <si>
    <t>C1086</t>
  </si>
  <si>
    <t>P-1075</t>
  </si>
  <si>
    <t>ORD10076</t>
  </si>
  <si>
    <t>ORD-10076</t>
  </si>
  <si>
    <t>C1082</t>
  </si>
  <si>
    <t>P-1076</t>
  </si>
  <si>
    <t>ORD10077</t>
  </si>
  <si>
    <t>ORD-10077</t>
  </si>
  <si>
    <t>C1026</t>
  </si>
  <si>
    <t xml:space="preserve"> Hyderabad </t>
  </si>
  <si>
    <t>P-1077</t>
  </si>
  <si>
    <t>ORD10078</t>
  </si>
  <si>
    <t>ORD-10078</t>
  </si>
  <si>
    <t>C1102</t>
  </si>
  <si>
    <t>P-1178</t>
  </si>
  <si>
    <t>ORD10079</t>
  </si>
  <si>
    <t>ORD-10079</t>
  </si>
  <si>
    <t>C1074</t>
  </si>
  <si>
    <t>P-1079</t>
  </si>
  <si>
    <t>ORD10080</t>
  </si>
  <si>
    <t>ORD-10080</t>
  </si>
  <si>
    <t>C1015</t>
  </si>
  <si>
    <t>P-1080</t>
  </si>
  <si>
    <t>ORD10081</t>
  </si>
  <si>
    <t>ORD-10081</t>
  </si>
  <si>
    <t>C1098</t>
  </si>
  <si>
    <t>P-1081</t>
  </si>
  <si>
    <t>ORD10082</t>
  </si>
  <si>
    <t>ORD-10082</t>
  </si>
  <si>
    <t>P-1082</t>
  </si>
  <si>
    <t>ORD10083</t>
  </si>
  <si>
    <t>ORD-10083</t>
  </si>
  <si>
    <t>C1099</t>
  </si>
  <si>
    <t>P-1083</t>
  </si>
  <si>
    <t>ORD10084</t>
  </si>
  <si>
    <t>ORD-10084</t>
  </si>
  <si>
    <t>C1003</t>
  </si>
  <si>
    <t>P-1084</t>
  </si>
  <si>
    <t>ORD10085</t>
  </si>
  <si>
    <t>ORD-10085</t>
  </si>
  <si>
    <t>C1036</t>
  </si>
  <si>
    <t>P-1085</t>
  </si>
  <si>
    <t>ORD10086</t>
  </si>
  <si>
    <t>ORD-10086</t>
  </si>
  <si>
    <t>C1052</t>
  </si>
  <si>
    <t>P-1086</t>
  </si>
  <si>
    <t>ORD10087</t>
  </si>
  <si>
    <t>ORD-10087</t>
  </si>
  <si>
    <t>C1030</t>
  </si>
  <si>
    <t>P-1087</t>
  </si>
  <si>
    <t>ORD10088</t>
  </si>
  <si>
    <t>ORD-10088</t>
  </si>
  <si>
    <t>P-1088</t>
  </si>
  <si>
    <t>ORD10089</t>
  </si>
  <si>
    <t>ORD-10089</t>
  </si>
  <si>
    <t>C1060</t>
  </si>
  <si>
    <t>P-1089</t>
  </si>
  <si>
    <t>ORD10090</t>
  </si>
  <si>
    <t>ORD-10090</t>
  </si>
  <si>
    <t xml:space="preserve">  rohan mehta  </t>
  </si>
  <si>
    <t>rohan</t>
  </si>
  <si>
    <t>mehta</t>
  </si>
  <si>
    <t>P-1090</t>
  </si>
  <si>
    <t>ORD10091</t>
  </si>
  <si>
    <t>ORD-10091</t>
  </si>
  <si>
    <t>P-1191</t>
  </si>
  <si>
    <t>ORD10092</t>
  </si>
  <si>
    <t>ORD-10092</t>
  </si>
  <si>
    <t>P-1092</t>
  </si>
  <si>
    <t>ORD10093</t>
  </si>
  <si>
    <t>ORD-10093</t>
  </si>
  <si>
    <t>P-1093</t>
  </si>
  <si>
    <t>ORD10094</t>
  </si>
  <si>
    <t>ORD-10094</t>
  </si>
  <si>
    <t>P-1094</t>
  </si>
  <si>
    <t>ORD10095</t>
  </si>
  <si>
    <t>ORD-10095</t>
  </si>
  <si>
    <t>C1029</t>
  </si>
  <si>
    <t>P-1095</t>
  </si>
  <si>
    <t>ORD10096</t>
  </si>
  <si>
    <t>ORD-10096</t>
  </si>
  <si>
    <t>C1135</t>
  </si>
  <si>
    <t>P-1196</t>
  </si>
  <si>
    <t>ORD10097</t>
  </si>
  <si>
    <t>ORD-10097</t>
  </si>
  <si>
    <t>P-1197</t>
  </si>
  <si>
    <t>ORD10098</t>
  </si>
  <si>
    <t>ORD-10098</t>
  </si>
  <si>
    <t>C1017</t>
  </si>
  <si>
    <t>P-1098</t>
  </si>
  <si>
    <t>ORD10099</t>
  </si>
  <si>
    <t>ORD-10099</t>
  </si>
  <si>
    <t>P-1099</t>
  </si>
  <si>
    <t>ORD10100</t>
  </si>
  <si>
    <t>ORD-10100</t>
  </si>
  <si>
    <t>C1110</t>
  </si>
  <si>
    <t>P-11100</t>
  </si>
  <si>
    <t>ORD10101</t>
  </si>
  <si>
    <t>ORD-10101</t>
  </si>
  <si>
    <t>C1096</t>
  </si>
  <si>
    <t>P-10101</t>
  </si>
  <si>
    <t>ORD10102</t>
  </si>
  <si>
    <t>ORD-10102</t>
  </si>
  <si>
    <t>P-10102</t>
  </si>
  <si>
    <t>ORD10103</t>
  </si>
  <si>
    <t>ORD-10103</t>
  </si>
  <si>
    <t>P-11103</t>
  </si>
  <si>
    <t>ORD10104</t>
  </si>
  <si>
    <t>ORD-10104</t>
  </si>
  <si>
    <t>C1047</t>
  </si>
  <si>
    <t>P-10104</t>
  </si>
  <si>
    <t>ORD10105</t>
  </si>
  <si>
    <t>ORD-10105</t>
  </si>
  <si>
    <t>C1136</t>
  </si>
  <si>
    <t>P-11105</t>
  </si>
  <si>
    <t>ORD10106</t>
  </si>
  <si>
    <t>ORD-10106</t>
  </si>
  <si>
    <t>P-10106</t>
  </si>
  <si>
    <t>ORD10107</t>
  </si>
  <si>
    <t>ORD-10107</t>
  </si>
  <si>
    <t>P-11107</t>
  </si>
  <si>
    <t>ORD10108</t>
  </si>
  <si>
    <t>ORD-10108</t>
  </si>
  <si>
    <t>C1053</t>
  </si>
  <si>
    <t>P-10108</t>
  </si>
  <si>
    <t>ORD10109</t>
  </si>
  <si>
    <t>ORD-10109</t>
  </si>
  <si>
    <t xml:space="preserve"> Pune </t>
  </si>
  <si>
    <t>P-11109</t>
  </si>
  <si>
    <t>ORD10110</t>
  </si>
  <si>
    <t>ORD-10110</t>
  </si>
  <si>
    <t>P-11110</t>
  </si>
  <si>
    <t>ORD10111</t>
  </si>
  <si>
    <t>ORD-10111</t>
  </si>
  <si>
    <t>P-10111</t>
  </si>
  <si>
    <t>ORD10112</t>
  </si>
  <si>
    <t>ORD-10112</t>
  </si>
  <si>
    <t>P-10112</t>
  </si>
  <si>
    <t>ORD10113</t>
  </si>
  <si>
    <t>ORD-10113</t>
  </si>
  <si>
    <t>C1027</t>
  </si>
  <si>
    <t>P-10113</t>
  </si>
  <si>
    <t>ORD10114</t>
  </si>
  <si>
    <t>ORD-10114</t>
  </si>
  <si>
    <t>C1081</t>
  </si>
  <si>
    <t>P-10114</t>
  </si>
  <si>
    <t>ORD10115</t>
  </si>
  <si>
    <t>ORD-10115</t>
  </si>
  <si>
    <t>P-11115</t>
  </si>
  <si>
    <t>ORD10116</t>
  </si>
  <si>
    <t>ORD-10116</t>
  </si>
  <si>
    <t>C1147</t>
  </si>
  <si>
    <t>P-11116</t>
  </si>
  <si>
    <t>ORD10117</t>
  </si>
  <si>
    <t>ORD-10117</t>
  </si>
  <si>
    <t>P-10117</t>
  </si>
  <si>
    <t>ORD10118</t>
  </si>
  <si>
    <t>ORD-10118</t>
  </si>
  <si>
    <t>P-10118</t>
  </si>
  <si>
    <t>ORD10119</t>
  </si>
  <si>
    <t>ORD-10119</t>
  </si>
  <si>
    <t>P-10119</t>
  </si>
  <si>
    <t>ORD10120</t>
  </si>
  <si>
    <t>ORD-10120</t>
  </si>
  <si>
    <t>C1109</t>
  </si>
  <si>
    <t>P-11120</t>
  </si>
  <si>
    <t>ORD10121</t>
  </si>
  <si>
    <t>ORD-10121</t>
  </si>
  <si>
    <t>C1020</t>
  </si>
  <si>
    <t>P-10121</t>
  </si>
  <si>
    <t>ORD10122</t>
  </si>
  <si>
    <t>ORD-10122</t>
  </si>
  <si>
    <t>P-10122</t>
  </si>
  <si>
    <t>ORD10123</t>
  </si>
  <si>
    <t>ORD-10123</t>
  </si>
  <si>
    <t>P-10123</t>
  </si>
  <si>
    <t>ORD10124</t>
  </si>
  <si>
    <t>ORD-10124</t>
  </si>
  <si>
    <t>P-10124</t>
  </si>
  <si>
    <t>ORD10125</t>
  </si>
  <si>
    <t>ORD-10125</t>
  </si>
  <si>
    <t>P-10125</t>
  </si>
  <si>
    <t>ORD10126</t>
  </si>
  <si>
    <t>ORD-10126</t>
  </si>
  <si>
    <t>P-10126</t>
  </si>
  <si>
    <t>ORD10127</t>
  </si>
  <si>
    <t>ORD-10127</t>
  </si>
  <si>
    <t>P-10127</t>
  </si>
  <si>
    <t>ORD10128</t>
  </si>
  <si>
    <t>ORD-10128</t>
  </si>
  <si>
    <t>P-10128</t>
  </si>
  <si>
    <t>ORD10129</t>
  </si>
  <si>
    <t>ORD-10129</t>
  </si>
  <si>
    <t>P-11129</t>
  </si>
  <si>
    <t>ORD10130</t>
  </si>
  <si>
    <t>ORD-10130</t>
  </si>
  <si>
    <t>P-11130</t>
  </si>
  <si>
    <t>ORD10131</t>
  </si>
  <si>
    <t>ORD-10131</t>
  </si>
  <si>
    <t>P-11131</t>
  </si>
  <si>
    <t>ORD10132</t>
  </si>
  <si>
    <t>ORD-10132</t>
  </si>
  <si>
    <t>P-10132</t>
  </si>
  <si>
    <t>ORD10133</t>
  </si>
  <si>
    <t>ORD-10133</t>
  </si>
  <si>
    <t>P-11133</t>
  </si>
  <si>
    <t>ORD10134</t>
  </si>
  <si>
    <t>ORD-10134</t>
  </si>
  <si>
    <t xml:space="preserve"> Mumbai </t>
  </si>
  <si>
    <t>P-10134</t>
  </si>
  <si>
    <t>ORD10135</t>
  </si>
  <si>
    <t>ORD-10135</t>
  </si>
  <si>
    <t xml:space="preserve">  simran kaur  </t>
  </si>
  <si>
    <t>simran</t>
  </si>
  <si>
    <t>kaur</t>
  </si>
  <si>
    <t>P-10135</t>
  </si>
  <si>
    <t>ORD10136</t>
  </si>
  <si>
    <t>ORD-10136</t>
  </si>
  <si>
    <t>P-11136</t>
  </si>
  <si>
    <t>ORD10137</t>
  </si>
  <si>
    <t>ORD-10137</t>
  </si>
  <si>
    <t>C1115</t>
  </si>
  <si>
    <t>P-11137</t>
  </si>
  <si>
    <t>ORD10138</t>
  </si>
  <si>
    <t>ORD-10138</t>
  </si>
  <si>
    <t>P-10138</t>
  </si>
  <si>
    <t>ORD10139</t>
  </si>
  <si>
    <t>ORD-10139</t>
  </si>
  <si>
    <t>C1116</t>
  </si>
  <si>
    <t>P-11139</t>
  </si>
  <si>
    <t>ORD10140</t>
  </si>
  <si>
    <t>ORD-10140</t>
  </si>
  <si>
    <t>P-10140</t>
  </si>
  <si>
    <t>ORD10141</t>
  </si>
  <si>
    <t>ORD-10141</t>
  </si>
  <si>
    <t>P-10141</t>
  </si>
  <si>
    <t>ORD10142</t>
  </si>
  <si>
    <t>ORD-10142</t>
  </si>
  <si>
    <t>P-11142</t>
  </si>
  <si>
    <t>ORD10143</t>
  </si>
  <si>
    <t>ORD-10143</t>
  </si>
  <si>
    <t>P-10143</t>
  </si>
  <si>
    <t>ORD10144</t>
  </si>
  <si>
    <t>ORD-10144</t>
  </si>
  <si>
    <t>P-11144</t>
  </si>
  <si>
    <t>ORD10145</t>
  </si>
  <si>
    <t>ORD-10145</t>
  </si>
  <si>
    <t>P-11145</t>
  </si>
  <si>
    <t>ORD10146</t>
  </si>
  <si>
    <t>ORD-10146</t>
  </si>
  <si>
    <t>P-10146</t>
  </si>
  <si>
    <t>ORD10147</t>
  </si>
  <si>
    <t>ORD-10147</t>
  </si>
  <si>
    <t>C1129</t>
  </si>
  <si>
    <t>P-11147</t>
  </si>
  <si>
    <t>ORD10148</t>
  </si>
  <si>
    <t>ORD-10148</t>
  </si>
  <si>
    <t>P-10148</t>
  </si>
  <si>
    <t>ORD10149</t>
  </si>
  <si>
    <t>ORD-10149</t>
  </si>
  <si>
    <t>P-10149</t>
  </si>
  <si>
    <t>ORD10150</t>
  </si>
  <si>
    <t>ORD-10150</t>
  </si>
  <si>
    <t>P-10150</t>
  </si>
  <si>
    <t>ORD10151</t>
  </si>
  <si>
    <t>ORD-10151</t>
  </si>
  <si>
    <t>P-10151</t>
  </si>
  <si>
    <t>ORD10152</t>
  </si>
  <si>
    <t>ORD-10152</t>
  </si>
  <si>
    <t>P-11152</t>
  </si>
  <si>
    <t>ORD10153</t>
  </si>
  <si>
    <t>ORD-10153</t>
  </si>
  <si>
    <t>P-10153</t>
  </si>
  <si>
    <t>ORD10154</t>
  </si>
  <si>
    <t>ORD-10154</t>
  </si>
  <si>
    <t>P-10154</t>
  </si>
  <si>
    <t>ORD10155</t>
  </si>
  <si>
    <t>ORD-10155</t>
  </si>
  <si>
    <t>P-10155</t>
  </si>
  <si>
    <t>ORD10156</t>
  </si>
  <si>
    <t>ORD-10156</t>
  </si>
  <si>
    <t>P-11156</t>
  </si>
  <si>
    <t>ORD10157</t>
  </si>
  <si>
    <t>ORD-10157</t>
  </si>
  <si>
    <t>C1133</t>
  </si>
  <si>
    <t>P-11157</t>
  </si>
  <si>
    <t>ORD10158</t>
  </si>
  <si>
    <t>ORD-10158</t>
  </si>
  <si>
    <t>P-11158</t>
  </si>
  <si>
    <t>ORD10159</t>
  </si>
  <si>
    <t>ORD-10159</t>
  </si>
  <si>
    <t>C1150</t>
  </si>
  <si>
    <t>P-11159</t>
  </si>
  <si>
    <t>ORD10160</t>
  </si>
  <si>
    <t>ORD-10160</t>
  </si>
  <si>
    <t>P-10160</t>
  </si>
  <si>
    <t>ORD10161</t>
  </si>
  <si>
    <t>ORD-10161</t>
  </si>
  <si>
    <t>P-11161</t>
  </si>
  <si>
    <t>ORD10162</t>
  </si>
  <si>
    <t>ORD-10162</t>
  </si>
  <si>
    <t>P-10162</t>
  </si>
  <si>
    <t>ORD10163</t>
  </si>
  <si>
    <t>ORD-10163</t>
  </si>
  <si>
    <t>P-11163</t>
  </si>
  <si>
    <t>ORD10164</t>
  </si>
  <si>
    <t>ORD-10164</t>
  </si>
  <si>
    <t>P-10164</t>
  </si>
  <si>
    <t>ORD10165</t>
  </si>
  <si>
    <t>ORD-10165</t>
  </si>
  <si>
    <t>P-11165</t>
  </si>
  <si>
    <t>ORD10166</t>
  </si>
  <si>
    <t>ORD-10166</t>
  </si>
  <si>
    <t>P-10166</t>
  </si>
  <si>
    <t>ORD10167</t>
  </si>
  <si>
    <t>ORD-10167</t>
  </si>
  <si>
    <t>P-11167</t>
  </si>
  <si>
    <t>ORD10168</t>
  </si>
  <si>
    <t>ORD-10168</t>
  </si>
  <si>
    <t>P-11168</t>
  </si>
  <si>
    <t>ORD10169</t>
  </si>
  <si>
    <t>ORD-10169</t>
  </si>
  <si>
    <t>C1048</t>
  </si>
  <si>
    <t>P-10169</t>
  </si>
  <si>
    <t>ORD10170</t>
  </si>
  <si>
    <t>ORD-10170</t>
  </si>
  <si>
    <t>P-11170</t>
  </si>
  <si>
    <t>ORD10171</t>
  </si>
  <si>
    <t>ORD-10171</t>
  </si>
  <si>
    <t>C1146</t>
  </si>
  <si>
    <t>P-11171</t>
  </si>
  <si>
    <t>ORD10172</t>
  </si>
  <si>
    <t>ORD-10172</t>
  </si>
  <si>
    <t>P-10172</t>
  </si>
  <si>
    <t>ORD10173</t>
  </si>
  <si>
    <t>ORD-10173</t>
  </si>
  <si>
    <t>P-10173</t>
  </si>
  <si>
    <t>ORD10174</t>
  </si>
  <si>
    <t>ORD-10174</t>
  </si>
  <si>
    <t>C1095</t>
  </si>
  <si>
    <t>P-10174</t>
  </si>
  <si>
    <t>ORD10175</t>
  </si>
  <si>
    <t>ORD-10175</t>
  </si>
  <si>
    <t>C1021</t>
  </si>
  <si>
    <t>P-10175</t>
  </si>
  <si>
    <t>ORD10176</t>
  </si>
  <si>
    <t>ORD-10176</t>
  </si>
  <si>
    <t>C1084</t>
  </si>
  <si>
    <t>P-10176</t>
  </si>
  <si>
    <t>ORD10177</t>
  </si>
  <si>
    <t>ORD-10177</t>
  </si>
  <si>
    <t>C1034</t>
  </si>
  <si>
    <t>P-10177</t>
  </si>
  <si>
    <t>ORD10178</t>
  </si>
  <si>
    <t>ORD-10178</t>
  </si>
  <si>
    <t>C1149</t>
  </si>
  <si>
    <t>P-11178</t>
  </si>
  <si>
    <t>ORD10179</t>
  </si>
  <si>
    <t>ORD-10179</t>
  </si>
  <si>
    <t>P-10179</t>
  </si>
  <si>
    <t>ORD10180</t>
  </si>
  <si>
    <t>ORD-10180</t>
  </si>
  <si>
    <t>C1046</t>
  </si>
  <si>
    <t>P-10180</t>
  </si>
  <si>
    <t>ORD10181</t>
  </si>
  <si>
    <t>ORD-10181</t>
  </si>
  <si>
    <t>C1059</t>
  </si>
  <si>
    <t>P-10181</t>
  </si>
  <si>
    <t>ORD10182</t>
  </si>
  <si>
    <t>ORD-10182</t>
  </si>
  <si>
    <t>P-10182</t>
  </si>
  <si>
    <t>ORD10183</t>
  </si>
  <si>
    <t>ORD-10183</t>
  </si>
  <si>
    <t>P-11183</t>
  </si>
  <si>
    <t>ORD10184</t>
  </si>
  <si>
    <t>ORD-10184</t>
  </si>
  <si>
    <t>C1134</t>
  </si>
  <si>
    <t>P-11184</t>
  </si>
  <si>
    <t>ORD10185</t>
  </si>
  <si>
    <t>ORD-10185</t>
  </si>
  <si>
    <t>P-11185</t>
  </si>
  <si>
    <t>ORD10186</t>
  </si>
  <si>
    <t>ORD-10186</t>
  </si>
  <si>
    <t>P-10186</t>
  </si>
  <si>
    <t>ORD10187</t>
  </si>
  <si>
    <t>ORD-10187</t>
  </si>
  <si>
    <t>P-10187</t>
  </si>
  <si>
    <t>ORD10188</t>
  </si>
  <si>
    <t>ORD-10188</t>
  </si>
  <si>
    <t xml:space="preserve"> Jaipur </t>
  </si>
  <si>
    <t>P-10188</t>
  </si>
  <si>
    <t>ORD10189</t>
  </si>
  <si>
    <t>ORD-10189</t>
  </si>
  <si>
    <t>P-10189</t>
  </si>
  <si>
    <t>ORD10190</t>
  </si>
  <si>
    <t>ORD-10190</t>
  </si>
  <si>
    <t>C1132</t>
  </si>
  <si>
    <t>P-11190</t>
  </si>
  <si>
    <t>ORD10191</t>
  </si>
  <si>
    <t>ORD-10191</t>
  </si>
  <si>
    <t>C1038</t>
  </si>
  <si>
    <t>P-10191</t>
  </si>
  <si>
    <t>ORD10192</t>
  </si>
  <si>
    <t>ORD-10192</t>
  </si>
  <si>
    <t>P-11192</t>
  </si>
  <si>
    <t>ORD10193</t>
  </si>
  <si>
    <t>ORD-10193</t>
  </si>
  <si>
    <t>P-10193</t>
  </si>
  <si>
    <t>ORD10194</t>
  </si>
  <si>
    <t>ORD-10194</t>
  </si>
  <si>
    <t>P-10194</t>
  </si>
  <si>
    <t>ORD10195</t>
  </si>
  <si>
    <t>ORD-10195</t>
  </si>
  <si>
    <t>C1005</t>
  </si>
  <si>
    <t>P-10195</t>
  </si>
  <si>
    <t>ORD10196</t>
  </si>
  <si>
    <t>ORD-10196</t>
  </si>
  <si>
    <t>P-10196</t>
  </si>
  <si>
    <t>ORD10197</t>
  </si>
  <si>
    <t>ORD-10197</t>
  </si>
  <si>
    <t>P-10197</t>
  </si>
  <si>
    <t>ORD10198</t>
  </si>
  <si>
    <t>ORD-10198</t>
  </si>
  <si>
    <t>P-11198</t>
  </si>
  <si>
    <t>ORD10199</t>
  </si>
  <si>
    <t>ORD-10199</t>
  </si>
  <si>
    <t>P-10199</t>
  </si>
  <si>
    <t>ORD10200</t>
  </si>
  <si>
    <t>ORD-10200</t>
  </si>
  <si>
    <t>C1054</t>
  </si>
  <si>
    <t>P-10200</t>
  </si>
  <si>
    <t>ORD10201</t>
  </si>
  <si>
    <t>ORD-10201</t>
  </si>
  <si>
    <t xml:space="preserve"> Delhi </t>
  </si>
  <si>
    <t>P-10201</t>
  </si>
  <si>
    <t>ORD10202</t>
  </si>
  <si>
    <t>ORD-10202</t>
  </si>
  <si>
    <t>C1008</t>
  </si>
  <si>
    <t>P-10202</t>
  </si>
  <si>
    <t>ORD10203</t>
  </si>
  <si>
    <t>ORD-10203</t>
  </si>
  <si>
    <t>P-10203</t>
  </si>
  <si>
    <t>ORD10204</t>
  </si>
  <si>
    <t>ORD-10204</t>
  </si>
  <si>
    <t>C1002</t>
  </si>
  <si>
    <t>P-10204</t>
  </si>
  <si>
    <t>ORD10205</t>
  </si>
  <si>
    <t>ORD-10205</t>
  </si>
  <si>
    <t>C1007</t>
  </si>
  <si>
    <t>P-10205</t>
  </si>
  <si>
    <t>ORD10206</t>
  </si>
  <si>
    <t>ORD-10206</t>
  </si>
  <si>
    <t>C1144</t>
  </si>
  <si>
    <t>P-11206</t>
  </si>
  <si>
    <t>ORD10207</t>
  </si>
  <si>
    <t>ORD-10207</t>
  </si>
  <si>
    <t>P-10207</t>
  </si>
  <si>
    <t>ORD10208</t>
  </si>
  <si>
    <t>ORD-10208</t>
  </si>
  <si>
    <t>P-11208</t>
  </si>
  <si>
    <t>ORD10209</t>
  </si>
  <si>
    <t>ORD-10209</t>
  </si>
  <si>
    <t>C1077</t>
  </si>
  <si>
    <t>P-10209</t>
  </si>
  <si>
    <t>ORD10210</t>
  </si>
  <si>
    <t>ORD-10210</t>
  </si>
  <si>
    <t>P-10210</t>
  </si>
  <si>
    <t>ORD10211</t>
  </si>
  <si>
    <t>ORD-10211</t>
  </si>
  <si>
    <t>P-10211</t>
  </si>
  <si>
    <t>ORD10212</t>
  </si>
  <si>
    <t>ORD-10212</t>
  </si>
  <si>
    <t>C1097</t>
  </si>
  <si>
    <t>P-10212</t>
  </si>
  <si>
    <t>ORD10213</t>
  </si>
  <si>
    <t>ORD-10213</t>
  </si>
  <si>
    <t>P-10213</t>
  </si>
  <si>
    <t>ORD10214</t>
  </si>
  <si>
    <t>ORD-10214</t>
  </si>
  <si>
    <t>C1067</t>
  </si>
  <si>
    <t>P-10214</t>
  </si>
  <si>
    <t>ORD10215</t>
  </si>
  <si>
    <t>ORD-10215</t>
  </si>
  <si>
    <t>P-10215</t>
  </si>
  <si>
    <t>ORD10216</t>
  </si>
  <si>
    <t>ORD-10216</t>
  </si>
  <si>
    <t>P-10216</t>
  </si>
  <si>
    <t>ORD10217</t>
  </si>
  <si>
    <t>ORD-10217</t>
  </si>
  <si>
    <t>C1006</t>
  </si>
  <si>
    <t>P-10217</t>
  </si>
  <si>
    <t>ORD10218</t>
  </si>
  <si>
    <t>ORD-10218</t>
  </si>
  <si>
    <t>P-10218</t>
  </si>
  <si>
    <t>ORD10219</t>
  </si>
  <si>
    <t>ORD-10219</t>
  </si>
  <si>
    <t>P-10219</t>
  </si>
  <si>
    <t>ORD10220</t>
  </si>
  <si>
    <t>ORD-10220</t>
  </si>
  <si>
    <t>P-10220</t>
  </si>
  <si>
    <t>ORD10221</t>
  </si>
  <si>
    <t>ORD-10221</t>
  </si>
  <si>
    <t>P-10221</t>
  </si>
  <si>
    <t>ORD10222</t>
  </si>
  <si>
    <t>ORD-10222</t>
  </si>
  <si>
    <t>P-10222</t>
  </si>
  <si>
    <t>ORD10223</t>
  </si>
  <si>
    <t>ORD-10223</t>
  </si>
  <si>
    <t>P-11223</t>
  </si>
  <si>
    <t>ORD10224</t>
  </si>
  <si>
    <t>ORD-10224</t>
  </si>
  <si>
    <t>P-11224</t>
  </si>
  <si>
    <t>ORD10225</t>
  </si>
  <si>
    <t>ORD-10225</t>
  </si>
  <si>
    <t>C1075</t>
  </si>
  <si>
    <t>P-10225</t>
  </si>
  <si>
    <t>ORD10226</t>
  </si>
  <si>
    <t>ORD-10226</t>
  </si>
  <si>
    <t>P-11226</t>
  </si>
  <si>
    <t>ORD10227</t>
  </si>
  <si>
    <t>ORD-10227</t>
  </si>
  <si>
    <t>P-10227</t>
  </si>
  <si>
    <t>ORD10228</t>
  </si>
  <si>
    <t>ORD-10228</t>
  </si>
  <si>
    <t>P-10228</t>
  </si>
  <si>
    <t>ORD10229</t>
  </si>
  <si>
    <t>ORD-10229</t>
  </si>
  <si>
    <t>P-10229</t>
  </si>
  <si>
    <t>ORD10230</t>
  </si>
  <si>
    <t>ORD-10230</t>
  </si>
  <si>
    <t>P-11230</t>
  </si>
  <si>
    <t>ORD10231</t>
  </si>
  <si>
    <t>ORD-10231</t>
  </si>
  <si>
    <t>P-11231</t>
  </si>
  <si>
    <t>ORD10232</t>
  </si>
  <si>
    <t>ORD-10232</t>
  </si>
  <si>
    <t>P-11232</t>
  </si>
  <si>
    <t>ORD10233</t>
  </si>
  <si>
    <t>ORD-10233</t>
  </si>
  <si>
    <t>P-10233</t>
  </si>
  <si>
    <t>ORD10234</t>
  </si>
  <si>
    <t>ORD-10234</t>
  </si>
  <si>
    <t>C1041</t>
  </si>
  <si>
    <t>P-10234</t>
  </si>
  <si>
    <t>ORD10235</t>
  </si>
  <si>
    <t>ORD-10235</t>
  </si>
  <si>
    <t>P-11235</t>
  </si>
  <si>
    <t>ORD10236</t>
  </si>
  <si>
    <t>ORD-10236</t>
  </si>
  <si>
    <t>C1031</t>
  </si>
  <si>
    <t>P-10236</t>
  </si>
  <si>
    <t>ORD10237</t>
  </si>
  <si>
    <t>ORD-10237</t>
  </si>
  <si>
    <t>P-10237</t>
  </si>
  <si>
    <t>ORD10238</t>
  </si>
  <si>
    <t>ORD-10238</t>
  </si>
  <si>
    <t>C1106</t>
  </si>
  <si>
    <t>P-11238</t>
  </si>
  <si>
    <t>ORD10239</t>
  </si>
  <si>
    <t>ORD-10239</t>
  </si>
  <si>
    <t>P-10239</t>
  </si>
  <si>
    <t>ORD10240</t>
  </si>
  <si>
    <t>ORD-10240</t>
  </si>
  <si>
    <t>C1076</t>
  </si>
  <si>
    <t>P-10240</t>
  </si>
  <si>
    <t>ORD10241</t>
  </si>
  <si>
    <t>ORD-10241</t>
  </si>
  <si>
    <t>C1100</t>
  </si>
  <si>
    <t>P-11241</t>
  </si>
  <si>
    <t>ORD10242</t>
  </si>
  <si>
    <t>ORD-10242</t>
  </si>
  <si>
    <t>P-10242</t>
  </si>
  <si>
    <t>ORD10243</t>
  </si>
  <si>
    <t>ORD-10243</t>
  </si>
  <si>
    <t>P-10243</t>
  </si>
  <si>
    <t>ORD10244</t>
  </si>
  <si>
    <t>ORD-10244</t>
  </si>
  <si>
    <t>P-10244</t>
  </si>
  <si>
    <t>ORD10245</t>
  </si>
  <si>
    <t>ORD-10245</t>
  </si>
  <si>
    <t>P-10245</t>
  </si>
  <si>
    <t>ORD10246</t>
  </si>
  <si>
    <t>ORD-10246</t>
  </si>
  <si>
    <t>P-10246</t>
  </si>
  <si>
    <t>ORD10247</t>
  </si>
  <si>
    <t>ORD-10247</t>
  </si>
  <si>
    <t>C1128</t>
  </si>
  <si>
    <t>P-11247</t>
  </si>
  <si>
    <t>ORD10248</t>
  </si>
  <si>
    <t>ORD-10248</t>
  </si>
  <si>
    <t>P-10248</t>
  </si>
  <si>
    <t>ORD10249</t>
  </si>
  <si>
    <t>ORD-10249</t>
  </si>
  <si>
    <t>P-10249</t>
  </si>
  <si>
    <t>ORD10250</t>
  </si>
  <si>
    <t>ORD-10250</t>
  </si>
  <si>
    <t>P-10250</t>
  </si>
  <si>
    <t>ORD10251</t>
  </si>
  <si>
    <t>ORD-10251</t>
  </si>
  <si>
    <t>P-11251</t>
  </si>
  <si>
    <t>ORD10252</t>
  </si>
  <si>
    <t>ORD-10252</t>
  </si>
  <si>
    <t>P-11252</t>
  </si>
  <si>
    <t>ORD10253</t>
  </si>
  <si>
    <t>ORD-10253</t>
  </si>
  <si>
    <t>P-11253</t>
  </si>
  <si>
    <t>ORD10254</t>
  </si>
  <si>
    <t>ORD-10254</t>
  </si>
  <si>
    <t>P-11254</t>
  </si>
  <si>
    <t>ORD10255</t>
  </si>
  <si>
    <t>ORD-10255</t>
  </si>
  <si>
    <t>P-10255</t>
  </si>
  <si>
    <t>ORD10256</t>
  </si>
  <si>
    <t>ORD-10256</t>
  </si>
  <si>
    <t>P-10256</t>
  </si>
  <si>
    <t>ORD10257</t>
  </si>
  <si>
    <t>ORD-10257</t>
  </si>
  <si>
    <t>P-10257</t>
  </si>
  <si>
    <t>ORD10258</t>
  </si>
  <si>
    <t>ORD-10258</t>
  </si>
  <si>
    <t>P-10258</t>
  </si>
  <si>
    <t>ORD10259</t>
  </si>
  <si>
    <t>ORD-10259</t>
  </si>
  <si>
    <t>C1004</t>
  </si>
  <si>
    <t>P-10259</t>
  </si>
  <si>
    <t>ORD10260</t>
  </si>
  <si>
    <t>ORD-10260</t>
  </si>
  <si>
    <t xml:space="preserve">  karan patel  </t>
  </si>
  <si>
    <t>karan</t>
  </si>
  <si>
    <t>patel</t>
  </si>
  <si>
    <t>P-10260</t>
  </si>
  <si>
    <t>ORD10261</t>
  </si>
  <si>
    <t>ORD-10261</t>
  </si>
  <si>
    <t>P-11261</t>
  </si>
  <si>
    <t>ORD10262</t>
  </si>
  <si>
    <t>ORD-10262</t>
  </si>
  <si>
    <t>P-10262</t>
  </si>
  <si>
    <t>ORD10263</t>
  </si>
  <si>
    <t>ORD-10263</t>
  </si>
  <si>
    <t>P-11263</t>
  </si>
  <si>
    <t>ORD10264</t>
  </si>
  <si>
    <t>ORD-10264</t>
  </si>
  <si>
    <t>P-10264</t>
  </si>
  <si>
    <t>ORD10265</t>
  </si>
  <si>
    <t>ORD-10265</t>
  </si>
  <si>
    <t>P-10265</t>
  </si>
  <si>
    <t>ORD10266</t>
  </si>
  <si>
    <t>ORD-10266</t>
  </si>
  <si>
    <t>P-10266</t>
  </si>
  <si>
    <t>ORD10267</t>
  </si>
  <si>
    <t>ORD-10267</t>
  </si>
  <si>
    <t>P-10267</t>
  </si>
  <si>
    <t>ORD10268</t>
  </si>
  <si>
    <t>ORD-10268</t>
  </si>
  <si>
    <t>P-10268</t>
  </si>
  <si>
    <t>ORD10269</t>
  </si>
  <si>
    <t>ORD-10269</t>
  </si>
  <si>
    <t>P-10269</t>
  </si>
  <si>
    <t>ORD10270</t>
  </si>
  <si>
    <t>ORD-10270</t>
  </si>
  <si>
    <t>P-10270</t>
  </si>
  <si>
    <t>ORD10271</t>
  </si>
  <si>
    <t>ORD-10271</t>
  </si>
  <si>
    <t>P-10271</t>
  </si>
  <si>
    <t>ORD10272</t>
  </si>
  <si>
    <t>ORD-10272</t>
  </si>
  <si>
    <t>C1043</t>
  </si>
  <si>
    <t>P-10272</t>
  </si>
  <si>
    <t>ORD10273</t>
  </si>
  <si>
    <t>ORD-10273</t>
  </si>
  <si>
    <t>P-10273</t>
  </si>
  <si>
    <t>ORD10274</t>
  </si>
  <si>
    <t>ORD-10274</t>
  </si>
  <si>
    <t>P-11274</t>
  </si>
  <si>
    <t>ORD10275</t>
  </si>
  <si>
    <t>ORD-10275</t>
  </si>
  <si>
    <t>C1088</t>
  </si>
  <si>
    <t>P-10275</t>
  </si>
  <si>
    <t>ORD10276</t>
  </si>
  <si>
    <t>ORD-10276</t>
  </si>
  <si>
    <t xml:space="preserve">  meera nair  </t>
  </si>
  <si>
    <t>meera</t>
  </si>
  <si>
    <t>nair</t>
  </si>
  <si>
    <t>P-10276</t>
  </si>
  <si>
    <t>ORD10277</t>
  </si>
  <si>
    <t>ORD-10277</t>
  </si>
  <si>
    <t>P-10277</t>
  </si>
  <si>
    <t>ORD10278</t>
  </si>
  <si>
    <t>ORD-10278</t>
  </si>
  <si>
    <t>P-10278</t>
  </si>
  <si>
    <t>ORD10279</t>
  </si>
  <si>
    <t>ORD-10279</t>
  </si>
  <si>
    <t>P-11279</t>
  </si>
  <si>
    <t>ORD10280</t>
  </si>
  <si>
    <t>ORD-10280</t>
  </si>
  <si>
    <t>P-11280</t>
  </si>
  <si>
    <t>ORD10281</t>
  </si>
  <si>
    <t>ORD-10281</t>
  </si>
  <si>
    <t>P-10281</t>
  </si>
  <si>
    <t>ORD10282</t>
  </si>
  <si>
    <t>ORD-10282</t>
  </si>
  <si>
    <t>P-11282</t>
  </si>
  <si>
    <t>ORD10283</t>
  </si>
  <si>
    <t>ORD-10283</t>
  </si>
  <si>
    <t>C1050</t>
  </si>
  <si>
    <t xml:space="preserve"> Kolkata </t>
  </si>
  <si>
    <t>P-10283</t>
  </si>
  <si>
    <t>ORD10284</t>
  </si>
  <si>
    <t>ORD-10284</t>
  </si>
  <si>
    <t>P-11284</t>
  </si>
  <si>
    <t>ORD10285</t>
  </si>
  <si>
    <t>ORD-10285</t>
  </si>
  <si>
    <t>P-10285</t>
  </si>
  <si>
    <t>ORD10286</t>
  </si>
  <si>
    <t>ORD-10286</t>
  </si>
  <si>
    <t>P-11286</t>
  </si>
  <si>
    <t>ORD10287</t>
  </si>
  <si>
    <t>ORD-10287</t>
  </si>
  <si>
    <t>P-10287</t>
  </si>
  <si>
    <t>ORD10288</t>
  </si>
  <si>
    <t>ORD-10288</t>
  </si>
  <si>
    <t>P-10288</t>
  </si>
  <si>
    <t>ORD10289</t>
  </si>
  <si>
    <t>ORD-10289</t>
  </si>
  <si>
    <t>P-11289</t>
  </si>
  <si>
    <t>ORD10290</t>
  </si>
  <si>
    <t>ORD-10290</t>
  </si>
  <si>
    <t>P-10290</t>
  </si>
  <si>
    <t>ORD10291</t>
  </si>
  <si>
    <t>ORD-10291</t>
  </si>
  <si>
    <t>P-10291</t>
  </si>
  <si>
    <t>ORD10292</t>
  </si>
  <si>
    <t>ORD-10292</t>
  </si>
  <si>
    <t>P-10292</t>
  </si>
  <si>
    <t>ORD10293</t>
  </si>
  <si>
    <t>ORD-10293</t>
  </si>
  <si>
    <t>C1105</t>
  </si>
  <si>
    <t>P-11293</t>
  </si>
  <si>
    <t>ORD10294</t>
  </si>
  <si>
    <t>ORD-10294</t>
  </si>
  <si>
    <t>P-10294</t>
  </si>
  <si>
    <t>ORD10295</t>
  </si>
  <si>
    <t>ORD-10295</t>
  </si>
  <si>
    <t>P-11295</t>
  </si>
  <si>
    <t>ORD10296</t>
  </si>
  <si>
    <t>ORD-10296</t>
  </si>
  <si>
    <t>P-10296</t>
  </si>
  <si>
    <t>ORD10297</t>
  </si>
  <si>
    <t>ORD-10297</t>
  </si>
  <si>
    <t xml:space="preserve">  kavya shah  </t>
  </si>
  <si>
    <t>kavya</t>
  </si>
  <si>
    <t>shah</t>
  </si>
  <si>
    <t>P-10297</t>
  </si>
  <si>
    <t>ORD10298</t>
  </si>
  <si>
    <t>ORD-10298</t>
  </si>
  <si>
    <t>C1092</t>
  </si>
  <si>
    <t>P-10298</t>
  </si>
  <si>
    <t>ORD10299</t>
  </si>
  <si>
    <t>ORD-10299</t>
  </si>
  <si>
    <t>P-10299</t>
  </si>
  <si>
    <t>ORD10300</t>
  </si>
  <si>
    <t>ORD-10300</t>
  </si>
  <si>
    <t>P-10300</t>
  </si>
  <si>
    <t>ORD10301</t>
  </si>
  <si>
    <t>ORD-10301</t>
  </si>
  <si>
    <t>P-11301</t>
  </si>
  <si>
    <t>ORD10302</t>
  </si>
  <si>
    <t>ORD-10302</t>
  </si>
  <si>
    <t>P-11302</t>
  </si>
  <si>
    <t>ORD10303</t>
  </si>
  <si>
    <t>ORD-10303</t>
  </si>
  <si>
    <t>C1023</t>
  </si>
  <si>
    <t>P-10303</t>
  </si>
  <si>
    <t>ORD10304</t>
  </si>
  <si>
    <t>ORD-10304</t>
  </si>
  <si>
    <t>P-10304</t>
  </si>
  <si>
    <t>ORD10305</t>
  </si>
  <si>
    <t>ORD-10305</t>
  </si>
  <si>
    <t>P-10305</t>
  </si>
  <si>
    <t>ORD10306</t>
  </si>
  <si>
    <t>ORD-10306</t>
  </si>
  <si>
    <t>P-10306</t>
  </si>
  <si>
    <t>ORD10307</t>
  </si>
  <si>
    <t>ORD-10307</t>
  </si>
  <si>
    <t>P-10307</t>
  </si>
  <si>
    <t>ORD10308</t>
  </si>
  <si>
    <t>ORD-10308</t>
  </si>
  <si>
    <t>P-10308</t>
  </si>
  <si>
    <t>ORD10309</t>
  </si>
  <si>
    <t>ORD-10309</t>
  </si>
  <si>
    <t>P-10309</t>
  </si>
  <si>
    <t>ORD10310</t>
  </si>
  <si>
    <t>ORD-10310</t>
  </si>
  <si>
    <t>P-10310</t>
  </si>
  <si>
    <t>ORD10311</t>
  </si>
  <si>
    <t>ORD-10311</t>
  </si>
  <si>
    <t xml:space="preserve">  priya verma  </t>
  </si>
  <si>
    <t>priya</t>
  </si>
  <si>
    <t>verma</t>
  </si>
  <si>
    <t>P-10311</t>
  </si>
  <si>
    <t>ORD10312</t>
  </si>
  <si>
    <t>ORD-10312</t>
  </si>
  <si>
    <t>P-11312</t>
  </si>
  <si>
    <t>ORD10313</t>
  </si>
  <si>
    <t>ORD-10313</t>
  </si>
  <si>
    <t>P-11313</t>
  </si>
  <si>
    <t>ORD10314</t>
  </si>
  <si>
    <t>ORD-10314</t>
  </si>
  <si>
    <t>P-10314</t>
  </si>
  <si>
    <t>ORD10315</t>
  </si>
  <si>
    <t>ORD-10315</t>
  </si>
  <si>
    <t>P-11315</t>
  </si>
  <si>
    <t>ORD10316</t>
  </si>
  <si>
    <t>ORD-10316</t>
  </si>
  <si>
    <t>P-10316</t>
  </si>
  <si>
    <t>ORD10317</t>
  </si>
  <si>
    <t>ORD-10317</t>
  </si>
  <si>
    <t>P-11317</t>
  </si>
  <si>
    <t>ORD10318</t>
  </si>
  <si>
    <t>ORD-10318</t>
  </si>
  <si>
    <t>P-11318</t>
  </si>
  <si>
    <t>ORD10319</t>
  </si>
  <si>
    <t>ORD-10319</t>
  </si>
  <si>
    <t>P-11319</t>
  </si>
  <si>
    <t>ORD10320</t>
  </si>
  <si>
    <t>ORD-10320</t>
  </si>
  <si>
    <t>P-10320</t>
  </si>
  <si>
    <t>ORD10321</t>
  </si>
  <si>
    <t>ORD-10321</t>
  </si>
  <si>
    <t xml:space="preserve">  isha kapoor  </t>
  </si>
  <si>
    <t>isha</t>
  </si>
  <si>
    <t>kapoor</t>
  </si>
  <si>
    <t>P-11321</t>
  </si>
  <si>
    <t>ORD10322</t>
  </si>
  <si>
    <t>ORD-10322</t>
  </si>
  <si>
    <t>C1094</t>
  </si>
  <si>
    <t>P-10322</t>
  </si>
  <si>
    <t>ORD10323</t>
  </si>
  <si>
    <t>ORD-10323</t>
  </si>
  <si>
    <t>P-10323</t>
  </si>
  <si>
    <t>ORD10324</t>
  </si>
  <si>
    <t>ORD-10324</t>
  </si>
  <si>
    <t xml:space="preserve">  vikas yadav  </t>
  </si>
  <si>
    <t>vikas</t>
  </si>
  <si>
    <t>yadav</t>
  </si>
  <si>
    <t>P-10324</t>
  </si>
  <si>
    <t>ORD10325</t>
  </si>
  <si>
    <t>ORD-10325</t>
  </si>
  <si>
    <t>C1107</t>
  </si>
  <si>
    <t>P-11325</t>
  </si>
  <si>
    <t>ORD10326</t>
  </si>
  <si>
    <t>ORD-10326</t>
  </si>
  <si>
    <t>P-11326</t>
  </si>
  <si>
    <t>ORD10327</t>
  </si>
  <si>
    <t>ORD-10327</t>
  </si>
  <si>
    <t>P-11327</t>
  </si>
  <si>
    <t>ORD10328</t>
  </si>
  <si>
    <t>ORD-10328</t>
  </si>
  <si>
    <t>P-11328</t>
  </si>
  <si>
    <t>ORD10329</t>
  </si>
  <si>
    <t>ORD-10329</t>
  </si>
  <si>
    <t>C1091</t>
  </si>
  <si>
    <t>P-10329</t>
  </si>
  <si>
    <t>ORD10330</t>
  </si>
  <si>
    <t>ORD-10330</t>
  </si>
  <si>
    <t>P-10330</t>
  </si>
  <si>
    <t>ORD10331</t>
  </si>
  <si>
    <t>ORD-10331</t>
  </si>
  <si>
    <t xml:space="preserve">  riya agarwal  </t>
  </si>
  <si>
    <t>riya</t>
  </si>
  <si>
    <t>agarwal</t>
  </si>
  <si>
    <t>P-10331</t>
  </si>
  <si>
    <t>ORD10332</t>
  </si>
  <si>
    <t>ORD-10332</t>
  </si>
  <si>
    <t>P-10332</t>
  </si>
  <si>
    <t>ORD10333</t>
  </si>
  <si>
    <t>ORD-10333</t>
  </si>
  <si>
    <t>P-11333</t>
  </si>
  <si>
    <t>ORD10334</t>
  </si>
  <si>
    <t>ORD-10334</t>
  </si>
  <si>
    <t>P-10334</t>
  </si>
  <si>
    <t>ORD10335</t>
  </si>
  <si>
    <t>ORD-10335</t>
  </si>
  <si>
    <t>C1040</t>
  </si>
  <si>
    <t>P-10335</t>
  </si>
  <si>
    <t>ORD10336</t>
  </si>
  <si>
    <t>ORD-10336</t>
  </si>
  <si>
    <t>P-10336</t>
  </si>
  <si>
    <t>ORD10337</t>
  </si>
  <si>
    <t>ORD-10337</t>
  </si>
  <si>
    <t>C1085</t>
  </si>
  <si>
    <t>P-10337</t>
  </si>
  <si>
    <t>ORD10338</t>
  </si>
  <si>
    <t>ORD-10338</t>
  </si>
  <si>
    <t>P-10338</t>
  </si>
  <si>
    <t>ORD10339</t>
  </si>
  <si>
    <t>ORD-10339</t>
  </si>
  <si>
    <t>P-10339</t>
  </si>
  <si>
    <t>ORD10340</t>
  </si>
  <si>
    <t>ORD-10340</t>
  </si>
  <si>
    <t>P-10340</t>
  </si>
  <si>
    <t>ORD10341</t>
  </si>
  <si>
    <t>ORD-10341</t>
  </si>
  <si>
    <t>P-10341</t>
  </si>
  <si>
    <t>ORD10342</t>
  </si>
  <si>
    <t>ORD-10342</t>
  </si>
  <si>
    <t>P-11342</t>
  </si>
  <si>
    <t>ORD10343</t>
  </si>
  <si>
    <t>ORD-10343</t>
  </si>
  <si>
    <t>P-11343</t>
  </si>
  <si>
    <t>ORD10344</t>
  </si>
  <si>
    <t>ORD-10344</t>
  </si>
  <si>
    <t>P-10344</t>
  </si>
  <si>
    <t>ORD10345</t>
  </si>
  <si>
    <t>ORD-10345</t>
  </si>
  <si>
    <t>P-11345</t>
  </si>
  <si>
    <t>ORD10346</t>
  </si>
  <si>
    <t>ORD-10346</t>
  </si>
  <si>
    <t>P-10346</t>
  </si>
  <si>
    <t>ORD10347</t>
  </si>
  <si>
    <t>ORD-10347</t>
  </si>
  <si>
    <t>P-11347</t>
  </si>
  <si>
    <t>ORD10348</t>
  </si>
  <si>
    <t>ORD-10348</t>
  </si>
  <si>
    <t>C1073</t>
  </si>
  <si>
    <t>P-10348</t>
  </si>
  <si>
    <t>ORD10349</t>
  </si>
  <si>
    <t>ORD-10349</t>
  </si>
  <si>
    <t>P-11349</t>
  </si>
  <si>
    <t>ORD10350</t>
  </si>
  <si>
    <t>ORD-10350</t>
  </si>
  <si>
    <t>P-11350</t>
  </si>
  <si>
    <t>ORD10351</t>
  </si>
  <si>
    <t>P-10351</t>
  </si>
  <si>
    <t>ORD10352</t>
  </si>
  <si>
    <t>P-11352</t>
  </si>
  <si>
    <t>ORD10353</t>
  </si>
  <si>
    <t>P-10353</t>
  </si>
  <si>
    <t>ORD10354</t>
  </si>
  <si>
    <t>P-10354</t>
  </si>
  <si>
    <t>ORD10355</t>
  </si>
  <si>
    <t>P-10355</t>
  </si>
  <si>
    <t>List_Price</t>
  </si>
  <si>
    <t>Cost_Price</t>
  </si>
  <si>
    <t>XLOOKUP2</t>
  </si>
  <si>
    <t>LEFT LOOKUP</t>
  </si>
  <si>
    <t>C1000</t>
  </si>
  <si>
    <t>Customer_Type</t>
  </si>
  <si>
    <t>Age</t>
  </si>
  <si>
    <t>Gender</t>
  </si>
  <si>
    <t>CUSTOMER MASTER</t>
  </si>
  <si>
    <t>VIP</t>
  </si>
  <si>
    <t>Male</t>
  </si>
  <si>
    <t>New</t>
  </si>
  <si>
    <t>Female</t>
  </si>
  <si>
    <t>C1009</t>
  </si>
  <si>
    <t>Returning</t>
  </si>
  <si>
    <t>C1025</t>
  </si>
  <si>
    <t>C1033</t>
  </si>
  <si>
    <t>C1044</t>
  </si>
  <si>
    <t>C1051</t>
  </si>
  <si>
    <t>C1065</t>
  </si>
  <si>
    <t>C1069</t>
  </si>
  <si>
    <t>C1078</t>
  </si>
  <si>
    <t>C1079</t>
  </si>
  <si>
    <t>C1080</t>
  </si>
  <si>
    <t>C1101</t>
  </si>
  <si>
    <t>C1120</t>
  </si>
  <si>
    <t>C1122</t>
  </si>
  <si>
    <t>C1124</t>
  </si>
  <si>
    <t>C1138</t>
  </si>
  <si>
    <t>EXCEL MASTER PRACTICE SET</t>
  </si>
  <si>
    <t>Complete these yourself. Ask me when you get stuck.</t>
  </si>
  <si>
    <t>Cleaning &amp; Data Quality</t>
  </si>
  <si>
    <t>1.</t>
  </si>
  <si>
    <t>Find the number of rows and columns.</t>
  </si>
  <si>
    <t>2.</t>
  </si>
  <si>
    <t>Identify duplicate Order_IDs.</t>
  </si>
  <si>
    <t>3.</t>
  </si>
  <si>
    <t>Count blank Rating cells.</t>
  </si>
  <si>
    <t>4.</t>
  </si>
  <si>
    <t>Find Customer_Name values with extra spaces.</t>
  </si>
  <si>
    <t>5.</t>
  </si>
  <si>
    <t>Clean Customer_Name using TRIM and PROPER.</t>
  </si>
  <si>
    <t>6.</t>
  </si>
  <si>
    <t>Clean City using TRIM.</t>
  </si>
  <si>
    <t>7.</t>
  </si>
  <si>
    <t>Convert any number-like text to numbers.</t>
  </si>
  <si>
    <t>8.</t>
  </si>
  <si>
    <t>Apply correct date, currency and percentage formats.</t>
  </si>
  <si>
    <t>AutoFill / Flash Fill / Text to Columns</t>
  </si>
  <si>
    <t>Use AutoFill to create a helper sequence.</t>
  </si>
  <si>
    <t>Use Flash Fill to extract first names from Customer_Name.</t>
  </si>
  <si>
    <t>Use Text to Columns on a copied Customer_Name using space as delimiter.</t>
  </si>
  <si>
    <t>Create Year from Order_Date and AutoFill.</t>
  </si>
  <si>
    <t>Create Month from Order_Date and AutoFill.</t>
  </si>
  <si>
    <t>Data Validation / Conditional Formatting</t>
  </si>
  <si>
    <t>Create a Payment_Mode dropdown.</t>
  </si>
  <si>
    <t>Allow Quantity only as whole numbers from 1 to 5.</t>
  </si>
  <si>
    <t>Allow Rating only from 1 to 5.</t>
  </si>
  <si>
    <t>Highlight negative Profit.</t>
  </si>
  <si>
    <t>Highlight Sales_Amount above its average.</t>
  </si>
  <si>
    <t>Highlight duplicate Customer_IDs.</t>
  </si>
  <si>
    <t>Practice suitable number/date/currency/percentage formatting.</t>
  </si>
  <si>
    <t>Create a merged report title area.</t>
  </si>
  <si>
    <t>Text Functions</t>
  </si>
  <si>
    <t>CONCATENATE Customer_ID and Customer_Name.</t>
  </si>
  <si>
    <t>LOWER Customer_Name.</t>
  </si>
  <si>
    <t>UPPER Customer_Name.</t>
  </si>
  <si>
    <t>PROPER Customer_Name.</t>
  </si>
  <si>
    <t>LEN Customer_Name.</t>
  </si>
  <si>
    <t>LEFT first 3 characters of Product_ID.</t>
  </si>
  <si>
    <t>RIGHT last 3 characters of Product_ID.</t>
  </si>
  <si>
    <t>MID characters from Product_ID.</t>
  </si>
  <si>
    <t>9.</t>
  </si>
  <si>
    <t>FIND the space in a clean Customer_Name.</t>
  </si>
  <si>
    <t>10.</t>
  </si>
  <si>
    <t>SEARCH for 'a' in Customer_Name.</t>
  </si>
  <si>
    <t>11.</t>
  </si>
  <si>
    <t>SUBSTITUTE spaces in Customer_Name with underscores.</t>
  </si>
  <si>
    <t>12.</t>
  </si>
  <si>
    <t>REPLACE part of Product_ID.</t>
  </si>
  <si>
    <t>13.</t>
  </si>
  <si>
    <t>TEXT Order_Date as mmm-yyyy.</t>
  </si>
  <si>
    <t>IF / Logic</t>
  </si>
  <si>
    <t>IF: Sales &gt;= 10000 = High, otherwise Normal.</t>
  </si>
  <si>
    <t>IF: Profit/Loss status.</t>
  </si>
  <si>
    <t>IF+AND: flag orders with Sales &gt;= 10000 AND Profit &gt; 0.</t>
  </si>
  <si>
    <t>IF+OR: flag Returned OR Cancelled.</t>
  </si>
  <si>
    <t>IF+NOT: flag orders that are NOT Delivered.</t>
  </si>
  <si>
    <t>IFS: rating bands Poor/Average/Good/Excellent.</t>
  </si>
  <si>
    <t>IF+AND: flag deliveries taking more than 5 days.</t>
  </si>
  <si>
    <t>Date &amp; Time</t>
  </si>
  <si>
    <t>TODAY.</t>
  </si>
  <si>
    <t>NOW.</t>
  </si>
  <si>
    <t>DAY, MONTH and YEAR from Order_Date.</t>
  </si>
  <si>
    <t>Build a date using DATE.</t>
  </si>
  <si>
    <t>EDATE: date 3 months after Order_Date.</t>
  </si>
  <si>
    <t>Calendar-day delivery difference.</t>
  </si>
  <si>
    <t>NETWORKDAYS between Order_Date and Delivery_Date.</t>
  </si>
  <si>
    <t>WORKDAY: date after 5 working days.</t>
  </si>
  <si>
    <t>WORKDAY.INTL with a custom weekend.</t>
  </si>
  <si>
    <t>NETWORKDAYS.INTL with a custom weekend.</t>
  </si>
  <si>
    <t>TEXT date formatting.</t>
  </si>
  <si>
    <t>Calculate date difference.</t>
  </si>
  <si>
    <t>Math</t>
  </si>
  <si>
    <t>SUM Sales_Amount.</t>
  </si>
  <si>
    <t>SUM Profit.</t>
  </si>
  <si>
    <t>MIN Sales_Amount.</t>
  </si>
  <si>
    <t>MAX Sales_Amount.</t>
  </si>
  <si>
    <t>ABS Profit.</t>
  </si>
  <si>
    <t>ROUND Sales_Amount.</t>
  </si>
  <si>
    <t>FLOOR.MATH Sales_Amount.</t>
  </si>
  <si>
    <t>MOD Quantity by 2.</t>
  </si>
  <si>
    <t>RAND.</t>
  </si>
  <si>
    <t>RANDBETWEEN 1 and 100.</t>
  </si>
  <si>
    <t>RANDARRAY.</t>
  </si>
  <si>
    <t>Conditional Aggregation</t>
  </si>
  <si>
    <t>SUMIF sales for Electronics.</t>
  </si>
  <si>
    <t>SUMIFS sales for Electronics in West.</t>
  </si>
  <si>
    <t>COUNT numeric Ratings.</t>
  </si>
  <si>
    <t>COUNTA Customer_Name.</t>
  </si>
  <si>
    <t>COUNTBLANK Rating.</t>
  </si>
  <si>
    <t>COUNTIF Delivered orders.</t>
  </si>
  <si>
    <t>COUNTIFS Delivered Electronics orders.</t>
  </si>
  <si>
    <t>AVERAGE Sales_Amount.</t>
  </si>
  <si>
    <t>AVERAGEIF Sales_Amount for Electronics.</t>
  </si>
  <si>
    <t>AVERAGEIFS Sales_Amount for Electronics in West.</t>
  </si>
  <si>
    <t>COUNTIFS Returned orders by Category.</t>
  </si>
  <si>
    <t>XLOOKUP Product_Name from Product_ID using Product_Master.</t>
  </si>
  <si>
    <t>XLOOKUP Cost_Price from Product_ID.</t>
  </si>
  <si>
    <t>XLOOKUP Category from Product_ID.</t>
  </si>
  <si>
    <t>XLOOKUP Customer_Type from Customer_ID using Customer_Master.</t>
  </si>
  <si>
    <t>XLOOKUP with a not-found message for an invalid Product_ID.</t>
  </si>
  <si>
    <t>Use XLOOKUP to compare List_Price with Unit_Price.</t>
  </si>
  <si>
    <t>Business Analysis</t>
  </si>
  <si>
    <t>Which category has the highest sales?</t>
  </si>
  <si>
    <t>Which category has the highest profit?</t>
  </si>
  <si>
    <t>Which region has the highest sales?</t>
  </si>
  <si>
    <t>Which payment mode has the most orders?</t>
  </si>
  <si>
    <t>Which product sold the most units?</t>
  </si>
  <si>
    <t>Which customer generated the highest sales?</t>
  </si>
  <si>
    <t>Which month had the highest sales?</t>
  </si>
  <si>
    <t>What % of orders were Returned?</t>
  </si>
  <si>
    <t>What % were Cancelled?</t>
  </si>
  <si>
    <t>Which category has the lowest average rating?</t>
  </si>
  <si>
    <t>Which channel has the highest average order value?</t>
  </si>
  <si>
    <t>Which category has average discount above 15%?</t>
  </si>
  <si>
    <t>Which customers have more than 3 orders?</t>
  </si>
  <si>
    <t>14.</t>
  </si>
  <si>
    <t>Identify negative-profit orders.</t>
  </si>
  <si>
    <t>15.</t>
  </si>
  <si>
    <t>Write 5 business insights and 3 recommendations.</t>
  </si>
  <si>
    <t>Goal</t>
  </si>
  <si>
    <t>Practice all the Excel functions/tools you have learned before starting the company project.</t>
  </si>
  <si>
    <t>Dataset</t>
  </si>
  <si>
    <t>355 order rows including 5 deliberate duplicates and intentional blanks/whitespace.</t>
  </si>
  <si>
    <t>Sheets</t>
  </si>
  <si>
    <t>Orders, Product_Master, Customer_Master, Practice_Questions.</t>
  </si>
  <si>
    <t>Method</t>
  </si>
  <si>
    <t>Work section-by-section. Do not try to finish everything at once.</t>
  </si>
  <si>
    <t>Rule</t>
  </si>
  <si>
    <t>Create helper columns when necessary; keep the raw Orders sheet unchanged where possible.</t>
  </si>
  <si>
    <t>Next step</t>
  </si>
  <si>
    <t>After practice, we start the large company-style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</si>
</sst>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mmmm"/>
    <numFmt numFmtId="166" formatCode="[$-F400]h:mm:ss\ AM/PM"/>
  </numFmts>
  <fonts count="5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16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 applyNumberFormat="1"/>
    <xf numFmtId="165" fontId="0" fillId="0" borderId="0" xfId="0" applyNumberFormat="1"/>
    <xf numFmtId="0" fontId="4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1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0" fillId="0" borderId="0" xfId="0" applyNumberFormat="1"/>
    <xf numFmtId="166" fontId="4" fillId="0" borderId="0" xfId="0" applyNumberFormat="1" applyFont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10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numFmt numFmtId="164" formatCode="\₹#,##0.00"/>
    </dxf>
    <dxf>
      <numFmt numFmtId="164" formatCode="\₹#,##0.00"/>
    </dxf>
    <dxf>
      <numFmt numFmtId="164" formatCode="\₹#,##0.00"/>
    </dxf>
    <dxf>
      <numFmt numFmtId="164" formatCode="\₹#,##0.00"/>
    </dxf>
    <dxf>
      <numFmt numFmtId="164" formatCode="\₹#,##0.00"/>
    </dxf>
    <dxf>
      <numFmt numFmtId="164" formatCode="\₹#,##0.00"/>
    </dxf>
    <dxf>
      <numFmt numFmtId="164" formatCode="\₹#,##0.00"/>
    </dxf>
    <dxf>
      <numFmt numFmtId="164" formatCode="\₹#,##0.00"/>
    </dxf>
    <dxf>
      <numFmt numFmtId="164" formatCode="\₹#,##0.00"/>
    </dxf>
    <dxf>
      <numFmt numFmtId="164" formatCode="\₹#,##0.00"/>
    </dxf>
    <dxf>
      <numFmt numFmtId="164" formatCode="\₹#,##0.00"/>
    </dxf>
    <dxf>
      <numFmt numFmtId="164" formatCode="\₹#,##0.00"/>
    </dxf>
    <dxf>
      <numFmt numFmtId="164" formatCode="\₹#,##0.00"/>
    </dxf>
    <dxf>
      <numFmt numFmtId="164" formatCode="\₹#,##0.00"/>
    </dxf>
    <dxf>
      <numFmt numFmtId="164" formatCode="\₹#,##0.00"/>
    </dxf>
    <dxf>
      <numFmt numFmtId="164" formatCode="\₹#,##0.00"/>
    </dxf>
    <dxf>
      <numFmt numFmtId="164" formatCode="\₹#,##0.00"/>
    </dxf>
    <dxf>
      <numFmt numFmtId="164" formatCode="\₹#,##0.00"/>
    </dxf>
    <dxf>
      <numFmt numFmtId="164" formatCode="\₹#,##0.00"/>
    </dxf>
    <dxf>
      <numFmt numFmtId="164" formatCode="\₹#,##0.00"/>
    </dxf>
    <dxf>
      <numFmt numFmtId="164" formatCode="\₹#,##0.00"/>
    </dxf>
    <dxf>
      <numFmt numFmtId="164" formatCode="\₹#,##0.00"/>
    </dxf>
    <dxf>
      <numFmt numFmtId="164" formatCode="\₹#,##0.00"/>
    </dxf>
    <dxf>
      <numFmt numFmtId="164" formatCode="\₹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64" formatCode="\₹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5" formatCode="mmmm"/>
    </dxf>
    <dxf>
      <numFmt numFmtId="19" formatCode="dd/mm/yyyy"/>
    </dxf>
    <dxf>
      <numFmt numFmtId="165" formatCode="mmmm"/>
    </dxf>
    <dxf>
      <numFmt numFmtId="0" formatCode="General"/>
    </dxf>
    <dxf>
      <numFmt numFmtId="19" formatCode="dd/mm/yyyy"/>
    </dxf>
    <dxf>
      <numFmt numFmtId="19" formatCode="dd/mm/yyyy"/>
    </dxf>
    <dxf>
      <numFmt numFmtId="1" formatCode="0"/>
    </dxf>
    <dxf>
      <numFmt numFmtId="19" formatCode="dd/mm/yyyy"/>
    </dxf>
    <dxf>
      <numFmt numFmtId="166" formatCode="[$-F400]h:mm:ss\ AM/PM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3</v>
    <v>8</v>
    <v>0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P356" totalsRowShown="0" headerRowDxfId="95">
  <autoFilter ref="A1:DP356" xr:uid="{00000000-0009-0000-0100-000001000000}"/>
  <tableColumns count="120">
    <tableColumn id="1" xr3:uid="{00000000-0010-0000-0000-000001000000}" name="Order_ID"/>
    <tableColumn id="63" xr3:uid="{00000000-0010-0000-0000-00003F000000}" name="Replace" dataDxfId="94">
      <calculatedColumnFormula>REPLACE(Table1[[#This Row],[Order_ID]],1,3,"YOO")</calculatedColumnFormula>
    </tableColumn>
    <tableColumn id="55" xr3:uid="{00000000-0010-0000-0000-000037000000}" name="MID" dataDxfId="93">
      <calculatedColumnFormula>MID(Table1[[#This Row],[Order_ID]],4,4)</calculatedColumnFormula>
    </tableColumn>
    <tableColumn id="51" xr3:uid="{00000000-0010-0000-0000-000033000000}" name="First 4" dataDxfId="92">
      <calculatedColumnFormula>LEFT(Table1[[#This Row],[Order_ID]],4)</calculatedColumnFormula>
    </tableColumn>
    <tableColumn id="52" xr3:uid="{00000000-0010-0000-0000-000034000000}" name="Last 5" dataDxfId="91">
      <calculatedColumnFormula>RIGHT(Table1[[#This Row],[Order_ID]],5)</calculatedColumnFormula>
    </tableColumn>
    <tableColumn id="36" xr3:uid="{00000000-0010-0000-0000-000024000000}" name="ORD"/>
    <tableColumn id="35" xr3:uid="{00000000-0010-0000-0000-000023000000}" name="ID"/>
    <tableColumn id="2" xr3:uid="{00000000-0010-0000-0000-000002000000}" name="Formatted_ Order_ ID"/>
    <tableColumn id="94" xr3:uid="{00000000-0010-0000-0000-00005E000000}" name="Edate" dataDxfId="90">
      <calculatedColumnFormula>EDATE(Table1[[#This Row],[Order_Date]],3)</calculatedColumnFormula>
    </tableColumn>
    <tableColumn id="95" xr3:uid="{00000000-0010-0000-0000-00005F000000}" name="EDATE2" dataDxfId="89">
      <calculatedColumnFormula>EDATE(Table1[[#This Row],[Order_Date]],6)</calculatedColumnFormula>
    </tableColumn>
    <tableColumn id="91" xr3:uid="{00000000-0010-0000-0000-00005B000000}" name="Year" dataDxfId="88">
      <calculatedColumnFormula>YEAR(Table1[[#This Row],[Today]])</calculatedColumnFormula>
    </tableColumn>
    <tableColumn id="3" xr3:uid="{00000000-0010-0000-0000-000003000000}" name="Order No."/>
    <tableColumn id="90" xr3:uid="{00000000-0010-0000-0000-00005A000000}" name="Day" dataDxfId="87">
      <calculatedColumnFormula>DAY(Table1[[#This Row],[Today]])</calculatedColumnFormula>
    </tableColumn>
    <tableColumn id="89" xr3:uid="{00000000-0010-0000-0000-000059000000}" name="Now" dataDxfId="86">
      <calculatedColumnFormula>NOW()</calculatedColumnFormula>
    </tableColumn>
    <tableColumn id="86" xr3:uid="{00000000-0010-0000-0000-000056000000}" name="Today" dataDxfId="85">
      <calculatedColumnFormula>TODAY()</calculatedColumnFormula>
    </tableColumn>
    <tableColumn id="88" xr3:uid="{00000000-0010-0000-0000-000058000000}" name="Passed Days" dataDxfId="84">
      <calculatedColumnFormula>Table1[[#This Row],[Today]]-Table1[[#This Row],[Order_Date]]</calculatedColumnFormula>
    </tableColumn>
    <tableColumn id="4" xr3:uid="{00000000-0010-0000-0000-000004000000}" name="Date2" dataDxfId="83"/>
    <tableColumn id="5" xr3:uid="{00000000-0010-0000-0000-000005000000}" name="Order_Date" dataDxfId="82"/>
    <tableColumn id="6" xr3:uid="{00000000-0010-0000-0000-000006000000}" name="Year2" dataDxfId="81">
      <calculatedColumnFormula>YEAR(R2)</calculatedColumnFormula>
    </tableColumn>
    <tableColumn id="7" xr3:uid="{00000000-0010-0000-0000-000007000000}" name="Month" dataDxfId="80">
      <calculatedColumnFormula>TEXT(R2,"mmmm")</calculatedColumnFormula>
    </tableColumn>
    <tableColumn id="99" xr3:uid="{00000000-0010-0000-0000-000063000000}" name="Workdays" dataDxfId="79">
      <calculatedColumnFormula>WORKDAY(Table1[[#This Row],[Order_Date]],5)</calculatedColumnFormula>
    </tableColumn>
    <tableColumn id="38" xr3:uid="{00000000-0010-0000-0000-000026000000}" name="Concatenate" dataDxfId="78">
      <calculatedColumnFormula>CONCATENATE(Table1[[#This Row],[Customer_ID]],Table1[[#This Row],[Customer_Name]])</calculatedColumnFormula>
    </tableColumn>
    <tableColumn id="8" xr3:uid="{00000000-0010-0000-0000-000008000000}" name="Customer_ID"/>
    <tableColumn id="9" xr3:uid="{00000000-0010-0000-0000-000009000000}" name="Customer_Name"/>
    <tableColumn id="123" xr3:uid="{00000000-0010-0000-0000-00007B000000}" name="COUNTA" dataDxfId="77">
      <calculatedColumnFormula>COUNTA(Table1[[#This Row],[Customer_Name]])</calculatedColumnFormula>
    </tableColumn>
    <tableColumn id="65" xr3:uid="{00000000-0010-0000-0000-000041000000}" name="Substitue" dataDxfId="76">
      <calculatedColumnFormula>SUBSTITUTE(Table1[[#This Row],[Customer_Name]]," ","_")</calculatedColumnFormula>
    </tableColumn>
    <tableColumn id="62" xr3:uid="{00000000-0010-0000-0000-00003E000000}" name="Search A" dataDxfId="75">
      <calculatedColumnFormula>IFERROR(SEARCH("a",Table1[[#This Row],[Customer_Name]]),"N/A")</calculatedColumnFormula>
    </tableColumn>
    <tableColumn id="60" xr3:uid="{00000000-0010-0000-0000-00003C000000}" name="Search" dataDxfId="74">
      <calculatedColumnFormula>SEARCH(" ",Table1[[#This Row],[Customer_Name]])</calculatedColumnFormula>
    </tableColumn>
    <tableColumn id="59" xr3:uid="{00000000-0010-0000-0000-00003B000000}" name="Find A" dataDxfId="73">
      <calculatedColumnFormula>IFERROR(FIND("a",Table1[[#This Row],[Customer_Name]]),"N/A")</calculatedColumnFormula>
    </tableColumn>
    <tableColumn id="56" xr3:uid="{00000000-0010-0000-0000-000038000000}" name="Find" dataDxfId="72">
      <calculatedColumnFormula>FIND(" ",Table1[[#This Row],[Customer_Name]])</calculatedColumnFormula>
    </tableColumn>
    <tableColumn id="46" xr3:uid="{00000000-0010-0000-0000-00002E000000}" name="Trimmed" dataDxfId="71">
      <calculatedColumnFormula>TRIM(Table1[[#This Row],[Customer_Name]])</calculatedColumnFormula>
    </tableColumn>
    <tableColumn id="47" xr3:uid="{00000000-0010-0000-0000-00002F000000}" name="Length" dataDxfId="70">
      <calculatedColumnFormula>LEN(Table1[[#This Row],[Trimmed]])</calculatedColumnFormula>
    </tableColumn>
    <tableColumn id="49" xr3:uid="{00000000-0010-0000-0000-000031000000}" name="Max" dataDxfId="69">
      <calculatedColumnFormula>MAX(Table1[Length])</calculatedColumnFormula>
    </tableColumn>
    <tableColumn id="44" xr3:uid="{00000000-0010-0000-0000-00002C000000}" name="Proper" dataDxfId="68">
      <calculatedColumnFormula>PROPER(Table1[[#This Row],[Customer_Name]])</calculatedColumnFormula>
    </tableColumn>
    <tableColumn id="41" xr3:uid="{00000000-0010-0000-0000-000029000000}" name="Lower" dataDxfId="67">
      <calculatedColumnFormula>LOWER(Table1[[#This Row],[Customer_Name]])</calculatedColumnFormula>
    </tableColumn>
    <tableColumn id="42" xr3:uid="{00000000-0010-0000-0000-00002A000000}" name="Upper" dataDxfId="66">
      <calculatedColumnFormula>UPPER(Table1[[#This Row],[Customer_Name]])</calculatedColumnFormula>
    </tableColumn>
    <tableColumn id="40" xr3:uid="{00000000-0010-0000-0000-000028000000}" name="Id+ Name" dataDxfId="65">
      <calculatedColumnFormula>CONCATENATE(Table1[[#This Row],[Customer_ID]],Table1[[#This Row],[Customer_Name]])</calculatedColumnFormula>
    </tableColumn>
    <tableColumn id="10" xr3:uid="{00000000-0010-0000-0000-00000A000000}" name="First Name"/>
    <tableColumn id="11" xr3:uid="{00000000-0010-0000-0000-00000B000000}" name="Last Name"/>
    <tableColumn id="12" xr3:uid="{00000000-0010-0000-0000-00000C000000}" name="Customer Code"/>
    <tableColumn id="13" xr3:uid="{00000000-0010-0000-0000-00000D000000}" name="First Name2"/>
    <tableColumn id="14" xr3:uid="{00000000-0010-0000-0000-00000E000000}" name="Last Name3"/>
    <tableColumn id="15" xr3:uid="{00000000-0010-0000-0000-00000F000000}" name="City"/>
    <tableColumn id="69" xr3:uid="{00000000-0010-0000-0000-000045000000}" name="TRIM" dataDxfId="64">
      <calculatedColumnFormula>TRIM(Table1[[#This Row],[City]])</calculatedColumnFormula>
    </tableColumn>
    <tableColumn id="45" xr3:uid="{00000000-0010-0000-0000-00002D000000}" name="Proper2" dataDxfId="63">
      <calculatedColumnFormula>PROPER(Table1[[#This Row],[City]])</calculatedColumnFormula>
    </tableColumn>
    <tableColumn id="16" xr3:uid="{00000000-0010-0000-0000-000010000000}" name="State"/>
    <tableColumn id="39" xr3:uid="{00000000-0010-0000-0000-000027000000}" name="City+State" dataDxfId="62">
      <calculatedColumnFormula>CONCATENATE(Table1[[#This Row],[City]],Table1[[#This Row],[State]])</calculatedColumnFormula>
    </tableColumn>
    <tableColumn id="17" xr3:uid="{00000000-0010-0000-0000-000011000000}" name="Region"/>
    <tableColumn id="18" xr3:uid="{00000000-0010-0000-0000-000012000000}" name="Product_ID"/>
    <tableColumn id="64" xr3:uid="{00000000-0010-0000-0000-000040000000}" name="Replace2" dataDxfId="61">
      <calculatedColumnFormula>REPLACE(Table1[[#This Row],[Product_ID]],1,1,"s")</calculatedColumnFormula>
    </tableColumn>
    <tableColumn id="57" xr3:uid="{00000000-0010-0000-0000-000039000000}" name="Product ID"/>
    <tableColumn id="61" xr3:uid="{00000000-0010-0000-0000-00003D000000}" name="Search2" dataDxfId="60">
      <calculatedColumnFormula>SEARCH("-",Table1[[#This Row],[Product ID]])</calculatedColumnFormula>
    </tableColumn>
    <tableColumn id="58" xr3:uid="{00000000-0010-0000-0000-00003A000000}" name="Find -" dataDxfId="59">
      <calculatedColumnFormula>FIND("-",Table1[[#This Row],[Product ID]])</calculatedColumnFormula>
    </tableColumn>
    <tableColumn id="54" xr3:uid="{00000000-0010-0000-0000-000036000000}" name="MID2" dataDxfId="58">
      <calculatedColumnFormula>MID(Table1[[#This Row],[Product_ID]],2,3)</calculatedColumnFormula>
    </tableColumn>
    <tableColumn id="53" xr3:uid="{00000000-0010-0000-0000-000035000000}" name="Last 32" dataDxfId="57">
      <calculatedColumnFormula>RIGHT(Table1[[#This Row],[Product_ID]],3)</calculatedColumnFormula>
    </tableColumn>
    <tableColumn id="50" xr3:uid="{00000000-0010-0000-0000-000032000000}" name="First 3" dataDxfId="56">
      <calculatedColumnFormula>LEFT(Table1[[#This Row],[Product_ID]],3)</calculatedColumnFormula>
    </tableColumn>
    <tableColumn id="37" xr3:uid="{4158DCAE-9DBB-4651-A4A1-2C69D49EBCBA}" name="XLOOKUP" dataDxfId="55">
      <calculatedColumnFormula>_xlfn.XLOOKUP(Table1[[#This Row],[Product_ID]],AW:AW,BF:BF,,0)</calculatedColumnFormula>
    </tableColumn>
    <tableColumn id="19" xr3:uid="{00000000-0010-0000-0000-000013000000}" name="Product_Name"/>
    <tableColumn id="48" xr3:uid="{00000000-0010-0000-0000-000030000000}" name="Length2" dataDxfId="54">
      <calculatedColumnFormula>LEN(Table1[[#This Row],[Product_Name]])</calculatedColumnFormula>
    </tableColumn>
    <tableColumn id="20" xr3:uid="{00000000-0010-0000-0000-000014000000}" name="Category"/>
    <tableColumn id="133" xr3:uid="{00000000-0010-0000-0000-000085000000}" name="COUNTIFS" dataDxfId="53">
      <calculatedColumnFormula>COUNTIFS(BH:BH,"Electronics",CQ:CQ,"=&gt;4")</calculatedColumnFormula>
    </tableColumn>
    <tableColumn id="68" xr3:uid="{00000000-0010-0000-0000-000044000000}" name="Substitute" dataDxfId="52">
      <calculatedColumnFormula>SUBSTITUTE(Table1[[#This Row],[Category]],"Electronics","ELECTRONICS")</calculatedColumnFormula>
    </tableColumn>
    <tableColumn id="140" xr3:uid="{00000000-0010-0000-0000-00008C000000}" name="SUMIF" dataDxfId="51"/>
    <tableColumn id="141" xr3:uid="{00000000-0010-0000-0000-00008D000000}" name="SUMIFS" dataDxfId="50"/>
    <tableColumn id="129" xr3:uid="{00000000-0010-0000-0000-000081000000}" name="COUNTIF" dataDxfId="49"/>
    <tableColumn id="21" xr3:uid="{00000000-0010-0000-0000-000015000000}" name="Sub_Category"/>
    <tableColumn id="105" xr3:uid="{00000000-0010-0000-0000-000069000000}" name="Total Quantity" dataDxfId="48"/>
    <tableColumn id="109" xr3:uid="{00000000-0010-0000-0000-00006D000000}" name="Min Quantity" dataDxfId="47"/>
    <tableColumn id="113" xr3:uid="{00000000-0010-0000-0000-000071000000}" name="Max Quantity" dataDxfId="46"/>
    <tableColumn id="131" xr3:uid="{00000000-0010-0000-0000-000083000000}" name="COUNTIFS3" dataDxfId="45"/>
    <tableColumn id="22" xr3:uid="{00000000-0010-0000-0000-000016000000}" name="Quantity"/>
    <tableColumn id="23" xr3:uid="{00000000-0010-0000-0000-000017000000}" name="Unit_Price" dataDxfId="44"/>
    <tableColumn id="24" xr3:uid="{00000000-0010-0000-0000-000018000000}" name="Discount_%" dataDxfId="43"/>
    <tableColumn id="77" xr3:uid="{00000000-0010-0000-0000-00004D000000}" name="Discount AND" dataDxfId="42">
      <calculatedColumnFormula>IF(AND(Table1[[#This Row],[Quantity]]&gt;=3,Table1[[#This Row],[Discount_%]]&gt;=15%),"Bulk Discount","no")</calculatedColumnFormula>
    </tableColumn>
    <tableColumn id="82" xr3:uid="{00000000-0010-0000-0000-000052000000}" name="IFAND" dataDxfId="41">
      <calculatedColumnFormula>IF(AND(Table1[[#This Row],[Quantity]]&gt;3,Table1[[#This Row],[Discount_%]]&gt;15%),"Bulk Customer","Normal")</calculatedColumnFormula>
    </tableColumn>
    <tableColumn id="25" xr3:uid="{00000000-0010-0000-0000-000019000000}" name="Payment_Mode"/>
    <tableColumn id="26" xr3:uid="{00000000-0010-0000-0000-00001A000000}" name="Order_Status"/>
    <tableColumn id="132" xr3:uid="{00000000-0010-0000-0000-000084000000}" name="COUNTIFS2" dataDxfId="40"/>
    <tableColumn id="128" xr3:uid="{00000000-0010-0000-0000-000080000000}" name="COUNIF2" dataDxfId="39"/>
    <tableColumn id="126" xr3:uid="{00000000-0010-0000-0000-00007E000000}" name="COUNTIF2" dataDxfId="38"/>
    <tableColumn id="83" xr3:uid="{00000000-0010-0000-0000-000053000000}" name="IFOR" dataDxfId="37">
      <calculatedColumnFormula>IF(OR(Table1[[#This Row],[Order_Status]]="Returned",Table1[[#This Row],[Order_Status]]="Cancelled"),"Attention Required","Not")</calculatedColumnFormula>
    </tableColumn>
    <tableColumn id="78" xr3:uid="{00000000-0010-0000-0000-00004E000000}" name="Order OR" dataDxfId="36">
      <calculatedColumnFormula>IF(OR("Returned","Cancelled"),"Review","no")</calculatedColumnFormula>
    </tableColumn>
    <tableColumn id="66" xr3:uid="{00000000-0010-0000-0000-000042000000}" name="Substitute2" dataDxfId="35">
      <calculatedColumnFormula>SUBSTITUTE(Table1[[#This Row],[Order_Status]],"Delivered","Completed")</calculatedColumnFormula>
    </tableColumn>
    <tableColumn id="27" xr3:uid="{00000000-0010-0000-0000-00001B000000}" name="Delivery_Date" dataDxfId="34"/>
    <tableColumn id="97" xr3:uid="{00000000-0010-0000-0000-000061000000}" name="Working Days" dataDxfId="33">
      <calculatedColumnFormula>NETWORKDAYS(Table1[[#This Row],[Order_Date]],Table1[[#This Row],[Delivery_Date]])</calculatedColumnFormula>
    </tableColumn>
    <tableColumn id="96" xr3:uid="{00000000-0010-0000-0000-000060000000}" name="Delivery Days" dataDxfId="32">
      <calculatedColumnFormula>Table1[[#This Row],[Delivery_Date]]-Table1[[#This Row],[Order_Date]]</calculatedColumnFormula>
    </tableColumn>
    <tableColumn id="28" xr3:uid="{00000000-0010-0000-0000-00001C000000}" name="Return_Status"/>
    <tableColumn id="75" xr3:uid="{00000000-0010-0000-0000-00004B000000}" name="Rating IF" dataDxfId="31">
      <calculatedColumnFormula>IF(Table1[[#This Row],[Rating]]&gt;=4,"Good","Needs Improvement")</calculatedColumnFormula>
    </tableColumn>
    <tableColumn id="80" xr3:uid="{00000000-0010-0000-0000-000050000000}" name="Rating OR" dataDxfId="30">
      <calculatedColumnFormula>IF(OR(Table1[[#This Row],[Rating]]&lt;=2,Table1[[#This Row],[Profit]]&lt;0),"Review","NO")</calculatedColumnFormula>
    </tableColumn>
    <tableColumn id="85" xr3:uid="{00000000-0010-0000-0000-000055000000}" name="IFS" dataDxfId="29">
      <calculatedColumnFormula array="1">_xlfn.IFS(Table1[[#This Row],[Rating]]&gt;2,"Poor",Table1[[#This Row],[Rating]]=3,"Average",Table1[[#This Row],[Rating]]=4,"Good",CP2=5,"Excellent")</calculatedColumnFormula>
    </tableColumn>
    <tableColumn id="121" xr3:uid="{00000000-0010-0000-0000-000079000000}" name="Count" dataDxfId="28">
      <calculatedColumnFormula>COUNT(Table1[[#This Row],[Rating]])</calculatedColumnFormula>
    </tableColumn>
    <tableColumn id="125" xr3:uid="{00000000-0010-0000-0000-00007D000000}" name="COUNTBLANK" dataDxfId="27">
      <calculatedColumnFormula>COUNTBLANK(Table1[[#This Row],[Rating]])</calculatedColumnFormula>
    </tableColumn>
    <tableColumn id="130" xr3:uid="{00000000-0010-0000-0000-000082000000}" name="COUNTIF3" dataDxfId="26"/>
    <tableColumn id="30" xr3:uid="{00000000-0010-0000-0000-00001E000000}" name="Coupon_Code"/>
    <tableColumn id="29" xr3:uid="{00000000-0010-0000-0000-00001D000000}" name="Rating"/>
    <tableColumn id="31" xr3:uid="{00000000-0010-0000-0000-00001F000000}" name="Sales_Channel"/>
    <tableColumn id="32" xr3:uid="{00000000-0010-0000-0000-000020000000}" name="Sales_Rep"/>
    <tableColumn id="106" xr3:uid="{00000000-0010-0000-0000-00006A000000}" name="MIN Sales" dataDxfId="25"/>
    <tableColumn id="33" xr3:uid="{00000000-0010-0000-0000-000021000000}" name="Sales_Amount" dataDxfId="24"/>
    <tableColumn id="115" xr3:uid="{00000000-0010-0000-0000-000073000000}" name="Round" dataDxfId="23">
      <calculatedColumnFormula>ROUND(Table1[[#This Row],[Sales_Amount]],0)</calculatedColumnFormula>
    </tableColumn>
    <tableColumn id="110" xr3:uid="{00000000-0010-0000-0000-00006E000000}" name="Min Sales2" dataDxfId="22"/>
    <tableColumn id="101" xr3:uid="{00000000-0010-0000-0000-000065000000}" name="Total Sales" dataDxfId="21"/>
    <tableColumn id="76" xr3:uid="{00000000-0010-0000-0000-00004C000000}" name="Sales AND" dataDxfId="20">
      <calculatedColumnFormula>IF(AND(Table1[[#This Row],[Sales_Amount]]&gt;=10000,Table1[[#This Row],[Profit]]&gt;0),"Good Order")</calculatedColumnFormula>
    </tableColumn>
    <tableColumn id="70" xr3:uid="{00000000-0010-0000-0000-000046000000}" name="Sales IF" dataDxfId="19">
      <calculatedColumnFormula>IF(Table1[[#This Row],[Sales_Amount]]&gt;=10000,"High","Normal")</calculatedColumnFormula>
    </tableColumn>
    <tableColumn id="34" xr3:uid="{00000000-0010-0000-0000-000022000000}" name="Profit" dataDxfId="18"/>
    <tableColumn id="116" xr3:uid="{00000000-0010-0000-0000-000074000000}" name="Round2" dataDxfId="17">
      <calculatedColumnFormula>ROUND(Table1[[#This Row],[Profit]],0)</calculatedColumnFormula>
    </tableColumn>
    <tableColumn id="114" xr3:uid="{00000000-0010-0000-0000-000072000000}" name="ABS" dataDxfId="16">
      <calculatedColumnFormula>ABS(Table1[[#This Row],[Profit]])</calculatedColumnFormula>
    </tableColumn>
    <tableColumn id="111" xr3:uid="{00000000-0010-0000-0000-00006F000000}" name="Max Profit" dataDxfId="15"/>
    <tableColumn id="107" xr3:uid="{00000000-0010-0000-0000-00006B000000}" name="Min Profit" dataDxfId="14"/>
    <tableColumn id="102" xr3:uid="{00000000-0010-0000-0000-000066000000}" name="Total Profit" dataDxfId="13"/>
    <tableColumn id="71" xr3:uid="{00000000-0010-0000-0000-000047000000}" name="Profit IF" dataDxfId="12">
      <calculatedColumnFormula>IF(Table1[[#This Row],[Profit]]&gt;0,"Profit","Loss")</calculatedColumnFormula>
    </tableColumn>
    <tableColumn id="81" xr3:uid="{00000000-0010-0000-0000-000051000000}" name="IFAND2" dataDxfId="11">
      <calculatedColumnFormula>IF(AND(Table1[[#This Row],[Sales_Amount]]&gt;=10000,Table1[[#This Row],[Profit]]&gt;0),"Priority","Normal")</calculatedColumnFormula>
    </tableColumn>
    <tableColumn id="117" xr3:uid="{00000000-0010-0000-0000-000075000000}" name="RAND" dataDxfId="10">
      <calculatedColumnFormula>RAND()</calculatedColumnFormula>
    </tableColumn>
    <tableColumn id="118" xr3:uid="{00000000-0010-0000-0000-000076000000}" name="RANDBETWEEN" dataDxfId="9">
      <calculatedColumnFormula>RANDBETWEEN(1,100)</calculatedColumnFormula>
    </tableColumn>
    <tableColumn id="134" xr3:uid="{00000000-0010-0000-0000-000086000000}" name="AVG SALES" dataDxfId="8"/>
    <tableColumn id="135" xr3:uid="{00000000-0010-0000-0000-000087000000}" name="AVG PROFIT" dataDxfId="7"/>
    <tableColumn id="136" xr3:uid="{00000000-0010-0000-0000-000088000000}" name="AVG RATING" dataDxfId="6"/>
    <tableColumn id="137" xr3:uid="{00000000-0010-0000-0000-000089000000}" name="AVG QUANTITY" dataDxfId="5"/>
    <tableColumn id="138" xr3:uid="{00000000-0010-0000-0000-00008A000000}" name="AVG IF" dataDxfId="4"/>
    <tableColumn id="139" xr3:uid="{00000000-0010-0000-0000-00008B000000}" name="AVGIFS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2B0B0B-8E12-4CFD-8089-7FD14EF285EB}" name="Table2" displayName="Table2" ref="A1:I16" totalsRowShown="0">
  <autoFilter ref="A1:I16" xr:uid="{A82B0B0B-8E12-4CFD-8089-7FD14EF285EB}"/>
  <tableColumns count="9">
    <tableColumn id="1" xr3:uid="{A63B3BFC-0258-4BDD-AB63-F4088F845417}" name="Product_ID"/>
    <tableColumn id="2" xr3:uid="{8F8E771C-4F59-46FA-BF9D-63BF9728B9D8}" name="Product_Name"/>
    <tableColumn id="3" xr3:uid="{6B8B0540-407C-4883-ADD4-4FF578D66DF5}" name="Category"/>
    <tableColumn id="4" xr3:uid="{ED85CEC4-D245-4BCF-872D-51E7154CA24C}" name="Sub_Category"/>
    <tableColumn id="5" xr3:uid="{1EE31EBD-2978-4AA8-9723-E33A3A5DF7FE}" name="List_Price" dataDxfId="2"/>
    <tableColumn id="6" xr3:uid="{13CB21F3-88CF-4296-9023-1557E14EAD0E}" name="Cost_Price" dataDxfId="1"/>
    <tableColumn id="7" xr3:uid="{3D45D3A0-A6A2-4163-B0B6-AD5FF999A62D}" name="XLOOKUP"/>
    <tableColumn id="8" xr3:uid="{5564DA55-0E3E-422A-A140-156E904A28BE}" name="XLOOKUP2"/>
    <tableColumn id="12" xr3:uid="{0C0AD82E-9A29-4FEB-84B6-9BF765F5D124}" name="LEFT LOOKUP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9472C1-CB01-4167-B000-FF74347119BF}" name="Table3" displayName="Table3" ref="A1:E151" totalsRowShown="0" headerRowDxfId="0">
  <autoFilter ref="A1:E151" xr:uid="{9E9472C1-CB01-4167-B000-FF74347119BF}"/>
  <tableColumns count="5">
    <tableColumn id="1" xr3:uid="{CD372FA7-93D8-44C4-BFB6-04669987621C}" name="C1000"/>
    <tableColumn id="2" xr3:uid="{4F009483-12FB-4F60-9980-60855210C872}" name="Customer_Type"/>
    <tableColumn id="3" xr3:uid="{0BDF2DCD-C1FC-4965-84FF-83097F5CCB54}" name="Age"/>
    <tableColumn id="4" xr3:uid="{E7E125E3-716E-4A1D-AD7E-2D4F1489E34A}" name="Gender"/>
    <tableColumn id="5" xr3:uid="{09A7CD38-F169-46EF-B28D-B6B39CB21EF9}" name="CUSTOMER MAST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356"/>
  <sheetViews>
    <sheetView tabSelected="1" topLeftCell="AZ1" zoomScaleNormal="100" workbookViewId="0">
      <pane ySplit="1" topLeftCell="CB2" activePane="bottomLeft" state="frozen"/>
      <selection pane="bottomLeft" activeCell="CL3" sqref="CL3"/>
    </sheetView>
  </sheetViews>
  <sheetFormatPr defaultRowHeight="15"/>
  <cols>
    <col min="1" max="7" width="12" customWidth="1"/>
    <col min="8" max="8" width="22.28515625" customWidth="1"/>
    <col min="9" max="10" width="22.28515625" style="2" customWidth="1"/>
    <col min="11" max="11" width="22.28515625" customWidth="1"/>
    <col min="12" max="13" width="12" customWidth="1"/>
    <col min="14" max="14" width="12" style="19" customWidth="1"/>
    <col min="15" max="15" width="12" customWidth="1"/>
    <col min="16" max="16" width="16.28515625" style="17" bestFit="1" customWidth="1"/>
    <col min="17" max="17" width="12" customWidth="1"/>
    <col min="18" max="20" width="21" customWidth="1"/>
    <col min="21" max="21" width="21" style="2" customWidth="1"/>
    <col min="22" max="22" width="21" customWidth="1"/>
    <col min="23" max="23" width="17" bestFit="1" customWidth="1"/>
    <col min="24" max="26" width="21" customWidth="1"/>
    <col min="27" max="27" width="21" style="10" customWidth="1"/>
    <col min="28" max="28" width="21" customWidth="1"/>
    <col min="29" max="29" width="21" style="11" customWidth="1"/>
    <col min="30" max="42" width="21" customWidth="1"/>
    <col min="43" max="45" width="13" customWidth="1"/>
    <col min="46" max="46" width="16" customWidth="1"/>
    <col min="47" max="47" width="22.140625" bestFit="1" customWidth="1"/>
    <col min="48" max="48" width="12" customWidth="1"/>
    <col min="49" max="49" width="15.28515625" bestFit="1" customWidth="1"/>
    <col min="50" max="57" width="15.28515625" customWidth="1"/>
    <col min="58" max="59" width="21" customWidth="1"/>
    <col min="60" max="65" width="13" customWidth="1"/>
    <col min="66" max="70" width="15.28515625" customWidth="1"/>
    <col min="71" max="71" width="12" style="14" customWidth="1"/>
    <col min="72" max="72" width="12.42578125" customWidth="1"/>
    <col min="73" max="75" width="13.42578125" customWidth="1"/>
    <col min="76" max="76" width="18" customWidth="1"/>
    <col min="77" max="80" width="14.7109375" customWidth="1"/>
    <col min="81" max="81" width="18.42578125" bestFit="1" customWidth="1"/>
    <col min="82" max="83" width="14.7109375" customWidth="1"/>
    <col min="84" max="84" width="21" customWidth="1"/>
    <col min="85" max="86" width="21" style="17" customWidth="1"/>
    <col min="87" max="87" width="15.5703125" customWidth="1"/>
    <col min="88" max="88" width="19.5703125" bestFit="1" customWidth="1"/>
    <col min="89" max="93" width="19.5703125" customWidth="1"/>
    <col min="94" max="94" width="15.5703125" customWidth="1"/>
    <col min="95" max="95" width="12" style="14" customWidth="1"/>
    <col min="96" max="96" width="16" customWidth="1"/>
    <col min="97" max="98" width="12.140625" customWidth="1"/>
    <col min="99" max="104" width="15.85546875" customWidth="1"/>
    <col min="105" max="110" width="12" customWidth="1"/>
    <col min="112" max="112" width="11.140625" bestFit="1" customWidth="1"/>
    <col min="115" max="115" width="15.140625" bestFit="1" customWidth="1"/>
    <col min="118" max="118" width="19.42578125" bestFit="1" customWidth="1"/>
    <col min="119" max="119" width="11.5703125" bestFit="1" customWidth="1"/>
  </cols>
  <sheetData>
    <row r="1" spans="1:120">
      <c r="A1" s="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5" t="s">
        <v>8</v>
      </c>
      <c r="J1" s="15" t="s">
        <v>9</v>
      </c>
      <c r="K1" s="8" t="s">
        <v>10</v>
      </c>
      <c r="L1" s="1" t="s">
        <v>11</v>
      </c>
      <c r="M1" s="8" t="s">
        <v>12</v>
      </c>
      <c r="N1" s="18" t="s">
        <v>13</v>
      </c>
      <c r="O1" s="8" t="s">
        <v>14</v>
      </c>
      <c r="P1" s="1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5" t="s">
        <v>20</v>
      </c>
      <c r="V1" s="8" t="s">
        <v>21</v>
      </c>
      <c r="W1" s="1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12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8" t="s">
        <v>39</v>
      </c>
      <c r="AO1" s="8" t="s">
        <v>40</v>
      </c>
      <c r="AP1" s="8" t="s">
        <v>41</v>
      </c>
      <c r="AQ1" s="1" t="s">
        <v>42</v>
      </c>
      <c r="AR1" s="8" t="s">
        <v>43</v>
      </c>
      <c r="AS1" s="8" t="s">
        <v>44</v>
      </c>
      <c r="AT1" s="1" t="s">
        <v>45</v>
      </c>
      <c r="AU1" s="8" t="s">
        <v>46</v>
      </c>
      <c r="AV1" s="1" t="s">
        <v>47</v>
      </c>
      <c r="AW1" s="1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1" t="s">
        <v>57</v>
      </c>
      <c r="BG1" s="8" t="s">
        <v>58</v>
      </c>
      <c r="BH1" s="1" t="s">
        <v>59</v>
      </c>
      <c r="BI1" s="1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1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13" t="s">
        <v>70</v>
      </c>
      <c r="BT1" s="1" t="s">
        <v>71</v>
      </c>
      <c r="BU1" s="1" t="s">
        <v>72</v>
      </c>
      <c r="BV1" s="8" t="s">
        <v>73</v>
      </c>
      <c r="BW1" s="8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8" t="s">
        <v>80</v>
      </c>
      <c r="CD1" s="8" t="s">
        <v>81</v>
      </c>
      <c r="CE1" s="8" t="s">
        <v>82</v>
      </c>
      <c r="CF1" s="1" t="s">
        <v>83</v>
      </c>
      <c r="CG1" s="16" t="s">
        <v>84</v>
      </c>
      <c r="CH1" s="16" t="s">
        <v>85</v>
      </c>
      <c r="CI1" s="1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1" t="s">
        <v>93</v>
      </c>
      <c r="CQ1" s="13" t="s">
        <v>94</v>
      </c>
      <c r="CR1" s="1" t="s">
        <v>95</v>
      </c>
      <c r="CS1" s="1" t="s">
        <v>96</v>
      </c>
      <c r="CT1" s="8" t="s">
        <v>97</v>
      </c>
      <c r="CU1" s="1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1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120</v>
      </c>
      <c r="B2" t="str">
        <f>REPLACE(Table1[[#This Row],[Order_ID]],1,3,"YOO")</f>
        <v>YOO10001</v>
      </c>
      <c r="C2" t="str">
        <f>MID(Table1[[#This Row],[Order_ID]],4,4)</f>
        <v>1000</v>
      </c>
      <c r="D2" t="str">
        <f>LEFT(Table1[[#This Row],[Order_ID]],4)</f>
        <v>ORD1</v>
      </c>
      <c r="E2" t="str">
        <f>RIGHT(Table1[[#This Row],[Order_ID]],5)</f>
        <v>10001</v>
      </c>
      <c r="F2" t="s">
        <v>5</v>
      </c>
      <c r="G2">
        <v>10001</v>
      </c>
      <c r="H2" t="s">
        <v>121</v>
      </c>
      <c r="I2" s="2">
        <f>EDATE(Table1[[#This Row],[Order_Date]],3)</f>
        <v>45773</v>
      </c>
      <c r="J2" s="2">
        <f>EDATE(Table1[[#This Row],[Order_Date]],6)</f>
        <v>45864</v>
      </c>
      <c r="K2">
        <f ca="1">YEAR(Table1[[#This Row],[Today]])</f>
        <v>2026</v>
      </c>
      <c r="L2">
        <v>1</v>
      </c>
      <c r="M2">
        <f ca="1">DAY(Table1[[#This Row],[Today]])</f>
        <v>11</v>
      </c>
      <c r="N2" s="19">
        <f ca="1">NOW()</f>
        <v>46245.589795370368</v>
      </c>
      <c r="O2" s="2">
        <f t="shared" ref="O2:O65" ca="1" si="0">TODAY()</f>
        <v>46245</v>
      </c>
      <c r="P2" s="17">
        <f ca="1">Table1[[#This Row],[Today]]-Table1[[#This Row],[Order_Date]]</f>
        <v>562</v>
      </c>
      <c r="Q2" s="2">
        <v>45658</v>
      </c>
      <c r="R2" s="2">
        <v>45683</v>
      </c>
      <c r="S2" s="6">
        <f>YEAR(R2)</f>
        <v>2025</v>
      </c>
      <c r="T2" s="7" t="str">
        <f>TEXT(R2,"mmmm")</f>
        <v>January</v>
      </c>
      <c r="U2" s="2">
        <f>WORKDAY(Table1[[#This Row],[Order_Date]],5)</f>
        <v>45688</v>
      </c>
      <c r="V2" s="7" t="str">
        <f>CONCATENATE(Table1[[#This Row],[Customer_ID]],Table1[[#This Row],[Customer_Name]])</f>
        <v>C1140Aman Singh</v>
      </c>
      <c r="W2" t="s">
        <v>122</v>
      </c>
      <c r="X2" t="s">
        <v>123</v>
      </c>
      <c r="Y2">
        <f>COUNTA(Table1[[#This Row],[Customer_Name]])</f>
        <v>1</v>
      </c>
      <c r="Z2" t="str">
        <f>SUBSTITUTE(Table1[[#This Row],[Customer_Name]]," ","_")</f>
        <v>Aman_Singh</v>
      </c>
      <c r="AA2" s="10">
        <f>IFERROR(SEARCH("a",Table1[[#This Row],[Customer_Name]]),"N/A")</f>
        <v>1</v>
      </c>
      <c r="AB2">
        <f>SEARCH(" ",Table1[[#This Row],[Customer_Name]])</f>
        <v>5</v>
      </c>
      <c r="AC2" s="11">
        <f>IFERROR(FIND("a",Table1[[#This Row],[Customer_Name]]),"N/A")</f>
        <v>3</v>
      </c>
      <c r="AD2">
        <f>FIND(" ",Table1[[#This Row],[Customer_Name]])</f>
        <v>5</v>
      </c>
      <c r="AE2" t="str">
        <f>TRIM(Table1[[#This Row],[Customer_Name]])</f>
        <v>Aman Singh</v>
      </c>
      <c r="AF2">
        <f>LEN(Table1[[#This Row],[Trimmed]])</f>
        <v>10</v>
      </c>
      <c r="AG2">
        <f>MAX(Table1[Length])</f>
        <v>15</v>
      </c>
      <c r="AH2" t="str">
        <f>PROPER(Table1[[#This Row],[Customer_Name]])</f>
        <v>Aman Singh</v>
      </c>
      <c r="AI2" t="str">
        <f>LOWER(Table1[[#This Row],[Customer_Name]])</f>
        <v>aman singh</v>
      </c>
      <c r="AJ2" t="str">
        <f>UPPER(Table1[[#This Row],[Customer_Name]])</f>
        <v>AMAN SINGH</v>
      </c>
      <c r="AK2" t="str">
        <f>CONCATENATE(Table1[[#This Row],[Customer_ID]],Table1[[#This Row],[Customer_Name]])</f>
        <v>C1140Aman Singh</v>
      </c>
      <c r="AL2" t="s">
        <v>124</v>
      </c>
      <c r="AM2" t="s">
        <v>125</v>
      </c>
      <c r="AN2" t="s">
        <v>126</v>
      </c>
      <c r="AO2" t="s">
        <v>124</v>
      </c>
      <c r="AP2" t="s">
        <v>125</v>
      </c>
      <c r="AQ2" t="s">
        <v>127</v>
      </c>
      <c r="AR2" t="str">
        <f>TRIM(Table1[[#This Row],[City]])</f>
        <v>Pune</v>
      </c>
      <c r="AS2" t="str">
        <f>PROPER(Table1[[#This Row],[City]])</f>
        <v>Pune</v>
      </c>
      <c r="AT2" t="s">
        <v>128</v>
      </c>
      <c r="AU2" t="str">
        <f>CONCATENATE(Table1[[#This Row],[City]],Table1[[#This Row],[State]])</f>
        <v>PuneMaharashtra</v>
      </c>
      <c r="AV2" t="s">
        <v>129</v>
      </c>
      <c r="AW2" t="s">
        <v>130</v>
      </c>
      <c r="AX2" t="str">
        <f>REPLACE(Table1[[#This Row],[Product_ID]],1,1,"s")</f>
        <v>s111</v>
      </c>
      <c r="AY2" t="s">
        <v>131</v>
      </c>
      <c r="AZ2">
        <f>SEARCH("-",Table1[[#This Row],[Product ID]])</f>
        <v>2</v>
      </c>
      <c r="BA2">
        <f>FIND("-",Table1[[#This Row],[Product ID]])</f>
        <v>2</v>
      </c>
      <c r="BB2" t="str">
        <f>MID(Table1[[#This Row],[Product_ID]],2,3)</f>
        <v>111</v>
      </c>
      <c r="BC2" t="str">
        <f>RIGHT(Table1[[#This Row],[Product_ID]],3)</f>
        <v>111</v>
      </c>
      <c r="BD2" t="str">
        <f>LEFT(Table1[[#This Row],[Product_ID]],3)</f>
        <v>P11</v>
      </c>
      <c r="BE2" t="str">
        <f>_xlfn.XLOOKUP(Table1[[#This Row],[Product_ID]],AW:AW,BF:BF,,0)</f>
        <v>Coffee Maker</v>
      </c>
      <c r="BF2" t="s">
        <v>132</v>
      </c>
      <c r="BG2">
        <f>LEN(Table1[[#This Row],[Product_Name]])</f>
        <v>12</v>
      </c>
      <c r="BH2" t="s">
        <v>133</v>
      </c>
      <c r="BI2">
        <f t="shared" ref="BI2:BI4" si="1">COUNTIFS(BH:BH,"Electronics",CQ:CQ,"&gt;=4")</f>
        <v>75</v>
      </c>
      <c r="BJ2" t="str">
        <f>SUBSTITUTE(Table1[[#This Row],[Category]],"Electronics","ELECTRONICS")</f>
        <v>Home</v>
      </c>
      <c r="BK2">
        <f>SUMIF(BH:BH,"Electronics",CU:CU)</f>
        <v>963673.94999999972</v>
      </c>
      <c r="BL2">
        <f>SUMIFS(CU:CU,BH:BH,"Electronics",AV:AV,"West")</f>
        <v>262810.80000000005</v>
      </c>
      <c r="BM2">
        <f>COUNTIF(BJ:BJ,"Electronics")</f>
        <v>144</v>
      </c>
      <c r="BN2" t="s">
        <v>134</v>
      </c>
      <c r="BO2">
        <f>SUM(BS:BS)</f>
        <v>1090</v>
      </c>
      <c r="BP2">
        <f>MIN(BS:BS)</f>
        <v>1</v>
      </c>
      <c r="BQ2">
        <f>MAX(BS:BS)</f>
        <v>5</v>
      </c>
      <c r="BR2">
        <f>COUNTIFS(BY:BY,"Delivered",BH:BH,"Electronics")</f>
        <v>74</v>
      </c>
      <c r="BS2" s="14">
        <v>3</v>
      </c>
      <c r="BT2" s="3">
        <v>3999</v>
      </c>
      <c r="BU2" s="4">
        <v>10</v>
      </c>
      <c r="BV2" s="4" t="str">
        <f>IF(AND(Table1[[#This Row],[Quantity]]&gt;=3,Table1[[#This Row],[Discount_%]]&gt;=15%),"Bulk Discount","no")</f>
        <v>Bulk Discount</v>
      </c>
      <c r="BW2" s="4" t="str">
        <f>IF(AND(Table1[[#This Row],[Quantity]]&gt;3,Table1[[#This Row],[Discount_%]]&gt;15%),"Bulk Customer","Normal")</f>
        <v>Normal</v>
      </c>
      <c r="BX2" t="s">
        <v>135</v>
      </c>
      <c r="BY2" t="s">
        <v>136</v>
      </c>
      <c r="BZ2">
        <f>COUNTIFS(BY:BY,"Returned",AV:AV,"West")</f>
        <v>9</v>
      </c>
      <c r="CA2">
        <f>COUNTIF(BY:BY,"Returned")</f>
        <v>59</v>
      </c>
      <c r="CB2">
        <f>COUNTIF(BY:BY,"Delivered")</f>
        <v>199</v>
      </c>
      <c r="CC2" t="str">
        <f>IF(OR(Table1[[#This Row],[Order_Status]]="Returned",Table1[[#This Row],[Order_Status]]="Cancelled"),"Attention Required","Not")</f>
        <v>Not</v>
      </c>
      <c r="CD2" t="str">
        <f>IF(OR(Table1[[#This Row],[Order_Status]]="Returned",Table1[[#This Row],[Order_Status]]="Cancelled"),"Review","no")</f>
        <v>no</v>
      </c>
      <c r="CE2" t="str">
        <f>SUBSTITUTE(Table1[[#This Row],[Order_Status]],"Delivered","Completed")</f>
        <v>Completed</v>
      </c>
      <c r="CF2" s="2">
        <v>45686</v>
      </c>
      <c r="CG2" s="17">
        <f>NETWORKDAYS(Table1[[#This Row],[Order_Date]],Table1[[#This Row],[Delivery_Date]])</f>
        <v>3</v>
      </c>
      <c r="CH2" s="17">
        <f>Table1[[#This Row],[Delivery_Date]]-Table1[[#This Row],[Order_Date]]</f>
        <v>3</v>
      </c>
      <c r="CI2" t="s">
        <v>137</v>
      </c>
      <c r="CJ2" t="str">
        <f>IF(Table1[[#This Row],[Rating]]&gt;=4,"Good","Needs Improvement")</f>
        <v>Needs Improvement</v>
      </c>
      <c r="CK2" t="str">
        <f>IF(OR(Table1[[#This Row],[Rating]]&lt;=2,Table1[[#This Row],[Profit]]&lt;0),"Review","NO")</f>
        <v>Review</v>
      </c>
      <c r="CL2" t="e" cm="1">
        <f t="array" ref="CL2">_xlfn.IFS(Table1[[#This Row],[Rating]]&gt;2,"Poor",Table1[[#This Row],[Rating]]=3,"Average",Table1[[#This Row],[Rating]]=4,"Good",CP2=5,"Excellent")</f>
        <v>#N/A</v>
      </c>
      <c r="CM2">
        <f>COUNT(Table1[[#This Row],[Rating]])</f>
        <v>1</v>
      </c>
      <c r="CN2">
        <f>COUNTBLANK(Table1[[#This Row],[Rating]])</f>
        <v>0</v>
      </c>
      <c r="CO2">
        <f>COUNTIF(CQ:CQ,5)</f>
        <v>101</v>
      </c>
      <c r="CP2" t="s">
        <v>138</v>
      </c>
      <c r="CQ2" s="14">
        <v>2</v>
      </c>
      <c r="CR2" t="s">
        <v>139</v>
      </c>
      <c r="CS2" t="s">
        <v>140</v>
      </c>
      <c r="CT2">
        <f>MIN(CU:CU)</f>
        <v>799</v>
      </c>
      <c r="CU2" s="3">
        <v>10797.3</v>
      </c>
      <c r="CV2" s="3">
        <f>ROUND(Table1[[#This Row],[Sales_Amount]],0)</f>
        <v>10797</v>
      </c>
      <c r="CW2" s="3">
        <f>MAX(CU:CU)</f>
        <v>27620.75</v>
      </c>
      <c r="CX2" s="3">
        <f>SUM(CU:CU)</f>
        <v>2682928.5000000014</v>
      </c>
      <c r="CY2" s="3" t="str">
        <f>IF(AND(Table1[[#This Row],[Sales_Amount]]&gt;=10000,Table1[[#This Row],[Profit]]&gt;0),"Good Order")</f>
        <v>Good Order</v>
      </c>
      <c r="CZ2" s="3" t="str">
        <f>IF(Table1[[#This Row],[Sales_Amount]]&gt;=10000,"High","Normal")</f>
        <v>High</v>
      </c>
      <c r="DA2" s="3">
        <v>3297.3</v>
      </c>
      <c r="DB2" s="3">
        <f>ROUND(Table1[[#This Row],[Profit]],0)</f>
        <v>3297</v>
      </c>
      <c r="DC2" s="3">
        <f>ABS(Table1[[#This Row],[Profit]])</f>
        <v>3297.3</v>
      </c>
      <c r="DD2" s="3">
        <f>MAX(DA:DA)</f>
        <v>9495</v>
      </c>
      <c r="DE2" s="3">
        <f>MIN(DA:DA)</f>
        <v>324.25</v>
      </c>
      <c r="DF2" s="3">
        <f>SUM(DA:DA)</f>
        <v>930878.50000000035</v>
      </c>
      <c r="DG2" s="3" t="str">
        <f>IF(Table1[[#This Row],[Profit]]&gt;0,"Profit","Loss")</f>
        <v>Profit</v>
      </c>
      <c r="DH2" s="3" t="str">
        <f>IF(AND(Table1[[#This Row],[Sales_Amount]]&gt;=10000,Table1[[#This Row],[Profit]]&gt;0),"Priority","Normal")</f>
        <v>Priority</v>
      </c>
      <c r="DI2" s="3">
        <f t="shared" ref="DI2:DI65" ca="1" si="2">RAND()</f>
        <v>0.45689545316222957</v>
      </c>
      <c r="DJ2" s="3">
        <f t="shared" ref="DJ2:DJ65" ca="1" si="3">RANDBETWEEN(1,100)</f>
        <v>92</v>
      </c>
      <c r="DK2" s="3">
        <f>AVERAGE(CU:CU)</f>
        <v>7557.5450704225395</v>
      </c>
      <c r="DL2" s="3">
        <f>AVERAGE(DA:DA)</f>
        <v>2622.1929577464798</v>
      </c>
      <c r="DM2" s="3">
        <f>AVERAGE(CQ:CQ)</f>
        <v>3.6136363636363638</v>
      </c>
      <c r="DN2" s="3">
        <f>AVERAGE(BS:BS)</f>
        <v>3.0704225352112675</v>
      </c>
      <c r="DO2" s="3">
        <f>AVERAGEIF(BH:BH,"Electronics",CU:CU)</f>
        <v>6692.1802083333314</v>
      </c>
      <c r="DP2" s="3">
        <f>AVERAGEIFS(CU:CU,BH:BH,"Electronics",AV:AV,"West")</f>
        <v>7102.9945945945956</v>
      </c>
    </row>
    <row r="3" spans="1:120">
      <c r="A3" t="s">
        <v>141</v>
      </c>
      <c r="B3" t="str">
        <f>REPLACE(Table1[[#This Row],[Order_ID]],1,3,"YOO")</f>
        <v>YOO10002</v>
      </c>
      <c r="C3" t="str">
        <f>MID(Table1[[#This Row],[Order_ID]],4,4)</f>
        <v>1000</v>
      </c>
      <c r="D3" t="str">
        <f>LEFT(Table1[[#This Row],[Order_ID]],4)</f>
        <v>ORD1</v>
      </c>
      <c r="E3" t="str">
        <f>RIGHT(Table1[[#This Row],[Order_ID]],5)</f>
        <v>10002</v>
      </c>
      <c r="F3" t="s">
        <v>5</v>
      </c>
      <c r="G3">
        <v>10002</v>
      </c>
      <c r="H3" t="s">
        <v>142</v>
      </c>
      <c r="I3" s="2">
        <f>EDATE(Table1[[#This Row],[Order_Date]],3)</f>
        <v>45988</v>
      </c>
      <c r="J3" s="2">
        <f>EDATE(Table1[[#This Row],[Order_Date]],6)</f>
        <v>46080</v>
      </c>
      <c r="K3">
        <f ca="1">YEAR(Table1[[#This Row],[Today]])</f>
        <v>2026</v>
      </c>
      <c r="L3">
        <v>2</v>
      </c>
      <c r="M3">
        <f ca="1">DAY(Table1[[#This Row],[Today]])</f>
        <v>11</v>
      </c>
      <c r="N3" s="19">
        <f ca="1">NOW()</f>
        <v>46245.589795370368</v>
      </c>
      <c r="O3" s="2">
        <f t="shared" ca="1" si="0"/>
        <v>46245</v>
      </c>
      <c r="P3" s="17">
        <f ca="1">Table1[[#This Row],[Today]]-Table1[[#This Row],[Order_Date]]</f>
        <v>349</v>
      </c>
      <c r="Q3" s="2">
        <v>45659</v>
      </c>
      <c r="R3" s="2">
        <v>45896</v>
      </c>
      <c r="S3" s="6">
        <f t="shared" ref="S3:S66" si="4">YEAR(R3)</f>
        <v>2025</v>
      </c>
      <c r="T3" s="7" t="str">
        <f t="shared" ref="T3:T66" si="5">TEXT(R3,"mmmm")</f>
        <v>August</v>
      </c>
      <c r="U3" s="2">
        <f>WORKDAY(Table1[[#This Row],[Order_Date]],5)</f>
        <v>45903</v>
      </c>
      <c r="V3" s="7" t="str">
        <f>CONCATENATE(Table1[[#This Row],[Customer_ID]],Table1[[#This Row],[Customer_Name]])</f>
        <v>C1057Nitin Soni</v>
      </c>
      <c r="W3" t="s">
        <v>143</v>
      </c>
      <c r="X3" t="s">
        <v>144</v>
      </c>
      <c r="Y3">
        <f>COUNTA(Table1[[#This Row],[Customer_Name]])</f>
        <v>1</v>
      </c>
      <c r="Z3" t="str">
        <f>SUBSTITUTE(Table1[[#This Row],[Customer_Name]]," ","_")</f>
        <v>Nitin_Soni</v>
      </c>
      <c r="AA3" s="10" t="str">
        <f>IFERROR(SEARCH("a",Table1[[#This Row],[Customer_Name]]),"N/A")</f>
        <v>N/A</v>
      </c>
      <c r="AB3">
        <f>SEARCH(" ",Table1[[#This Row],[Customer_Name]])</f>
        <v>6</v>
      </c>
      <c r="AC3" s="11" t="str">
        <f>IFERROR(FIND("a",Table1[[#This Row],[Customer_Name]]),"N/A")</f>
        <v>N/A</v>
      </c>
      <c r="AD3">
        <f>FIND(" ",Table1[[#This Row],[Customer_Name]])</f>
        <v>6</v>
      </c>
      <c r="AE3" t="str">
        <f>TRIM(Table1[[#This Row],[Customer_Name]])</f>
        <v>Nitin Soni</v>
      </c>
      <c r="AF3">
        <f>LEN(Table1[[#This Row],[Trimmed]])</f>
        <v>10</v>
      </c>
      <c r="AG3">
        <f>MAX(Table1[Length])</f>
        <v>15</v>
      </c>
      <c r="AH3" t="str">
        <f>PROPER(Table1[[#This Row],[Customer_Name]])</f>
        <v>Nitin Soni</v>
      </c>
      <c r="AI3" t="str">
        <f>LOWER(Table1[[#This Row],[Customer_Name]])</f>
        <v>nitin soni</v>
      </c>
      <c r="AJ3" t="str">
        <f>UPPER(Table1[[#This Row],[Customer_Name]])</f>
        <v>NITIN SONI</v>
      </c>
      <c r="AK3" t="str">
        <f>CONCATENATE(Table1[[#This Row],[Customer_ID]],Table1[[#This Row],[Customer_Name]])</f>
        <v>C1057Nitin Soni</v>
      </c>
      <c r="AL3" t="s">
        <v>145</v>
      </c>
      <c r="AM3" t="s">
        <v>146</v>
      </c>
      <c r="AN3" t="s">
        <v>147</v>
      </c>
      <c r="AO3" t="s">
        <v>145</v>
      </c>
      <c r="AP3" t="s">
        <v>146</v>
      </c>
      <c r="AQ3" t="s">
        <v>148</v>
      </c>
      <c r="AR3" t="str">
        <f>TRIM(Table1[[#This Row],[City]])</f>
        <v>Jaipur</v>
      </c>
      <c r="AS3" t="str">
        <f>PROPER(Table1[[#This Row],[City]])</f>
        <v>Jaipur</v>
      </c>
      <c r="AT3" t="s">
        <v>149</v>
      </c>
      <c r="AU3" t="str">
        <f>CONCATENATE(Table1[[#This Row],[City]],Table1[[#This Row],[State]])</f>
        <v>JaipurRajasthan</v>
      </c>
      <c r="AV3" t="s">
        <v>150</v>
      </c>
      <c r="AW3" t="s">
        <v>151</v>
      </c>
      <c r="AX3" t="str">
        <f>REPLACE(Table1[[#This Row],[Product_ID]],1,1,"s")</f>
        <v>s102</v>
      </c>
      <c r="AY3" t="s">
        <v>152</v>
      </c>
      <c r="AZ3">
        <f>SEARCH("-",Table1[[#This Row],[Product ID]])</f>
        <v>2</v>
      </c>
      <c r="BA3">
        <f>FIND("-",Table1[[#This Row],[Product ID]])</f>
        <v>2</v>
      </c>
      <c r="BB3" t="str">
        <f>MID(Table1[[#This Row],[Product_ID]],2,3)</f>
        <v>102</v>
      </c>
      <c r="BC3" t="str">
        <f>RIGHT(Table1[[#This Row],[Product_ID]],3)</f>
        <v>102</v>
      </c>
      <c r="BD3" t="str">
        <f>LEFT(Table1[[#This Row],[Product_ID]],3)</f>
        <v>P10</v>
      </c>
      <c r="BE3" t="str">
        <f>_xlfn.XLOOKUP(Table1[[#This Row],[Product_ID]],AW:AW,BF:BF,,0)</f>
        <v>Mechanical Keyboard</v>
      </c>
      <c r="BF3" t="s">
        <v>153</v>
      </c>
      <c r="BG3">
        <f>LEN(Table1[[#This Row],[Product_Name]])</f>
        <v>19</v>
      </c>
      <c r="BH3" t="s">
        <v>154</v>
      </c>
      <c r="BI3">
        <f t="shared" si="1"/>
        <v>75</v>
      </c>
      <c r="BJ3" t="str">
        <f>SUBSTITUTE(Table1[[#This Row],[Category]],"Electronics","ELECTRONICS")</f>
        <v>ELECTRONICS</v>
      </c>
      <c r="BN3" t="s">
        <v>155</v>
      </c>
      <c r="BS3" s="14">
        <v>5</v>
      </c>
      <c r="BT3" s="3">
        <v>2499</v>
      </c>
      <c r="BU3" s="4">
        <v>0</v>
      </c>
      <c r="BV3" s="4" t="str">
        <f>IF(AND(Table1[[#This Row],[Quantity]]&gt;=3,Table1[[#This Row],[Discount_%]]&gt;=15%),"Bulk Discount","no")</f>
        <v>no</v>
      </c>
      <c r="BW3" s="4" t="str">
        <f>IF(AND(Table1[[#This Row],[Quantity]]&gt;3,Table1[[#This Row],[Discount_%]]&gt;15%),"Bulk Customer","Normal")</f>
        <v>Normal</v>
      </c>
      <c r="BX3" t="s">
        <v>135</v>
      </c>
      <c r="BY3" t="s">
        <v>156</v>
      </c>
      <c r="CC3" t="str">
        <f>IF(OR(Table1[[#This Row],[Order_Status]]="Returned",Table1[[#This Row],[Order_Status]]="Cancelled"),"Attention Required","Not")</f>
        <v>Attention Required</v>
      </c>
      <c r="CD3" t="str">
        <f>IF(OR(Table1[[#This Row],[Order_Status]]="Returned",Table1[[#This Row],[Order_Status]]="Cancelled"),"Review","no")</f>
        <v>Review</v>
      </c>
      <c r="CE3" t="str">
        <f>SUBSTITUTE(Table1[[#This Row],[Order_Status]],"Delivered","Completed")</f>
        <v>Cancelled</v>
      </c>
      <c r="CF3" s="2">
        <v>45900</v>
      </c>
      <c r="CG3" s="17">
        <f>NETWORKDAYS(Table1[[#This Row],[Order_Date]],Table1[[#This Row],[Delivery_Date]])</f>
        <v>3</v>
      </c>
      <c r="CH3" s="17">
        <f>Table1[[#This Row],[Delivery_Date]]-Table1[[#This Row],[Order_Date]]</f>
        <v>4</v>
      </c>
      <c r="CI3" t="s">
        <v>137</v>
      </c>
      <c r="CJ3" t="str">
        <f>IF(Table1[[#This Row],[Rating]]&gt;=4,"Good","Needs Improvement")</f>
        <v>Good</v>
      </c>
      <c r="CK3" t="str">
        <f>IF(OR(Table1[[#This Row],[Rating]]&lt;=2,Table1[[#This Row],[Profit]]&lt;0),"Review","NO")</f>
        <v>NO</v>
      </c>
      <c r="CL3" t="str" cm="1">
        <f t="array" ref="CL3">_xlfn.IFS(Table1[[#This Row],[Rating]]&gt;2,"Poor",Table1[[#This Row],[Rating]]=3,"Average",Table1[[#This Row],[Rating]]=4,"Good",CP3=5,"Excellent")</f>
        <v>Poor</v>
      </c>
      <c r="CM3">
        <f>COUNT(Table1[[#This Row],[Rating]])</f>
        <v>1</v>
      </c>
      <c r="CN3">
        <f>COUNTBLANK(Table1[[#This Row],[Rating]])</f>
        <v>0</v>
      </c>
      <c r="CP3" t="s">
        <v>157</v>
      </c>
      <c r="CQ3" s="14">
        <v>5</v>
      </c>
      <c r="CR3" t="s">
        <v>139</v>
      </c>
      <c r="CS3" t="s">
        <v>158</v>
      </c>
      <c r="CU3" s="3">
        <v>12495</v>
      </c>
      <c r="CV3" s="3">
        <f>ROUND(Table1[[#This Row],[Sales_Amount]],0)</f>
        <v>12495</v>
      </c>
      <c r="CW3" s="3"/>
      <c r="CX3" s="3"/>
      <c r="CY3" s="3" t="str">
        <f>IF(AND(Table1[[#This Row],[Sales_Amount]]&gt;=10000,Table1[[#This Row],[Profit]]&gt;0),"Good Order")</f>
        <v>Good Order</v>
      </c>
      <c r="CZ3" s="3" t="str">
        <f>IF(Table1[[#This Row],[Sales_Amount]]&gt;=10000,"High","Normal")</f>
        <v>High</v>
      </c>
      <c r="DA3" s="3">
        <v>5245</v>
      </c>
      <c r="DB3" s="3">
        <f>ROUND(Table1[[#This Row],[Profit]],0)</f>
        <v>5245</v>
      </c>
      <c r="DC3" s="3">
        <f>ABS(Table1[[#This Row],[Profit]])</f>
        <v>5245</v>
      </c>
      <c r="DD3" s="3"/>
      <c r="DE3" s="3"/>
      <c r="DF3" s="3"/>
      <c r="DG3" s="3" t="str">
        <f>IF(Table1[[#This Row],[Profit]]&gt;0,"Profit","Loss")</f>
        <v>Profit</v>
      </c>
      <c r="DH3" s="3" t="str">
        <f>IF(AND(Table1[[#This Row],[Sales_Amount]]&gt;=10000,Table1[[#This Row],[Profit]]&gt;0),"Priority","Normal")</f>
        <v>Priority</v>
      </c>
      <c r="DI3" s="3">
        <f t="shared" ca="1" si="2"/>
        <v>0.81431738686379174</v>
      </c>
      <c r="DJ3" s="3">
        <f t="shared" ca="1" si="3"/>
        <v>55</v>
      </c>
      <c r="DK3" s="3"/>
      <c r="DL3" s="3"/>
      <c r="DM3" s="3"/>
      <c r="DN3" s="3"/>
      <c r="DO3" s="3"/>
      <c r="DP3" s="3"/>
    </row>
    <row r="4" spans="1:120">
      <c r="A4" t="s">
        <v>159</v>
      </c>
      <c r="B4" t="str">
        <f>REPLACE(Table1[[#This Row],[Order_ID]],1,3,"YOO")</f>
        <v>YOO10003</v>
      </c>
      <c r="C4" t="str">
        <f>MID(Table1[[#This Row],[Order_ID]],4,4)</f>
        <v>1000</v>
      </c>
      <c r="D4" t="str">
        <f>LEFT(Table1[[#This Row],[Order_ID]],4)</f>
        <v>ORD1</v>
      </c>
      <c r="E4" t="str">
        <f>RIGHT(Table1[[#This Row],[Order_ID]],5)</f>
        <v>10003</v>
      </c>
      <c r="F4" t="s">
        <v>5</v>
      </c>
      <c r="G4">
        <v>10003</v>
      </c>
      <c r="H4" t="s">
        <v>160</v>
      </c>
      <c r="I4" s="2">
        <f>EDATE(Table1[[#This Row],[Order_Date]],3)</f>
        <v>46096</v>
      </c>
      <c r="J4" s="2">
        <f>EDATE(Table1[[#This Row],[Order_Date]],6)</f>
        <v>46188</v>
      </c>
      <c r="K4">
        <f ca="1">YEAR(Table1[[#This Row],[Today]])</f>
        <v>2026</v>
      </c>
      <c r="L4">
        <v>3</v>
      </c>
      <c r="M4">
        <f ca="1">DAY(Table1[[#This Row],[Today]])</f>
        <v>11</v>
      </c>
      <c r="N4" s="19">
        <f t="shared" ref="N4:N67" ca="1" si="6">NOW()</f>
        <v>46245.589795370368</v>
      </c>
      <c r="O4" s="2">
        <f t="shared" ca="1" si="0"/>
        <v>46245</v>
      </c>
      <c r="P4" s="17">
        <f ca="1">Table1[[#This Row],[Today]]-Table1[[#This Row],[Order_Date]]</f>
        <v>239</v>
      </c>
      <c r="Q4" s="2">
        <v>45660</v>
      </c>
      <c r="R4" s="2">
        <v>46006</v>
      </c>
      <c r="S4" s="6">
        <f t="shared" si="4"/>
        <v>2025</v>
      </c>
      <c r="T4" s="7" t="str">
        <f t="shared" si="5"/>
        <v>December</v>
      </c>
      <c r="U4" s="2">
        <f>WORKDAY(Table1[[#This Row],[Order_Date]],5)</f>
        <v>46013</v>
      </c>
      <c r="V4" s="7" t="str">
        <f>CONCATENATE(Table1[[#This Row],[Customer_ID]],Table1[[#This Row],[Customer_Name]])</f>
        <v>C1024Mohit Khan</v>
      </c>
      <c r="W4" t="s">
        <v>161</v>
      </c>
      <c r="X4" t="s">
        <v>162</v>
      </c>
      <c r="Y4">
        <f>COUNTA(Table1[[#This Row],[Customer_Name]])</f>
        <v>1</v>
      </c>
      <c r="Z4" t="str">
        <f>SUBSTITUTE(Table1[[#This Row],[Customer_Name]]," ","_")</f>
        <v>Mohit_Khan</v>
      </c>
      <c r="AA4" s="10">
        <f>IFERROR(SEARCH("a",Table1[[#This Row],[Customer_Name]]),"N/A")</f>
        <v>9</v>
      </c>
      <c r="AB4">
        <f>SEARCH(" ",Table1[[#This Row],[Customer_Name]])</f>
        <v>6</v>
      </c>
      <c r="AC4" s="11">
        <f>IFERROR(FIND("a",Table1[[#This Row],[Customer_Name]]),"N/A")</f>
        <v>9</v>
      </c>
      <c r="AD4">
        <f>FIND(" ",Table1[[#This Row],[Customer_Name]])</f>
        <v>6</v>
      </c>
      <c r="AE4" t="str">
        <f>TRIM(Table1[[#This Row],[Customer_Name]])</f>
        <v>Mohit Khan</v>
      </c>
      <c r="AF4">
        <f>LEN(Table1[[#This Row],[Trimmed]])</f>
        <v>10</v>
      </c>
      <c r="AG4">
        <f>MAX(Table1[Length])</f>
        <v>15</v>
      </c>
      <c r="AH4" t="str">
        <f>PROPER(Table1[[#This Row],[Customer_Name]])</f>
        <v>Mohit Khan</v>
      </c>
      <c r="AI4" t="str">
        <f>LOWER(Table1[[#This Row],[Customer_Name]])</f>
        <v>mohit khan</v>
      </c>
      <c r="AJ4" t="str">
        <f>UPPER(Table1[[#This Row],[Customer_Name]])</f>
        <v>MOHIT KHAN</v>
      </c>
      <c r="AK4" t="str">
        <f>CONCATENATE(Table1[[#This Row],[Customer_ID]],Table1[[#This Row],[Customer_Name]])</f>
        <v>C1024Mohit Khan</v>
      </c>
      <c r="AL4" t="s">
        <v>163</v>
      </c>
      <c r="AM4" t="s">
        <v>164</v>
      </c>
      <c r="AN4" t="s">
        <v>165</v>
      </c>
      <c r="AO4" t="s">
        <v>163</v>
      </c>
      <c r="AP4" t="s">
        <v>164</v>
      </c>
      <c r="AQ4" t="s">
        <v>166</v>
      </c>
      <c r="AR4" t="str">
        <f>TRIM(Table1[[#This Row],[City]])</f>
        <v>Bengaluru</v>
      </c>
      <c r="AS4" t="str">
        <f>PROPER(Table1[[#This Row],[City]])</f>
        <v>Bengaluru</v>
      </c>
      <c r="AT4" t="s">
        <v>167</v>
      </c>
      <c r="AU4" t="str">
        <f>CONCATENATE(Table1[[#This Row],[City]],Table1[[#This Row],[State]])</f>
        <v>BengaluruKarnataka</v>
      </c>
      <c r="AV4" t="s">
        <v>168</v>
      </c>
      <c r="AW4" t="s">
        <v>169</v>
      </c>
      <c r="AX4" t="str">
        <f>REPLACE(Table1[[#This Row],[Product_ID]],1,1,"s")</f>
        <v>s112</v>
      </c>
      <c r="AY4" t="s">
        <v>170</v>
      </c>
      <c r="AZ4">
        <f>SEARCH("-",Table1[[#This Row],[Product ID]])</f>
        <v>2</v>
      </c>
      <c r="BA4">
        <f>FIND("-",Table1[[#This Row],[Product ID]])</f>
        <v>2</v>
      </c>
      <c r="BB4" t="str">
        <f>MID(Table1[[#This Row],[Product_ID]],2,3)</f>
        <v>112</v>
      </c>
      <c r="BC4" t="str">
        <f>RIGHT(Table1[[#This Row],[Product_ID]],3)</f>
        <v>112</v>
      </c>
      <c r="BD4" t="str">
        <f>LEFT(Table1[[#This Row],[Product_ID]],3)</f>
        <v>P11</v>
      </c>
      <c r="BE4" t="str">
        <f>_xlfn.XLOOKUP(Table1[[#This Row],[Product_ID]],AW:AW,BF:BF,,0)</f>
        <v>Air Fryer</v>
      </c>
      <c r="BF4" t="s">
        <v>171</v>
      </c>
      <c r="BG4">
        <f>LEN(Table1[[#This Row],[Product_Name]])</f>
        <v>9</v>
      </c>
      <c r="BH4" t="s">
        <v>133</v>
      </c>
      <c r="BI4">
        <f t="shared" si="1"/>
        <v>75</v>
      </c>
      <c r="BJ4" t="str">
        <f>SUBSTITUTE(Table1[[#This Row],[Category]],"Electronics","ELECTRONICS")</f>
        <v>Home</v>
      </c>
      <c r="BN4" t="s">
        <v>134</v>
      </c>
      <c r="BS4" s="14">
        <v>3</v>
      </c>
      <c r="BT4" s="3">
        <v>6499</v>
      </c>
      <c r="BU4" s="4">
        <v>5</v>
      </c>
      <c r="BV4" s="4" t="str">
        <f>IF(AND(Table1[[#This Row],[Quantity]]&gt;=3,Table1[[#This Row],[Discount_%]]&gt;=15%),"Bulk Discount","no")</f>
        <v>Bulk Discount</v>
      </c>
      <c r="BW4" s="4" t="str">
        <f>IF(AND(Table1[[#This Row],[Quantity]]&gt;3,Table1[[#This Row],[Discount_%]]&gt;15%),"Bulk Customer","Normal")</f>
        <v>Normal</v>
      </c>
      <c r="BX4" t="s">
        <v>172</v>
      </c>
      <c r="BY4" t="s">
        <v>136</v>
      </c>
      <c r="CC4" t="str">
        <f>IF(OR(Table1[[#This Row],[Order_Status]]="Returned",Table1[[#This Row],[Order_Status]]="Cancelled"),"Attention Required","Not")</f>
        <v>Not</v>
      </c>
      <c r="CD4" t="str">
        <f>IF(OR(Table1[[#This Row],[Order_Status]]="Returned",Table1[[#This Row],[Order_Status]]="Cancelled"),"Review","no")</f>
        <v>no</v>
      </c>
      <c r="CE4" t="str">
        <f>SUBSTITUTE(Table1[[#This Row],[Order_Status]],"Delivered","Completed")</f>
        <v>Completed</v>
      </c>
      <c r="CF4" s="2">
        <v>46012</v>
      </c>
      <c r="CG4" s="17">
        <f>NETWORKDAYS(Table1[[#This Row],[Order_Date]],Table1[[#This Row],[Delivery_Date]])</f>
        <v>5</v>
      </c>
      <c r="CH4" s="17">
        <f>Table1[[#This Row],[Delivery_Date]]-Table1[[#This Row],[Order_Date]]</f>
        <v>6</v>
      </c>
      <c r="CI4" t="s">
        <v>137</v>
      </c>
      <c r="CJ4" t="str">
        <f>IF(Table1[[#This Row],[Rating]]&gt;=4,"Good","Needs Improvement")</f>
        <v>Needs Improvement</v>
      </c>
      <c r="CK4" t="str">
        <f>IF(OR(Table1[[#This Row],[Rating]]&lt;=2,Table1[[#This Row],[Profit]]&lt;0),"Review","NO")</f>
        <v>Review</v>
      </c>
      <c r="CL4" t="e" cm="1">
        <f t="array" ref="CL4">_xlfn.IFS(Table1[[#This Row],[Rating]]&gt;2,"Poor",Table1[[#This Row],[Rating]]=3,"Average",Table1[[#This Row],[Rating]]=4,"Good",CP4=5,"Excellent")</f>
        <v>#N/A</v>
      </c>
      <c r="CM4">
        <f>COUNT(Table1[[#This Row],[Rating]])</f>
        <v>1</v>
      </c>
      <c r="CN4">
        <f>COUNTBLANK(Table1[[#This Row],[Rating]])</f>
        <v>0</v>
      </c>
      <c r="CP4" t="s">
        <v>157</v>
      </c>
      <c r="CQ4" s="14">
        <v>2</v>
      </c>
      <c r="CR4" t="s">
        <v>173</v>
      </c>
      <c r="CS4" t="s">
        <v>174</v>
      </c>
      <c r="CU4" s="3">
        <v>18522.150000000001</v>
      </c>
      <c r="CV4" s="3">
        <f>ROUND(Table1[[#This Row],[Sales_Amount]],0)</f>
        <v>18522</v>
      </c>
      <c r="CW4" s="3"/>
      <c r="CX4" s="3"/>
      <c r="CY4" s="3" t="str">
        <f>IF(AND(Table1[[#This Row],[Sales_Amount]]&gt;=10000,Table1[[#This Row],[Profit]]&gt;0),"Good Order")</f>
        <v>Good Order</v>
      </c>
      <c r="CZ4" s="3" t="str">
        <f>IF(Table1[[#This Row],[Sales_Amount]]&gt;=10000,"High","Normal")</f>
        <v>High</v>
      </c>
      <c r="DA4" s="3">
        <v>5622.15</v>
      </c>
      <c r="DB4" s="3">
        <f>ROUND(Table1[[#This Row],[Profit]],0)</f>
        <v>5622</v>
      </c>
      <c r="DC4" s="3">
        <f>ABS(Table1[[#This Row],[Profit]])</f>
        <v>5622.15</v>
      </c>
      <c r="DD4" s="3"/>
      <c r="DE4" s="3"/>
      <c r="DF4" s="3"/>
      <c r="DG4" s="3" t="str">
        <f>IF(Table1[[#This Row],[Profit]]&gt;0,"Profit","Loss")</f>
        <v>Profit</v>
      </c>
      <c r="DH4" s="3" t="str">
        <f>IF(AND(Table1[[#This Row],[Sales_Amount]]&gt;=10000,Table1[[#This Row],[Profit]]&gt;0),"Priority","Normal")</f>
        <v>Priority</v>
      </c>
      <c r="DI4" s="3">
        <f t="shared" ca="1" si="2"/>
        <v>0.27502710712136347</v>
      </c>
      <c r="DJ4" s="3">
        <f t="shared" ca="1" si="3"/>
        <v>49</v>
      </c>
      <c r="DK4" s="3"/>
      <c r="DL4" s="3"/>
      <c r="DM4" s="3"/>
      <c r="DN4" s="3"/>
      <c r="DO4" s="3"/>
      <c r="DP4" s="3"/>
    </row>
    <row r="5" spans="1:120">
      <c r="A5" t="s">
        <v>175</v>
      </c>
      <c r="B5" t="str">
        <f>REPLACE(Table1[[#This Row],[Order_ID]],1,3,"YOO")</f>
        <v>YOO10004</v>
      </c>
      <c r="C5" t="str">
        <f>MID(Table1[[#This Row],[Order_ID]],4,4)</f>
        <v>1000</v>
      </c>
      <c r="D5" t="str">
        <f>LEFT(Table1[[#This Row],[Order_ID]],4)</f>
        <v>ORD1</v>
      </c>
      <c r="E5" t="str">
        <f>RIGHT(Table1[[#This Row],[Order_ID]],5)</f>
        <v>10004</v>
      </c>
      <c r="F5" t="s">
        <v>5</v>
      </c>
      <c r="G5">
        <v>10004</v>
      </c>
      <c r="H5" t="s">
        <v>176</v>
      </c>
      <c r="I5" s="2">
        <f>EDATE(Table1[[#This Row],[Order_Date]],3)</f>
        <v>46219</v>
      </c>
      <c r="J5" s="2">
        <f>EDATE(Table1[[#This Row],[Order_Date]],6)</f>
        <v>46311</v>
      </c>
      <c r="K5">
        <f ca="1">YEAR(Table1[[#This Row],[Today]])</f>
        <v>2026</v>
      </c>
      <c r="L5">
        <v>4</v>
      </c>
      <c r="M5">
        <f ca="1">DAY(Table1[[#This Row],[Today]])</f>
        <v>11</v>
      </c>
      <c r="N5" s="19">
        <f t="shared" ca="1" si="6"/>
        <v>46245.589795138891</v>
      </c>
      <c r="O5" s="2">
        <f t="shared" ca="1" si="0"/>
        <v>46245</v>
      </c>
      <c r="P5" s="17">
        <f ca="1">Table1[[#This Row],[Today]]-Table1[[#This Row],[Order_Date]]</f>
        <v>117</v>
      </c>
      <c r="Q5" s="2">
        <v>45661</v>
      </c>
      <c r="R5" s="2">
        <v>46128</v>
      </c>
      <c r="S5" s="6">
        <f t="shared" si="4"/>
        <v>2026</v>
      </c>
      <c r="T5" s="7" t="str">
        <f t="shared" si="5"/>
        <v>April</v>
      </c>
      <c r="U5" s="2">
        <f>WORKDAY(Table1[[#This Row],[Order_Date]],5)</f>
        <v>46135</v>
      </c>
      <c r="V5" s="7" t="str">
        <f>CONCATENATE(Table1[[#This Row],[Customer_ID]],Table1[[#This Row],[Customer_Name]])</f>
        <v>C1093Varun Tiwari</v>
      </c>
      <c r="W5" t="s">
        <v>177</v>
      </c>
      <c r="X5" t="s">
        <v>178</v>
      </c>
      <c r="Y5">
        <f>COUNTA(Table1[[#This Row],[Customer_Name]])</f>
        <v>1</v>
      </c>
      <c r="Z5" t="str">
        <f>SUBSTITUTE(Table1[[#This Row],[Customer_Name]]," ","_")</f>
        <v>Varun_Tiwari</v>
      </c>
      <c r="AA5" s="10">
        <f>IFERROR(SEARCH("a",Table1[[#This Row],[Customer_Name]]),"N/A")</f>
        <v>2</v>
      </c>
      <c r="AB5">
        <f>SEARCH(" ",Table1[[#This Row],[Customer_Name]])</f>
        <v>6</v>
      </c>
      <c r="AC5" s="11">
        <f>IFERROR(FIND("a",Table1[[#This Row],[Customer_Name]]),"N/A")</f>
        <v>2</v>
      </c>
      <c r="AD5">
        <f>FIND(" ",Table1[[#This Row],[Customer_Name]])</f>
        <v>6</v>
      </c>
      <c r="AE5" t="str">
        <f>TRIM(Table1[[#This Row],[Customer_Name]])</f>
        <v>Varun Tiwari</v>
      </c>
      <c r="AF5">
        <f>LEN(Table1[[#This Row],[Trimmed]])</f>
        <v>12</v>
      </c>
      <c r="AG5">
        <f>MAX(Table1[Length])</f>
        <v>15</v>
      </c>
      <c r="AH5" t="str">
        <f>PROPER(Table1[[#This Row],[Customer_Name]])</f>
        <v>Varun Tiwari</v>
      </c>
      <c r="AI5" t="str">
        <f>LOWER(Table1[[#This Row],[Customer_Name]])</f>
        <v>varun tiwari</v>
      </c>
      <c r="AJ5" t="str">
        <f>UPPER(Table1[[#This Row],[Customer_Name]])</f>
        <v>VARUN TIWARI</v>
      </c>
      <c r="AK5" t="str">
        <f>CONCATENATE(Table1[[#This Row],[Customer_ID]],Table1[[#This Row],[Customer_Name]])</f>
        <v>C1093Varun Tiwari</v>
      </c>
      <c r="AL5" t="s">
        <v>179</v>
      </c>
      <c r="AM5" t="s">
        <v>180</v>
      </c>
      <c r="AN5" t="s">
        <v>181</v>
      </c>
      <c r="AO5" t="s">
        <v>179</v>
      </c>
      <c r="AP5" t="s">
        <v>180</v>
      </c>
      <c r="AQ5" t="s">
        <v>182</v>
      </c>
      <c r="AR5" t="str">
        <f>TRIM(Table1[[#This Row],[City]])</f>
        <v>Mumbai</v>
      </c>
      <c r="AS5" t="str">
        <f>PROPER(Table1[[#This Row],[City]])</f>
        <v>Mumbai</v>
      </c>
      <c r="AT5" t="s">
        <v>128</v>
      </c>
      <c r="AU5" t="str">
        <f>CONCATENATE(Table1[[#This Row],[City]],Table1[[#This Row],[State]])</f>
        <v>MumbaiMaharashtra</v>
      </c>
      <c r="AV5" t="s">
        <v>129</v>
      </c>
      <c r="AW5" t="s">
        <v>183</v>
      </c>
      <c r="AX5" t="str">
        <f>REPLACE(Table1[[#This Row],[Product_ID]],1,1,"s")</f>
        <v>s105</v>
      </c>
      <c r="AY5" t="s">
        <v>184</v>
      </c>
      <c r="AZ5">
        <f>SEARCH("-",Table1[[#This Row],[Product ID]])</f>
        <v>2</v>
      </c>
      <c r="BA5">
        <f>FIND("-",Table1[[#This Row],[Product ID]])</f>
        <v>2</v>
      </c>
      <c r="BB5" t="str">
        <f>MID(Table1[[#This Row],[Product_ID]],2,3)</f>
        <v>105</v>
      </c>
      <c r="BC5" t="str">
        <f>RIGHT(Table1[[#This Row],[Product_ID]],3)</f>
        <v>105</v>
      </c>
      <c r="BD5" t="str">
        <f>LEFT(Table1[[#This Row],[Product_ID]],3)</f>
        <v>P10</v>
      </c>
      <c r="BE5" t="str">
        <f>_xlfn.XLOOKUP(Table1[[#This Row],[Product_ID]],AW:AW,BF:BF,,0)</f>
        <v>Bluetooth Speaker</v>
      </c>
      <c r="BF5" t="s">
        <v>185</v>
      </c>
      <c r="BG5">
        <f>LEN(Table1[[#This Row],[Product_Name]])</f>
        <v>17</v>
      </c>
      <c r="BH5" t="s">
        <v>154</v>
      </c>
      <c r="BI5">
        <f t="shared" ref="BI5:BI68" si="7">COUNTIFS(BH:BH,"Electronics",CQ:CQ,"&gt;=4")</f>
        <v>75</v>
      </c>
      <c r="BJ5" t="str">
        <f>SUBSTITUTE(Table1[[#This Row],[Category]],"Electronics","ELECTRONICS")</f>
        <v>ELECTRONICS</v>
      </c>
      <c r="BN5" t="s">
        <v>186</v>
      </c>
      <c r="BS5" s="14">
        <v>5</v>
      </c>
      <c r="BT5" s="3">
        <v>2999</v>
      </c>
      <c r="BU5" s="4">
        <v>0</v>
      </c>
      <c r="BV5" s="4" t="str">
        <f>IF(AND(Table1[[#This Row],[Quantity]]&gt;=3,Table1[[#This Row],[Discount_%]]&gt;=15%),"Bulk Discount","no")</f>
        <v>no</v>
      </c>
      <c r="BW5" s="4" t="str">
        <f>IF(AND(Table1[[#This Row],[Quantity]]&gt;3,Table1[[#This Row],[Discount_%]]&gt;15%),"Bulk Customer","Normal")</f>
        <v>Normal</v>
      </c>
      <c r="BX5" t="s">
        <v>187</v>
      </c>
      <c r="BY5" t="s">
        <v>136</v>
      </c>
      <c r="CC5" t="str">
        <f>IF(OR(Table1[[#This Row],[Order_Status]]="Returned",Table1[[#This Row],[Order_Status]]="Cancelled"),"Attention Required","Not")</f>
        <v>Not</v>
      </c>
      <c r="CD5" t="str">
        <f>IF(OR(Table1[[#This Row],[Order_Status]]="Returned",Table1[[#This Row],[Order_Status]]="Cancelled"),"Review","no")</f>
        <v>no</v>
      </c>
      <c r="CE5" t="str">
        <f>SUBSTITUTE(Table1[[#This Row],[Order_Status]],"Delivered","Completed")</f>
        <v>Completed</v>
      </c>
      <c r="CF5" s="2">
        <v>46130</v>
      </c>
      <c r="CG5" s="17">
        <f>NETWORKDAYS(Table1[[#This Row],[Order_Date]],Table1[[#This Row],[Delivery_Date]])</f>
        <v>2</v>
      </c>
      <c r="CH5" s="17">
        <f>Table1[[#This Row],[Delivery_Date]]-Table1[[#This Row],[Order_Date]]</f>
        <v>2</v>
      </c>
      <c r="CI5" t="s">
        <v>137</v>
      </c>
      <c r="CJ5" t="str">
        <f>IF(Table1[[#This Row],[Rating]]&gt;=4,"Good","Needs Improvement")</f>
        <v>Good</v>
      </c>
      <c r="CK5" t="str">
        <f>IF(OR(Table1[[#This Row],[Rating]]&lt;=2,Table1[[#This Row],[Profit]]&lt;0),"Review","NO")</f>
        <v>NO</v>
      </c>
      <c r="CL5" t="str" cm="1">
        <f t="array" ref="CL5">_xlfn.IFS(Table1[[#This Row],[Rating]]&gt;2,"Poor",Table1[[#This Row],[Rating]]=3,"Average",Table1[[#This Row],[Rating]]=4,"Good",CP5=5,"Excellent")</f>
        <v>Poor</v>
      </c>
      <c r="CM5">
        <f>COUNT(Table1[[#This Row],[Rating]])</f>
        <v>1</v>
      </c>
      <c r="CN5">
        <f>COUNTBLANK(Table1[[#This Row],[Rating]])</f>
        <v>0</v>
      </c>
      <c r="CQ5" s="14">
        <v>4</v>
      </c>
      <c r="CR5" t="s">
        <v>139</v>
      </c>
      <c r="CS5" t="s">
        <v>140</v>
      </c>
      <c r="CU5" s="3">
        <v>14995</v>
      </c>
      <c r="CV5" s="3">
        <f>ROUND(Table1[[#This Row],[Sales_Amount]],0)</f>
        <v>14995</v>
      </c>
      <c r="CW5" s="3"/>
      <c r="CX5" s="3"/>
      <c r="CY5" s="3" t="str">
        <f>IF(AND(Table1[[#This Row],[Sales_Amount]]&gt;=10000,Table1[[#This Row],[Profit]]&gt;0),"Good Order")</f>
        <v>Good Order</v>
      </c>
      <c r="CZ5" s="3" t="str">
        <f>IF(Table1[[#This Row],[Sales_Amount]]&gt;=10000,"High","Normal")</f>
        <v>High</v>
      </c>
      <c r="DA5" s="3">
        <v>6245</v>
      </c>
      <c r="DB5" s="3">
        <f>ROUND(Table1[[#This Row],[Profit]],0)</f>
        <v>6245</v>
      </c>
      <c r="DC5" s="3">
        <f>ABS(Table1[[#This Row],[Profit]])</f>
        <v>6245</v>
      </c>
      <c r="DD5" s="3"/>
      <c r="DE5" s="3"/>
      <c r="DF5" s="3"/>
      <c r="DG5" s="3" t="str">
        <f>IF(Table1[[#This Row],[Profit]]&gt;0,"Profit","Loss")</f>
        <v>Profit</v>
      </c>
      <c r="DH5" s="3" t="str">
        <f>IF(AND(Table1[[#This Row],[Sales_Amount]]&gt;=10000,Table1[[#This Row],[Profit]]&gt;0),"Priority","Normal")</f>
        <v>Priority</v>
      </c>
      <c r="DI5" s="3">
        <f t="shared" ca="1" si="2"/>
        <v>0.42457474653888749</v>
      </c>
      <c r="DJ5" s="3">
        <f t="shared" ca="1" si="3"/>
        <v>46</v>
      </c>
      <c r="DK5" s="3"/>
      <c r="DL5" s="3"/>
      <c r="DM5" s="3"/>
      <c r="DN5" s="3"/>
      <c r="DO5" s="3"/>
      <c r="DP5" s="3"/>
    </row>
    <row r="6" spans="1:120">
      <c r="A6" t="s">
        <v>188</v>
      </c>
      <c r="B6" t="str">
        <f>REPLACE(Table1[[#This Row],[Order_ID]],1,3,"YOO")</f>
        <v>YOO10005</v>
      </c>
      <c r="C6" t="str">
        <f>MID(Table1[[#This Row],[Order_ID]],4,4)</f>
        <v>1000</v>
      </c>
      <c r="D6" t="str">
        <f>LEFT(Table1[[#This Row],[Order_ID]],4)</f>
        <v>ORD1</v>
      </c>
      <c r="E6" t="str">
        <f>RIGHT(Table1[[#This Row],[Order_ID]],5)</f>
        <v>10005</v>
      </c>
      <c r="F6" t="s">
        <v>5</v>
      </c>
      <c r="G6">
        <v>10005</v>
      </c>
      <c r="H6" t="s">
        <v>189</v>
      </c>
      <c r="I6" s="2">
        <f>EDATE(Table1[[#This Row],[Order_Date]],3)</f>
        <v>46046</v>
      </c>
      <c r="J6" s="2">
        <f>EDATE(Table1[[#This Row],[Order_Date]],6)</f>
        <v>46136</v>
      </c>
      <c r="K6">
        <f ca="1">YEAR(Table1[[#This Row],[Today]])</f>
        <v>2026</v>
      </c>
      <c r="L6">
        <v>5</v>
      </c>
      <c r="M6">
        <f ca="1">DAY(Table1[[#This Row],[Today]])</f>
        <v>11</v>
      </c>
      <c r="N6" s="19">
        <f t="shared" ca="1" si="6"/>
        <v>46245.589795370368</v>
      </c>
      <c r="O6" s="2">
        <f t="shared" ca="1" si="0"/>
        <v>46245</v>
      </c>
      <c r="P6" s="17">
        <f ca="1">Table1[[#This Row],[Today]]-Table1[[#This Row],[Order_Date]]</f>
        <v>291</v>
      </c>
      <c r="Q6" s="2">
        <v>45662</v>
      </c>
      <c r="R6" s="2">
        <v>45954</v>
      </c>
      <c r="S6" s="6">
        <f t="shared" si="4"/>
        <v>2025</v>
      </c>
      <c r="T6" s="7" t="str">
        <f t="shared" si="5"/>
        <v>October</v>
      </c>
      <c r="U6" s="2">
        <f>WORKDAY(Table1[[#This Row],[Order_Date]],5)</f>
        <v>45961</v>
      </c>
      <c r="V6" s="7" t="str">
        <f>CONCATENATE(Table1[[#This Row],[Customer_ID]],Table1[[#This Row],[Customer_Name]])</f>
        <v>C1072Nitin Soni</v>
      </c>
      <c r="W6" t="s">
        <v>190</v>
      </c>
      <c r="X6" t="s">
        <v>144</v>
      </c>
      <c r="Y6">
        <f>COUNTA(Table1[[#This Row],[Customer_Name]])</f>
        <v>1</v>
      </c>
      <c r="Z6" t="str">
        <f>SUBSTITUTE(Table1[[#This Row],[Customer_Name]]," ","_")</f>
        <v>Nitin_Soni</v>
      </c>
      <c r="AA6" s="10" t="str">
        <f>IFERROR(SEARCH("a",Table1[[#This Row],[Customer_Name]]),"N/A")</f>
        <v>N/A</v>
      </c>
      <c r="AB6">
        <f>SEARCH(" ",Table1[[#This Row],[Customer_Name]])</f>
        <v>6</v>
      </c>
      <c r="AC6" s="11" t="str">
        <f>IFERROR(FIND("a",Table1[[#This Row],[Customer_Name]]),"N/A")</f>
        <v>N/A</v>
      </c>
      <c r="AD6">
        <f>FIND(" ",Table1[[#This Row],[Customer_Name]])</f>
        <v>6</v>
      </c>
      <c r="AE6" t="str">
        <f>TRIM(Table1[[#This Row],[Customer_Name]])</f>
        <v>Nitin Soni</v>
      </c>
      <c r="AF6">
        <f>LEN(Table1[[#This Row],[Trimmed]])</f>
        <v>10</v>
      </c>
      <c r="AG6">
        <f>MAX(Table1[Length])</f>
        <v>15</v>
      </c>
      <c r="AH6" t="str">
        <f>PROPER(Table1[[#This Row],[Customer_Name]])</f>
        <v>Nitin Soni</v>
      </c>
      <c r="AI6" t="str">
        <f>LOWER(Table1[[#This Row],[Customer_Name]])</f>
        <v>nitin soni</v>
      </c>
      <c r="AJ6" t="str">
        <f>UPPER(Table1[[#This Row],[Customer_Name]])</f>
        <v>NITIN SONI</v>
      </c>
      <c r="AK6" t="str">
        <f>CONCATENATE(Table1[[#This Row],[Customer_ID]],Table1[[#This Row],[Customer_Name]])</f>
        <v>C1072Nitin Soni</v>
      </c>
      <c r="AL6" t="s">
        <v>145</v>
      </c>
      <c r="AM6" t="s">
        <v>146</v>
      </c>
      <c r="AN6" t="s">
        <v>147</v>
      </c>
      <c r="AO6" t="s">
        <v>145</v>
      </c>
      <c r="AP6" t="s">
        <v>146</v>
      </c>
      <c r="AQ6" t="s">
        <v>148</v>
      </c>
      <c r="AR6" t="str">
        <f>TRIM(Table1[[#This Row],[City]])</f>
        <v>Jaipur</v>
      </c>
      <c r="AS6" t="str">
        <f>PROPER(Table1[[#This Row],[City]])</f>
        <v>Jaipur</v>
      </c>
      <c r="AT6" t="s">
        <v>149</v>
      </c>
      <c r="AU6" t="str">
        <f>CONCATENATE(Table1[[#This Row],[City]],Table1[[#This Row],[State]])</f>
        <v>JaipurRajasthan</v>
      </c>
      <c r="AV6" t="s">
        <v>150</v>
      </c>
      <c r="AW6" t="s">
        <v>130</v>
      </c>
      <c r="AX6" t="str">
        <f>REPLACE(Table1[[#This Row],[Product_ID]],1,1,"s")</f>
        <v>s111</v>
      </c>
      <c r="AY6" t="s">
        <v>191</v>
      </c>
      <c r="AZ6">
        <f>SEARCH("-",Table1[[#This Row],[Product ID]])</f>
        <v>2</v>
      </c>
      <c r="BA6">
        <f>FIND("-",Table1[[#This Row],[Product ID]])</f>
        <v>2</v>
      </c>
      <c r="BB6" t="str">
        <f>MID(Table1[[#This Row],[Product_ID]],2,3)</f>
        <v>111</v>
      </c>
      <c r="BC6" t="str">
        <f>RIGHT(Table1[[#This Row],[Product_ID]],3)</f>
        <v>111</v>
      </c>
      <c r="BD6" t="str">
        <f>LEFT(Table1[[#This Row],[Product_ID]],3)</f>
        <v>P11</v>
      </c>
      <c r="BE6" t="str">
        <f>_xlfn.XLOOKUP(Table1[[#This Row],[Product_ID]],AW:AW,BF:BF,,0)</f>
        <v>Coffee Maker</v>
      </c>
      <c r="BF6" t="s">
        <v>132</v>
      </c>
      <c r="BG6">
        <f>LEN(Table1[[#This Row],[Product_Name]])</f>
        <v>12</v>
      </c>
      <c r="BH6" t="s">
        <v>133</v>
      </c>
      <c r="BI6">
        <f t="shared" si="7"/>
        <v>75</v>
      </c>
      <c r="BJ6" t="str">
        <f>SUBSTITUTE(Table1[[#This Row],[Category]],"Electronics","ELECTRONICS")</f>
        <v>Home</v>
      </c>
      <c r="BN6" t="s">
        <v>134</v>
      </c>
      <c r="BS6" s="14">
        <v>1</v>
      </c>
      <c r="BT6" s="3">
        <v>3999</v>
      </c>
      <c r="BU6" s="4">
        <v>10</v>
      </c>
      <c r="BV6" s="4" t="str">
        <f>IF(AND(Table1[[#This Row],[Quantity]]&gt;=3,Table1[[#This Row],[Discount_%]]&gt;=15%),"Bulk Discount","no")</f>
        <v>no</v>
      </c>
      <c r="BW6" s="4" t="str">
        <f>IF(AND(Table1[[#This Row],[Quantity]]&gt;3,Table1[[#This Row],[Discount_%]]&gt;15%),"Bulk Customer","Normal")</f>
        <v>Normal</v>
      </c>
      <c r="BX6" t="s">
        <v>192</v>
      </c>
      <c r="BY6" t="s">
        <v>193</v>
      </c>
      <c r="CC6" t="str">
        <f>IF(OR(Table1[[#This Row],[Order_Status]]="Returned",Table1[[#This Row],[Order_Status]]="Cancelled"),"Attention Required","Not")</f>
        <v>Not</v>
      </c>
      <c r="CD6" t="str">
        <f>IF(OR(Table1[[#This Row],[Order_Status]]="Returned",Table1[[#This Row],[Order_Status]]="Cancelled"),"Review","no")</f>
        <v>no</v>
      </c>
      <c r="CE6" t="str">
        <f>SUBSTITUTE(Table1[[#This Row],[Order_Status]],"Delivered","Completed")</f>
        <v>Shipped</v>
      </c>
      <c r="CF6" s="2">
        <v>45956</v>
      </c>
      <c r="CG6" s="17">
        <f>NETWORKDAYS(Table1[[#This Row],[Order_Date]],Table1[[#This Row],[Delivery_Date]])</f>
        <v>1</v>
      </c>
      <c r="CH6" s="17">
        <f>Table1[[#This Row],[Delivery_Date]]-Table1[[#This Row],[Order_Date]]</f>
        <v>2</v>
      </c>
      <c r="CI6" t="s">
        <v>137</v>
      </c>
      <c r="CJ6" t="str">
        <f>IF(Table1[[#This Row],[Rating]]&gt;=4,"Good","Needs Improvement")</f>
        <v>Good</v>
      </c>
      <c r="CK6" t="str">
        <f>IF(OR(Table1[[#This Row],[Rating]]&lt;=2,Table1[[#This Row],[Profit]]&lt;0),"Review","NO")</f>
        <v>NO</v>
      </c>
      <c r="CL6" t="str" cm="1">
        <f t="array" ref="CL6">_xlfn.IFS(Table1[[#This Row],[Rating]]&gt;2,"Poor",Table1[[#This Row],[Rating]]=3,"Average",Table1[[#This Row],[Rating]]=4,"Good",CP6=5,"Excellent")</f>
        <v>Poor</v>
      </c>
      <c r="CM6">
        <f>COUNT(Table1[[#This Row],[Rating]])</f>
        <v>1</v>
      </c>
      <c r="CN6">
        <f>COUNTBLANK(Table1[[#This Row],[Rating]])</f>
        <v>0</v>
      </c>
      <c r="CP6" t="s">
        <v>194</v>
      </c>
      <c r="CQ6" s="14">
        <v>5</v>
      </c>
      <c r="CR6" t="s">
        <v>173</v>
      </c>
      <c r="CS6" t="s">
        <v>195</v>
      </c>
      <c r="CU6" s="3">
        <v>3599.1</v>
      </c>
      <c r="CV6" s="3">
        <f>ROUND(Table1[[#This Row],[Sales_Amount]],0)</f>
        <v>3599</v>
      </c>
      <c r="CW6" s="3"/>
      <c r="CX6" s="3"/>
      <c r="CY6" s="3" t="b">
        <f>IF(AND(Table1[[#This Row],[Sales_Amount]]&gt;=10000,Table1[[#This Row],[Profit]]&gt;0),"Good Order")</f>
        <v>0</v>
      </c>
      <c r="CZ6" s="3" t="str">
        <f>IF(Table1[[#This Row],[Sales_Amount]]&gt;=10000,"High","Normal")</f>
        <v>Normal</v>
      </c>
      <c r="DA6" s="3">
        <v>1099.0999999999999</v>
      </c>
      <c r="DB6" s="3">
        <f>ROUND(Table1[[#This Row],[Profit]],0)</f>
        <v>1099</v>
      </c>
      <c r="DC6" s="3">
        <f>ABS(Table1[[#This Row],[Profit]])</f>
        <v>1099.0999999999999</v>
      </c>
      <c r="DD6" s="3"/>
      <c r="DE6" s="3"/>
      <c r="DF6" s="3"/>
      <c r="DG6" s="3" t="str">
        <f>IF(Table1[[#This Row],[Profit]]&gt;0,"Profit","Loss")</f>
        <v>Profit</v>
      </c>
      <c r="DH6" s="3" t="str">
        <f>IF(AND(Table1[[#This Row],[Sales_Amount]]&gt;=10000,Table1[[#This Row],[Profit]]&gt;0),"Priority","Normal")</f>
        <v>Normal</v>
      </c>
      <c r="DI6" s="3">
        <f t="shared" ca="1" si="2"/>
        <v>0.3518061748235386</v>
      </c>
      <c r="DJ6" s="3">
        <f t="shared" ca="1" si="3"/>
        <v>81</v>
      </c>
      <c r="DK6" s="3"/>
      <c r="DL6" s="3"/>
      <c r="DM6" s="3"/>
      <c r="DN6" s="3"/>
      <c r="DO6" s="3"/>
      <c r="DP6" s="3"/>
    </row>
    <row r="7" spans="1:120">
      <c r="A7" t="s">
        <v>196</v>
      </c>
      <c r="B7" t="str">
        <f>REPLACE(Table1[[#This Row],[Order_ID]],1,3,"YOO")</f>
        <v>YOO10006</v>
      </c>
      <c r="C7" t="str">
        <f>MID(Table1[[#This Row],[Order_ID]],4,4)</f>
        <v>1000</v>
      </c>
      <c r="D7" t="str">
        <f>LEFT(Table1[[#This Row],[Order_ID]],4)</f>
        <v>ORD1</v>
      </c>
      <c r="E7" t="str">
        <f>RIGHT(Table1[[#This Row],[Order_ID]],5)</f>
        <v>10006</v>
      </c>
      <c r="F7" t="s">
        <v>5</v>
      </c>
      <c r="G7">
        <v>10006</v>
      </c>
      <c r="H7" t="s">
        <v>197</v>
      </c>
      <c r="I7" s="2">
        <f>EDATE(Table1[[#This Row],[Order_Date]],3)</f>
        <v>46023</v>
      </c>
      <c r="J7" s="2">
        <f>EDATE(Table1[[#This Row],[Order_Date]],6)</f>
        <v>46113</v>
      </c>
      <c r="K7">
        <f ca="1">YEAR(Table1[[#This Row],[Today]])</f>
        <v>2026</v>
      </c>
      <c r="L7">
        <v>6</v>
      </c>
      <c r="M7">
        <f ca="1">DAY(Table1[[#This Row],[Today]])</f>
        <v>11</v>
      </c>
      <c r="N7" s="19">
        <f t="shared" ca="1" si="6"/>
        <v>46245.589795370368</v>
      </c>
      <c r="O7" s="2">
        <f t="shared" ca="1" si="0"/>
        <v>46245</v>
      </c>
      <c r="P7" s="17">
        <f ca="1">Table1[[#This Row],[Today]]-Table1[[#This Row],[Order_Date]]</f>
        <v>314</v>
      </c>
      <c r="Q7" s="2">
        <v>45663</v>
      </c>
      <c r="R7" s="2">
        <v>45931</v>
      </c>
      <c r="S7" s="6">
        <f t="shared" si="4"/>
        <v>2025</v>
      </c>
      <c r="T7" s="7" t="str">
        <f t="shared" si="5"/>
        <v>October</v>
      </c>
      <c r="U7" s="2">
        <f>WORKDAY(Table1[[#This Row],[Order_Date]],5)</f>
        <v>45938</v>
      </c>
      <c r="V7" s="7" t="str">
        <f>CONCATENATE(Table1[[#This Row],[Customer_ID]],Table1[[#This Row],[Customer_Name]])</f>
        <v>C1119Mohit Khan</v>
      </c>
      <c r="W7" t="s">
        <v>198</v>
      </c>
      <c r="X7" t="s">
        <v>162</v>
      </c>
      <c r="Y7">
        <f>COUNTA(Table1[[#This Row],[Customer_Name]])</f>
        <v>1</v>
      </c>
      <c r="Z7" t="str">
        <f>SUBSTITUTE(Table1[[#This Row],[Customer_Name]]," ","_")</f>
        <v>Mohit_Khan</v>
      </c>
      <c r="AA7" s="10">
        <f>IFERROR(SEARCH("a",Table1[[#This Row],[Customer_Name]]),"N/A")</f>
        <v>9</v>
      </c>
      <c r="AB7">
        <f>SEARCH(" ",Table1[[#This Row],[Customer_Name]])</f>
        <v>6</v>
      </c>
      <c r="AC7" s="11">
        <f>IFERROR(FIND("a",Table1[[#This Row],[Customer_Name]]),"N/A")</f>
        <v>9</v>
      </c>
      <c r="AD7">
        <f>FIND(" ",Table1[[#This Row],[Customer_Name]])</f>
        <v>6</v>
      </c>
      <c r="AE7" t="str">
        <f>TRIM(Table1[[#This Row],[Customer_Name]])</f>
        <v>Mohit Khan</v>
      </c>
      <c r="AF7">
        <f>LEN(Table1[[#This Row],[Trimmed]])</f>
        <v>10</v>
      </c>
      <c r="AG7">
        <f>MAX(Table1[Length])</f>
        <v>15</v>
      </c>
      <c r="AH7" t="str">
        <f>PROPER(Table1[[#This Row],[Customer_Name]])</f>
        <v>Mohit Khan</v>
      </c>
      <c r="AI7" t="str">
        <f>LOWER(Table1[[#This Row],[Customer_Name]])</f>
        <v>mohit khan</v>
      </c>
      <c r="AJ7" t="str">
        <f>UPPER(Table1[[#This Row],[Customer_Name]])</f>
        <v>MOHIT KHAN</v>
      </c>
      <c r="AK7" t="str">
        <f>CONCATENATE(Table1[[#This Row],[Customer_ID]],Table1[[#This Row],[Customer_Name]])</f>
        <v>C1119Mohit Khan</v>
      </c>
      <c r="AL7" t="s">
        <v>163</v>
      </c>
      <c r="AM7" t="s">
        <v>164</v>
      </c>
      <c r="AN7" t="s">
        <v>165</v>
      </c>
      <c r="AO7" t="s">
        <v>163</v>
      </c>
      <c r="AP7" t="s">
        <v>164</v>
      </c>
      <c r="AQ7" t="s">
        <v>199</v>
      </c>
      <c r="AR7" t="str">
        <f>TRIM(Table1[[#This Row],[City]])</f>
        <v>Lucknow</v>
      </c>
      <c r="AS7" t="str">
        <f>PROPER(Table1[[#This Row],[City]])</f>
        <v>Lucknow</v>
      </c>
      <c r="AT7" t="s">
        <v>200</v>
      </c>
      <c r="AU7" t="str">
        <f>CONCATENATE(Table1[[#This Row],[City]],Table1[[#This Row],[State]])</f>
        <v>LucknowUttar Pradesh</v>
      </c>
      <c r="AV7" t="s">
        <v>150</v>
      </c>
      <c r="AW7" t="s">
        <v>201</v>
      </c>
      <c r="AX7" t="str">
        <f>REPLACE(Table1[[#This Row],[Product_ID]],1,1,"s")</f>
        <v>s104</v>
      </c>
      <c r="AY7" t="s">
        <v>202</v>
      </c>
      <c r="AZ7">
        <f>SEARCH("-",Table1[[#This Row],[Product ID]])</f>
        <v>2</v>
      </c>
      <c r="BA7">
        <f>FIND("-",Table1[[#This Row],[Product ID]])</f>
        <v>2</v>
      </c>
      <c r="BB7" t="str">
        <f>MID(Table1[[#This Row],[Product_ID]],2,3)</f>
        <v>104</v>
      </c>
      <c r="BC7" t="str">
        <f>RIGHT(Table1[[#This Row],[Product_ID]],3)</f>
        <v>104</v>
      </c>
      <c r="BD7" t="str">
        <f>LEFT(Table1[[#This Row],[Product_ID]],3)</f>
        <v>P10</v>
      </c>
      <c r="BE7" t="str">
        <f>_xlfn.XLOOKUP(Table1[[#This Row],[Product_ID]],AW:AW,BF:BF,,0)</f>
        <v>USB-C Hub</v>
      </c>
      <c r="BF7" t="s">
        <v>203</v>
      </c>
      <c r="BG7">
        <f>LEN(Table1[[#This Row],[Product_Name]])</f>
        <v>9</v>
      </c>
      <c r="BH7" t="s">
        <v>154</v>
      </c>
      <c r="BI7">
        <f t="shared" si="7"/>
        <v>75</v>
      </c>
      <c r="BJ7" t="str">
        <f>SUBSTITUTE(Table1[[#This Row],[Category]],"Electronics","ELECTRONICS")</f>
        <v>ELECTRONICS</v>
      </c>
      <c r="BN7" t="s">
        <v>155</v>
      </c>
      <c r="BS7" s="14">
        <v>1</v>
      </c>
      <c r="BT7" s="3">
        <v>1899</v>
      </c>
      <c r="BU7" s="4">
        <v>5</v>
      </c>
      <c r="BV7" s="4" t="str">
        <f>IF(AND(Table1[[#This Row],[Quantity]]&gt;=3,Table1[[#This Row],[Discount_%]]&gt;=15%),"Bulk Discount","no")</f>
        <v>no</v>
      </c>
      <c r="BW7" s="4" t="str">
        <f>IF(AND(Table1[[#This Row],[Quantity]]&gt;3,Table1[[#This Row],[Discount_%]]&gt;15%),"Bulk Customer","Normal")</f>
        <v>Normal</v>
      </c>
      <c r="BX7" t="s">
        <v>192</v>
      </c>
      <c r="BY7" t="s">
        <v>156</v>
      </c>
      <c r="CC7" t="str">
        <f>IF(OR(Table1[[#This Row],[Order_Status]]="Returned",Table1[[#This Row],[Order_Status]]="Cancelled"),"Attention Required","Not")</f>
        <v>Attention Required</v>
      </c>
      <c r="CD7" t="str">
        <f>IF(OR(Table1[[#This Row],[Order_Status]]="Returned",Table1[[#This Row],[Order_Status]]="Cancelled"),"Review","no")</f>
        <v>Review</v>
      </c>
      <c r="CE7" t="str">
        <f>SUBSTITUTE(Table1[[#This Row],[Order_Status]],"Delivered","Completed")</f>
        <v>Cancelled</v>
      </c>
      <c r="CF7" s="2">
        <v>45935</v>
      </c>
      <c r="CG7" s="17">
        <f>NETWORKDAYS(Table1[[#This Row],[Order_Date]],Table1[[#This Row],[Delivery_Date]])</f>
        <v>3</v>
      </c>
      <c r="CH7" s="17">
        <f>Table1[[#This Row],[Delivery_Date]]-Table1[[#This Row],[Order_Date]]</f>
        <v>4</v>
      </c>
      <c r="CI7" t="s">
        <v>137</v>
      </c>
      <c r="CJ7" t="str">
        <f>IF(Table1[[#This Row],[Rating]]&gt;=4,"Good","Needs Improvement")</f>
        <v>Needs Improvement</v>
      </c>
      <c r="CK7" t="str">
        <f>IF(OR(Table1[[#This Row],[Rating]]&lt;=2,Table1[[#This Row],[Profit]]&lt;0),"Review","NO")</f>
        <v>NO</v>
      </c>
      <c r="CL7" t="str" cm="1">
        <f t="array" ref="CL7">_xlfn.IFS(Table1[[#This Row],[Rating]]&gt;2,"Poor",Table1[[#This Row],[Rating]]=3,"Average",Table1[[#This Row],[Rating]]=4,"Good",CP7=5,"Excellent")</f>
        <v>Poor</v>
      </c>
      <c r="CM7">
        <f>COUNT(Table1[[#This Row],[Rating]])</f>
        <v>1</v>
      </c>
      <c r="CN7">
        <f>COUNTBLANK(Table1[[#This Row],[Rating]])</f>
        <v>0</v>
      </c>
      <c r="CQ7" s="14">
        <v>3</v>
      </c>
      <c r="CR7" t="s">
        <v>204</v>
      </c>
      <c r="CS7" t="s">
        <v>174</v>
      </c>
      <c r="CU7" s="3">
        <v>1804.05</v>
      </c>
      <c r="CV7" s="3">
        <f>ROUND(Table1[[#This Row],[Sales_Amount]],0)</f>
        <v>1804</v>
      </c>
      <c r="CW7" s="3"/>
      <c r="CX7" s="3"/>
      <c r="CY7" s="3" t="b">
        <f>IF(AND(Table1[[#This Row],[Sales_Amount]]&gt;=10000,Table1[[#This Row],[Profit]]&gt;0),"Good Order")</f>
        <v>0</v>
      </c>
      <c r="CZ7" s="3" t="str">
        <f>IF(Table1[[#This Row],[Sales_Amount]]&gt;=10000,"High","Normal")</f>
        <v>Normal</v>
      </c>
      <c r="DA7" s="3">
        <v>704.05</v>
      </c>
      <c r="DB7" s="3">
        <f>ROUND(Table1[[#This Row],[Profit]],0)</f>
        <v>704</v>
      </c>
      <c r="DC7" s="3">
        <f>ABS(Table1[[#This Row],[Profit]])</f>
        <v>704.05</v>
      </c>
      <c r="DD7" s="3"/>
      <c r="DE7" s="3"/>
      <c r="DF7" s="3"/>
      <c r="DG7" s="3" t="str">
        <f>IF(Table1[[#This Row],[Profit]]&gt;0,"Profit","Loss")</f>
        <v>Profit</v>
      </c>
      <c r="DH7" s="3" t="str">
        <f>IF(AND(Table1[[#This Row],[Sales_Amount]]&gt;=10000,Table1[[#This Row],[Profit]]&gt;0),"Priority","Normal")</f>
        <v>Normal</v>
      </c>
      <c r="DI7" s="3">
        <f t="shared" ca="1" si="2"/>
        <v>0.22943613828518339</v>
      </c>
      <c r="DJ7" s="3">
        <f t="shared" ca="1" si="3"/>
        <v>62</v>
      </c>
      <c r="DK7" s="3"/>
      <c r="DL7" s="3"/>
      <c r="DM7" s="3"/>
      <c r="DN7" s="3"/>
      <c r="DO7" s="3"/>
      <c r="DP7" s="3"/>
    </row>
    <row r="8" spans="1:120">
      <c r="A8" t="s">
        <v>205</v>
      </c>
      <c r="B8" t="str">
        <f>REPLACE(Table1[[#This Row],[Order_ID]],1,3,"YOO")</f>
        <v>YOO10007</v>
      </c>
      <c r="C8" t="str">
        <f>MID(Table1[[#This Row],[Order_ID]],4,4)</f>
        <v>1000</v>
      </c>
      <c r="D8" t="str">
        <f>LEFT(Table1[[#This Row],[Order_ID]],4)</f>
        <v>ORD1</v>
      </c>
      <c r="E8" t="str">
        <f>RIGHT(Table1[[#This Row],[Order_ID]],5)</f>
        <v>10007</v>
      </c>
      <c r="F8" t="s">
        <v>5</v>
      </c>
      <c r="G8">
        <v>10007</v>
      </c>
      <c r="H8" t="s">
        <v>206</v>
      </c>
      <c r="I8" s="2">
        <f>EDATE(Table1[[#This Row],[Order_Date]],3)</f>
        <v>46081</v>
      </c>
      <c r="J8" s="2">
        <f>EDATE(Table1[[#This Row],[Order_Date]],6)</f>
        <v>46171</v>
      </c>
      <c r="K8">
        <f ca="1">YEAR(Table1[[#This Row],[Today]])</f>
        <v>2026</v>
      </c>
      <c r="L8">
        <v>7</v>
      </c>
      <c r="M8">
        <f ca="1">DAY(Table1[[#This Row],[Today]])</f>
        <v>11</v>
      </c>
      <c r="N8" s="19">
        <f t="shared" ca="1" si="6"/>
        <v>46245.589795138891</v>
      </c>
      <c r="O8" s="2">
        <f t="shared" ca="1" si="0"/>
        <v>46245</v>
      </c>
      <c r="P8" s="17">
        <f ca="1">Table1[[#This Row],[Today]]-Table1[[#This Row],[Order_Date]]</f>
        <v>255</v>
      </c>
      <c r="Q8" s="2">
        <v>45664</v>
      </c>
      <c r="R8" s="2">
        <v>45990</v>
      </c>
      <c r="S8" s="6">
        <f t="shared" si="4"/>
        <v>2025</v>
      </c>
      <c r="T8" s="7" t="str">
        <f t="shared" si="5"/>
        <v>November</v>
      </c>
      <c r="U8" s="2">
        <f>WORKDAY(Table1[[#This Row],[Order_Date]],5)</f>
        <v>45996</v>
      </c>
      <c r="V8" s="7" t="str">
        <f>CONCATENATE(Table1[[#This Row],[Customer_ID]],Table1[[#This Row],[Customer_Name]])</f>
        <v>C1103Vikas Yadav</v>
      </c>
      <c r="W8" t="s">
        <v>207</v>
      </c>
      <c r="X8" t="s">
        <v>208</v>
      </c>
      <c r="Y8">
        <f>COUNTA(Table1[[#This Row],[Customer_Name]])</f>
        <v>1</v>
      </c>
      <c r="Z8" t="str">
        <f>SUBSTITUTE(Table1[[#This Row],[Customer_Name]]," ","_")</f>
        <v>Vikas_Yadav</v>
      </c>
      <c r="AA8" s="10">
        <f>IFERROR(SEARCH("a",Table1[[#This Row],[Customer_Name]]),"N/A")</f>
        <v>4</v>
      </c>
      <c r="AB8">
        <f>SEARCH(" ",Table1[[#This Row],[Customer_Name]])</f>
        <v>6</v>
      </c>
      <c r="AC8" s="11">
        <f>IFERROR(FIND("a",Table1[[#This Row],[Customer_Name]]),"N/A")</f>
        <v>4</v>
      </c>
      <c r="AD8">
        <f>FIND(" ",Table1[[#This Row],[Customer_Name]])</f>
        <v>6</v>
      </c>
      <c r="AE8" t="str">
        <f>TRIM(Table1[[#This Row],[Customer_Name]])</f>
        <v>Vikas Yadav</v>
      </c>
      <c r="AF8">
        <f>LEN(Table1[[#This Row],[Trimmed]])</f>
        <v>11</v>
      </c>
      <c r="AG8">
        <f>MAX(Table1[Length])</f>
        <v>15</v>
      </c>
      <c r="AH8" t="str">
        <f>PROPER(Table1[[#This Row],[Customer_Name]])</f>
        <v>Vikas Yadav</v>
      </c>
      <c r="AI8" t="str">
        <f>LOWER(Table1[[#This Row],[Customer_Name]])</f>
        <v>vikas yadav</v>
      </c>
      <c r="AJ8" t="str">
        <f>UPPER(Table1[[#This Row],[Customer_Name]])</f>
        <v>VIKAS YADAV</v>
      </c>
      <c r="AK8" t="str">
        <f>CONCATENATE(Table1[[#This Row],[Customer_ID]],Table1[[#This Row],[Customer_Name]])</f>
        <v>C1103Vikas Yadav</v>
      </c>
      <c r="AL8" t="s">
        <v>209</v>
      </c>
      <c r="AM8" t="s">
        <v>210</v>
      </c>
      <c r="AN8" t="s">
        <v>211</v>
      </c>
      <c r="AO8" t="s">
        <v>209</v>
      </c>
      <c r="AP8" t="s">
        <v>210</v>
      </c>
      <c r="AQ8" t="s">
        <v>199</v>
      </c>
      <c r="AR8" t="str">
        <f>TRIM(Table1[[#This Row],[City]])</f>
        <v>Lucknow</v>
      </c>
      <c r="AS8" t="str">
        <f>PROPER(Table1[[#This Row],[City]])</f>
        <v>Lucknow</v>
      </c>
      <c r="AT8" t="s">
        <v>200</v>
      </c>
      <c r="AU8" t="str">
        <f>CONCATENATE(Table1[[#This Row],[City]],Table1[[#This Row],[State]])</f>
        <v>LucknowUttar Pradesh</v>
      </c>
      <c r="AV8" t="s">
        <v>150</v>
      </c>
      <c r="AW8" t="s">
        <v>201</v>
      </c>
      <c r="AX8" t="str">
        <f>REPLACE(Table1[[#This Row],[Product_ID]],1,1,"s")</f>
        <v>s104</v>
      </c>
      <c r="AY8" t="s">
        <v>212</v>
      </c>
      <c r="AZ8">
        <f>SEARCH("-",Table1[[#This Row],[Product ID]])</f>
        <v>2</v>
      </c>
      <c r="BA8">
        <f>FIND("-",Table1[[#This Row],[Product ID]])</f>
        <v>2</v>
      </c>
      <c r="BB8" t="str">
        <f>MID(Table1[[#This Row],[Product_ID]],2,3)</f>
        <v>104</v>
      </c>
      <c r="BC8" t="str">
        <f>RIGHT(Table1[[#This Row],[Product_ID]],3)</f>
        <v>104</v>
      </c>
      <c r="BD8" t="str">
        <f>LEFT(Table1[[#This Row],[Product_ID]],3)</f>
        <v>P10</v>
      </c>
      <c r="BE8" t="str">
        <f>_xlfn.XLOOKUP(Table1[[#This Row],[Product_ID]],AW:AW,BF:BF,,0)</f>
        <v>USB-C Hub</v>
      </c>
      <c r="BF8" t="s">
        <v>203</v>
      </c>
      <c r="BG8">
        <f>LEN(Table1[[#This Row],[Product_Name]])</f>
        <v>9</v>
      </c>
      <c r="BH8" t="s">
        <v>154</v>
      </c>
      <c r="BI8">
        <f t="shared" si="7"/>
        <v>75</v>
      </c>
      <c r="BJ8" t="str">
        <f>SUBSTITUTE(Table1[[#This Row],[Category]],"Electronics","ELECTRONICS")</f>
        <v>ELECTRONICS</v>
      </c>
      <c r="BN8" t="s">
        <v>155</v>
      </c>
      <c r="BS8" s="14">
        <v>1</v>
      </c>
      <c r="BT8" s="3">
        <v>1899</v>
      </c>
      <c r="BU8" s="4">
        <v>10</v>
      </c>
      <c r="BV8" s="4" t="str">
        <f>IF(AND(Table1[[#This Row],[Quantity]]&gt;=3,Table1[[#This Row],[Discount_%]]&gt;=15%),"Bulk Discount","no")</f>
        <v>no</v>
      </c>
      <c r="BW8" s="4" t="str">
        <f>IF(AND(Table1[[#This Row],[Quantity]]&gt;3,Table1[[#This Row],[Discount_%]]&gt;15%),"Bulk Customer","Normal")</f>
        <v>Normal</v>
      </c>
      <c r="BX8" t="s">
        <v>172</v>
      </c>
      <c r="BY8" t="s">
        <v>193</v>
      </c>
      <c r="CC8" t="str">
        <f>IF(OR(Table1[[#This Row],[Order_Status]]="Returned",Table1[[#This Row],[Order_Status]]="Cancelled"),"Attention Required","Not")</f>
        <v>Not</v>
      </c>
      <c r="CD8" t="str">
        <f>IF(OR(Table1[[#This Row],[Order_Status]]="Returned",Table1[[#This Row],[Order_Status]]="Cancelled"),"Review","no")</f>
        <v>no</v>
      </c>
      <c r="CE8" t="str">
        <f>SUBSTITUTE(Table1[[#This Row],[Order_Status]],"Delivered","Completed")</f>
        <v>Shipped</v>
      </c>
      <c r="CF8" s="2">
        <v>45991</v>
      </c>
      <c r="CG8" s="17">
        <f>NETWORKDAYS(Table1[[#This Row],[Order_Date]],Table1[[#This Row],[Delivery_Date]])</f>
        <v>0</v>
      </c>
      <c r="CH8" s="17">
        <f>Table1[[#This Row],[Delivery_Date]]-Table1[[#This Row],[Order_Date]]</f>
        <v>1</v>
      </c>
      <c r="CI8" t="s">
        <v>137</v>
      </c>
      <c r="CJ8" t="str">
        <f>IF(Table1[[#This Row],[Rating]]&gt;=4,"Good","Needs Improvement")</f>
        <v>Good</v>
      </c>
      <c r="CK8" t="str">
        <f>IF(OR(Table1[[#This Row],[Rating]]&lt;=2,Table1[[#This Row],[Profit]]&lt;0),"Review","NO")</f>
        <v>NO</v>
      </c>
      <c r="CL8" t="str" cm="1">
        <f t="array" ref="CL8">_xlfn.IFS(Table1[[#This Row],[Rating]]&gt;2,"Poor",Table1[[#This Row],[Rating]]=3,"Average",Table1[[#This Row],[Rating]]=4,"Good",CP8=5,"Excellent")</f>
        <v>Poor</v>
      </c>
      <c r="CM8">
        <f>COUNT(Table1[[#This Row],[Rating]])</f>
        <v>1</v>
      </c>
      <c r="CN8">
        <f>COUNTBLANK(Table1[[#This Row],[Rating]])</f>
        <v>0</v>
      </c>
      <c r="CP8" t="s">
        <v>194</v>
      </c>
      <c r="CQ8" s="14">
        <v>5</v>
      </c>
      <c r="CR8" t="s">
        <v>204</v>
      </c>
      <c r="CS8" t="s">
        <v>213</v>
      </c>
      <c r="CU8" s="3">
        <v>1709.1</v>
      </c>
      <c r="CV8" s="3">
        <f>ROUND(Table1[[#This Row],[Sales_Amount]],0)</f>
        <v>1709</v>
      </c>
      <c r="CW8" s="3"/>
      <c r="CX8" s="3"/>
      <c r="CY8" s="3" t="b">
        <f>IF(AND(Table1[[#This Row],[Sales_Amount]]&gt;=10000,Table1[[#This Row],[Profit]]&gt;0),"Good Order")</f>
        <v>0</v>
      </c>
      <c r="CZ8" s="3" t="str">
        <f>IF(Table1[[#This Row],[Sales_Amount]]&gt;=10000,"High","Normal")</f>
        <v>Normal</v>
      </c>
      <c r="DA8" s="3">
        <v>609.1</v>
      </c>
      <c r="DB8" s="3">
        <f>ROUND(Table1[[#This Row],[Profit]],0)</f>
        <v>609</v>
      </c>
      <c r="DC8" s="3">
        <f>ABS(Table1[[#This Row],[Profit]])</f>
        <v>609.1</v>
      </c>
      <c r="DD8" s="3"/>
      <c r="DE8" s="3"/>
      <c r="DF8" s="3"/>
      <c r="DG8" s="3" t="str">
        <f>IF(Table1[[#This Row],[Profit]]&gt;0,"Profit","Loss")</f>
        <v>Profit</v>
      </c>
      <c r="DH8" s="3" t="str">
        <f>IF(AND(Table1[[#This Row],[Sales_Amount]]&gt;=10000,Table1[[#This Row],[Profit]]&gt;0),"Priority","Normal")</f>
        <v>Normal</v>
      </c>
      <c r="DI8" s="3">
        <f t="shared" ca="1" si="2"/>
        <v>0.12185833796998757</v>
      </c>
      <c r="DJ8" s="3">
        <f t="shared" ca="1" si="3"/>
        <v>56</v>
      </c>
      <c r="DK8" s="3"/>
      <c r="DL8" s="3"/>
      <c r="DM8" s="3"/>
      <c r="DN8" s="3"/>
      <c r="DO8" s="3"/>
      <c r="DP8" s="3"/>
    </row>
    <row r="9" spans="1:120">
      <c r="A9" t="s">
        <v>214</v>
      </c>
      <c r="B9" t="str">
        <f>REPLACE(Table1[[#This Row],[Order_ID]],1,3,"YOO")</f>
        <v>YOO10008</v>
      </c>
      <c r="C9" t="str">
        <f>MID(Table1[[#This Row],[Order_ID]],4,4)</f>
        <v>1000</v>
      </c>
      <c r="D9" t="str">
        <f>LEFT(Table1[[#This Row],[Order_ID]],4)</f>
        <v>ORD1</v>
      </c>
      <c r="E9" t="str">
        <f>RIGHT(Table1[[#This Row],[Order_ID]],5)</f>
        <v>10008</v>
      </c>
      <c r="F9" t="s">
        <v>5</v>
      </c>
      <c r="G9">
        <v>10008</v>
      </c>
      <c r="H9" t="s">
        <v>215</v>
      </c>
      <c r="I9" s="2">
        <f>EDATE(Table1[[#This Row],[Order_Date]],3)</f>
        <v>46261</v>
      </c>
      <c r="J9" s="2">
        <f>EDATE(Table1[[#This Row],[Order_Date]],6)</f>
        <v>46353</v>
      </c>
      <c r="K9">
        <f ca="1">YEAR(Table1[[#This Row],[Today]])</f>
        <v>2026</v>
      </c>
      <c r="L9">
        <v>8</v>
      </c>
      <c r="M9">
        <f ca="1">DAY(Table1[[#This Row],[Today]])</f>
        <v>11</v>
      </c>
      <c r="N9" s="19">
        <f t="shared" ca="1" si="6"/>
        <v>46245.589795370368</v>
      </c>
      <c r="O9" s="2">
        <f t="shared" ca="1" si="0"/>
        <v>46245</v>
      </c>
      <c r="P9" s="17">
        <f ca="1">Table1[[#This Row],[Today]]-Table1[[#This Row],[Order_Date]]</f>
        <v>76</v>
      </c>
      <c r="Q9" s="2">
        <v>45665</v>
      </c>
      <c r="R9" s="2">
        <v>46169</v>
      </c>
      <c r="S9" s="6">
        <f t="shared" si="4"/>
        <v>2026</v>
      </c>
      <c r="T9" s="7" t="str">
        <f t="shared" si="5"/>
        <v>May</v>
      </c>
      <c r="U9" s="2">
        <f>WORKDAY(Table1[[#This Row],[Order_Date]],5)</f>
        <v>46176</v>
      </c>
      <c r="V9" s="7" t="str">
        <f>CONCATENATE(Table1[[#This Row],[Customer_ID]],Table1[[#This Row],[Customer_Name]])</f>
        <v>C1064Riya Agarwal</v>
      </c>
      <c r="W9" t="s">
        <v>216</v>
      </c>
      <c r="X9" t="s">
        <v>217</v>
      </c>
      <c r="Y9">
        <f>COUNTA(Table1[[#This Row],[Customer_Name]])</f>
        <v>1</v>
      </c>
      <c r="Z9" t="str">
        <f>SUBSTITUTE(Table1[[#This Row],[Customer_Name]]," ","_")</f>
        <v>Riya_Agarwal</v>
      </c>
      <c r="AA9" s="10">
        <f>IFERROR(SEARCH("a",Table1[[#This Row],[Customer_Name]]),"N/A")</f>
        <v>4</v>
      </c>
      <c r="AB9">
        <f>SEARCH(" ",Table1[[#This Row],[Customer_Name]])</f>
        <v>5</v>
      </c>
      <c r="AC9" s="11">
        <f>IFERROR(FIND("a",Table1[[#This Row],[Customer_Name]]),"N/A")</f>
        <v>4</v>
      </c>
      <c r="AD9">
        <f>FIND(" ",Table1[[#This Row],[Customer_Name]])</f>
        <v>5</v>
      </c>
      <c r="AE9" t="str">
        <f>TRIM(Table1[[#This Row],[Customer_Name]])</f>
        <v>Riya Agarwal</v>
      </c>
      <c r="AF9">
        <f>LEN(Table1[[#This Row],[Trimmed]])</f>
        <v>12</v>
      </c>
      <c r="AG9">
        <f>MAX(Table1[Length])</f>
        <v>15</v>
      </c>
      <c r="AH9" t="str">
        <f>PROPER(Table1[[#This Row],[Customer_Name]])</f>
        <v>Riya Agarwal</v>
      </c>
      <c r="AI9" t="str">
        <f>LOWER(Table1[[#This Row],[Customer_Name]])</f>
        <v>riya agarwal</v>
      </c>
      <c r="AJ9" t="str">
        <f>UPPER(Table1[[#This Row],[Customer_Name]])</f>
        <v>RIYA AGARWAL</v>
      </c>
      <c r="AK9" t="str">
        <f>CONCATENATE(Table1[[#This Row],[Customer_ID]],Table1[[#This Row],[Customer_Name]])</f>
        <v>C1064Riya Agarwal</v>
      </c>
      <c r="AL9" t="s">
        <v>218</v>
      </c>
      <c r="AM9" t="s">
        <v>219</v>
      </c>
      <c r="AN9" t="s">
        <v>220</v>
      </c>
      <c r="AO9" t="s">
        <v>218</v>
      </c>
      <c r="AP9" t="s">
        <v>219</v>
      </c>
      <c r="AQ9" t="s">
        <v>148</v>
      </c>
      <c r="AR9" t="str">
        <f>TRIM(Table1[[#This Row],[City]])</f>
        <v>Jaipur</v>
      </c>
      <c r="AS9" t="str">
        <f>PROPER(Table1[[#This Row],[City]])</f>
        <v>Jaipur</v>
      </c>
      <c r="AT9" t="s">
        <v>149</v>
      </c>
      <c r="AU9" t="str">
        <f>CONCATENATE(Table1[[#This Row],[City]],Table1[[#This Row],[State]])</f>
        <v>JaipurRajasthan</v>
      </c>
      <c r="AV9" t="s">
        <v>150</v>
      </c>
      <c r="AW9" t="s">
        <v>221</v>
      </c>
      <c r="AX9" t="str">
        <f>REPLACE(Table1[[#This Row],[Product_ID]],1,1,"s")</f>
        <v>s106</v>
      </c>
      <c r="AY9" t="s">
        <v>222</v>
      </c>
      <c r="AZ9">
        <f>SEARCH("-",Table1[[#This Row],[Product ID]])</f>
        <v>2</v>
      </c>
      <c r="BA9">
        <f>FIND("-",Table1[[#This Row],[Product ID]])</f>
        <v>2</v>
      </c>
      <c r="BB9" t="str">
        <f>MID(Table1[[#This Row],[Product_ID]],2,3)</f>
        <v>106</v>
      </c>
      <c r="BC9" t="str">
        <f>RIGHT(Table1[[#This Row],[Product_ID]],3)</f>
        <v>106</v>
      </c>
      <c r="BD9" t="str">
        <f>LEFT(Table1[[#This Row],[Product_ID]],3)</f>
        <v>P10</v>
      </c>
      <c r="BE9" t="str">
        <f>_xlfn.XLOOKUP(Table1[[#This Row],[Product_ID]],AW:AW,BF:BF,,0)</f>
        <v>Running Shoes</v>
      </c>
      <c r="BF9" t="s">
        <v>223</v>
      </c>
      <c r="BG9">
        <f>LEN(Table1[[#This Row],[Product_Name]])</f>
        <v>13</v>
      </c>
      <c r="BH9" t="s">
        <v>224</v>
      </c>
      <c r="BI9">
        <f t="shared" si="7"/>
        <v>75</v>
      </c>
      <c r="BJ9" t="str">
        <f>SUBSTITUTE(Table1[[#This Row],[Category]],"Electronics","ELECTRONICS")</f>
        <v>Fashion</v>
      </c>
      <c r="BN9" t="s">
        <v>225</v>
      </c>
      <c r="BS9" s="14">
        <v>4</v>
      </c>
      <c r="BT9" s="3">
        <v>3499</v>
      </c>
      <c r="BU9" s="4">
        <v>25</v>
      </c>
      <c r="BV9" s="4" t="str">
        <f>IF(AND(Table1[[#This Row],[Quantity]]&gt;=3,Table1[[#This Row],[Discount_%]]&gt;=15%),"Bulk Discount","no")</f>
        <v>Bulk Discount</v>
      </c>
      <c r="BW9" s="4" t="str">
        <f>IF(AND(Table1[[#This Row],[Quantity]]&gt;3,Table1[[#This Row],[Discount_%]]&gt;15%),"Bulk Customer","Normal")</f>
        <v>Bulk Customer</v>
      </c>
      <c r="BX9" t="s">
        <v>135</v>
      </c>
      <c r="BY9" t="s">
        <v>136</v>
      </c>
      <c r="CC9" t="str">
        <f>IF(OR(Table1[[#This Row],[Order_Status]]="Returned",Table1[[#This Row],[Order_Status]]="Cancelled"),"Attention Required","Not")</f>
        <v>Not</v>
      </c>
      <c r="CD9" t="str">
        <f>IF(OR(Table1[[#This Row],[Order_Status]]="Returned",Table1[[#This Row],[Order_Status]]="Cancelled"),"Review","no")</f>
        <v>no</v>
      </c>
      <c r="CE9" t="str">
        <f>SUBSTITUTE(Table1[[#This Row],[Order_Status]],"Delivered","Completed")</f>
        <v>Completed</v>
      </c>
      <c r="CF9" s="2">
        <v>46174</v>
      </c>
      <c r="CG9" s="17">
        <f>NETWORKDAYS(Table1[[#This Row],[Order_Date]],Table1[[#This Row],[Delivery_Date]])</f>
        <v>4</v>
      </c>
      <c r="CH9" s="17">
        <f>Table1[[#This Row],[Delivery_Date]]-Table1[[#This Row],[Order_Date]]</f>
        <v>5</v>
      </c>
      <c r="CI9" t="s">
        <v>137</v>
      </c>
      <c r="CJ9" t="str">
        <f>IF(Table1[[#This Row],[Rating]]&gt;=4,"Good","Needs Improvement")</f>
        <v>Needs Improvement</v>
      </c>
      <c r="CK9" t="str">
        <f>IF(OR(Table1[[#This Row],[Rating]]&lt;=2,Table1[[#This Row],[Profit]]&lt;0),"Review","NO")</f>
        <v>NO</v>
      </c>
      <c r="CL9" t="str" cm="1">
        <f t="array" ref="CL9">_xlfn.IFS(Table1[[#This Row],[Rating]]&gt;2,"Poor",Table1[[#This Row],[Rating]]=3,"Average",Table1[[#This Row],[Rating]]=4,"Good",CP9=5,"Excellent")</f>
        <v>Poor</v>
      </c>
      <c r="CM9">
        <f>COUNT(Table1[[#This Row],[Rating]])</f>
        <v>1</v>
      </c>
      <c r="CN9">
        <f>COUNTBLANK(Table1[[#This Row],[Rating]])</f>
        <v>0</v>
      </c>
      <c r="CP9" t="s">
        <v>157</v>
      </c>
      <c r="CQ9" s="14">
        <v>3</v>
      </c>
      <c r="CR9" t="s">
        <v>204</v>
      </c>
      <c r="CS9" t="s">
        <v>174</v>
      </c>
      <c r="CU9" s="3">
        <v>10497</v>
      </c>
      <c r="CV9" s="3">
        <f>ROUND(Table1[[#This Row],[Sales_Amount]],0)</f>
        <v>10497</v>
      </c>
      <c r="CW9" s="3"/>
      <c r="CX9" s="3"/>
      <c r="CY9" s="3" t="str">
        <f>IF(AND(Table1[[#This Row],[Sales_Amount]]&gt;=10000,Table1[[#This Row],[Profit]]&gt;0),"Good Order")</f>
        <v>Good Order</v>
      </c>
      <c r="CZ9" s="3" t="str">
        <f>IF(Table1[[#This Row],[Sales_Amount]]&gt;=10000,"High","Normal")</f>
        <v>High</v>
      </c>
      <c r="DA9" s="3">
        <v>2897</v>
      </c>
      <c r="DB9" s="3">
        <f>ROUND(Table1[[#This Row],[Profit]],0)</f>
        <v>2897</v>
      </c>
      <c r="DC9" s="3">
        <f>ABS(Table1[[#This Row],[Profit]])</f>
        <v>2897</v>
      </c>
      <c r="DD9" s="3"/>
      <c r="DE9" s="3"/>
      <c r="DF9" s="3"/>
      <c r="DG9" s="3" t="str">
        <f>IF(Table1[[#This Row],[Profit]]&gt;0,"Profit","Loss")</f>
        <v>Profit</v>
      </c>
      <c r="DH9" s="3" t="str">
        <f>IF(AND(Table1[[#This Row],[Sales_Amount]]&gt;=10000,Table1[[#This Row],[Profit]]&gt;0),"Priority","Normal")</f>
        <v>Priority</v>
      </c>
      <c r="DI9" s="3">
        <f t="shared" ca="1" si="2"/>
        <v>0.67794142269940849</v>
      </c>
      <c r="DJ9" s="3">
        <f t="shared" ca="1" si="3"/>
        <v>77</v>
      </c>
      <c r="DK9" s="3"/>
      <c r="DL9" s="3"/>
      <c r="DM9" s="3"/>
      <c r="DN9" s="3"/>
      <c r="DO9" s="3"/>
      <c r="DP9" s="3"/>
    </row>
    <row r="10" spans="1:120">
      <c r="A10" t="s">
        <v>226</v>
      </c>
      <c r="B10" t="str">
        <f>REPLACE(Table1[[#This Row],[Order_ID]],1,3,"YOO")</f>
        <v>YOO10009</v>
      </c>
      <c r="C10" t="str">
        <f>MID(Table1[[#This Row],[Order_ID]],4,4)</f>
        <v>1000</v>
      </c>
      <c r="D10" t="str">
        <f>LEFT(Table1[[#This Row],[Order_ID]],4)</f>
        <v>ORD1</v>
      </c>
      <c r="E10" t="str">
        <f>RIGHT(Table1[[#This Row],[Order_ID]],5)</f>
        <v>10009</v>
      </c>
      <c r="F10" t="s">
        <v>5</v>
      </c>
      <c r="G10">
        <v>10009</v>
      </c>
      <c r="H10" t="s">
        <v>227</v>
      </c>
      <c r="I10" s="2">
        <f>EDATE(Table1[[#This Row],[Order_Date]],3)</f>
        <v>46155</v>
      </c>
      <c r="J10" s="2">
        <f>EDATE(Table1[[#This Row],[Order_Date]],6)</f>
        <v>46247</v>
      </c>
      <c r="K10">
        <f ca="1">YEAR(Table1[[#This Row],[Today]])</f>
        <v>2026</v>
      </c>
      <c r="L10">
        <v>9</v>
      </c>
      <c r="M10">
        <f ca="1">DAY(Table1[[#This Row],[Today]])</f>
        <v>11</v>
      </c>
      <c r="N10" s="19">
        <f t="shared" ca="1" si="6"/>
        <v>46245.589795370368</v>
      </c>
      <c r="O10" s="2">
        <f t="shared" ca="1" si="0"/>
        <v>46245</v>
      </c>
      <c r="P10" s="17">
        <f ca="1">Table1[[#This Row],[Today]]-Table1[[#This Row],[Order_Date]]</f>
        <v>179</v>
      </c>
      <c r="Q10" s="2">
        <v>45666</v>
      </c>
      <c r="R10" s="2">
        <v>46066</v>
      </c>
      <c r="S10" s="6">
        <f t="shared" si="4"/>
        <v>2026</v>
      </c>
      <c r="T10" s="7" t="str">
        <f t="shared" si="5"/>
        <v>February</v>
      </c>
      <c r="U10" s="2">
        <f>WORKDAY(Table1[[#This Row],[Order_Date]],5)</f>
        <v>46073</v>
      </c>
      <c r="V10" s="7" t="str">
        <f>CONCATENATE(Table1[[#This Row],[Customer_ID]],Table1[[#This Row],[Customer_Name]])</f>
        <v>C1013Neha Gupta</v>
      </c>
      <c r="W10" t="s">
        <v>228</v>
      </c>
      <c r="X10" t="s">
        <v>229</v>
      </c>
      <c r="Y10">
        <f>COUNTA(Table1[[#This Row],[Customer_Name]])</f>
        <v>1</v>
      </c>
      <c r="Z10" t="str">
        <f>SUBSTITUTE(Table1[[#This Row],[Customer_Name]]," ","_")</f>
        <v>Neha_Gupta</v>
      </c>
      <c r="AA10" s="10">
        <f>IFERROR(SEARCH("a",Table1[[#This Row],[Customer_Name]]),"N/A")</f>
        <v>4</v>
      </c>
      <c r="AB10">
        <f>SEARCH(" ",Table1[[#This Row],[Customer_Name]])</f>
        <v>5</v>
      </c>
      <c r="AC10" s="11">
        <f>IFERROR(FIND("a",Table1[[#This Row],[Customer_Name]]),"N/A")</f>
        <v>4</v>
      </c>
      <c r="AD10">
        <f>FIND(" ",Table1[[#This Row],[Customer_Name]])</f>
        <v>5</v>
      </c>
      <c r="AE10" t="str">
        <f>TRIM(Table1[[#This Row],[Customer_Name]])</f>
        <v>Neha Gupta</v>
      </c>
      <c r="AF10">
        <f>LEN(Table1[[#This Row],[Trimmed]])</f>
        <v>10</v>
      </c>
      <c r="AG10">
        <f>MAX(Table1[Length])</f>
        <v>15</v>
      </c>
      <c r="AH10" t="str">
        <f>PROPER(Table1[[#This Row],[Customer_Name]])</f>
        <v>Neha Gupta</v>
      </c>
      <c r="AI10" t="str">
        <f>LOWER(Table1[[#This Row],[Customer_Name]])</f>
        <v>neha gupta</v>
      </c>
      <c r="AJ10" t="str">
        <f>UPPER(Table1[[#This Row],[Customer_Name]])</f>
        <v>NEHA GUPTA</v>
      </c>
      <c r="AK10" t="str">
        <f>CONCATENATE(Table1[[#This Row],[Customer_ID]],Table1[[#This Row],[Customer_Name]])</f>
        <v>C1013Neha Gupta</v>
      </c>
      <c r="AL10" t="s">
        <v>230</v>
      </c>
      <c r="AM10" t="s">
        <v>231</v>
      </c>
      <c r="AN10" t="s">
        <v>232</v>
      </c>
      <c r="AO10" t="s">
        <v>230</v>
      </c>
      <c r="AP10" t="s">
        <v>231</v>
      </c>
      <c r="AQ10" t="s">
        <v>233</v>
      </c>
      <c r="AR10" t="str">
        <f>TRIM(Table1[[#This Row],[City]])</f>
        <v>Kolkata</v>
      </c>
      <c r="AS10" t="str">
        <f>PROPER(Table1[[#This Row],[City]])</f>
        <v>Kolkata</v>
      </c>
      <c r="AT10" t="s">
        <v>234</v>
      </c>
      <c r="AU10" t="str">
        <f>CONCATENATE(Table1[[#This Row],[City]],Table1[[#This Row],[State]])</f>
        <v>KolkataWest Bengal</v>
      </c>
      <c r="AV10" t="s">
        <v>235</v>
      </c>
      <c r="AW10" t="s">
        <v>236</v>
      </c>
      <c r="AX10" t="str">
        <f>REPLACE(Table1[[#This Row],[Product_ID]],1,1,"s")</f>
        <v>s107</v>
      </c>
      <c r="AY10" t="s">
        <v>237</v>
      </c>
      <c r="AZ10">
        <f>SEARCH("-",Table1[[#This Row],[Product ID]])</f>
        <v>2</v>
      </c>
      <c r="BA10">
        <f>FIND("-",Table1[[#This Row],[Product ID]])</f>
        <v>2</v>
      </c>
      <c r="BB10" t="str">
        <f>MID(Table1[[#This Row],[Product_ID]],2,3)</f>
        <v>107</v>
      </c>
      <c r="BC10" t="str">
        <f>RIGHT(Table1[[#This Row],[Product_ID]],3)</f>
        <v>107</v>
      </c>
      <c r="BD10" t="str">
        <f>LEFT(Table1[[#This Row],[Product_ID]],3)</f>
        <v>P10</v>
      </c>
      <c r="BE10" t="str">
        <f>_xlfn.XLOOKUP(Table1[[#This Row],[Product_ID]],AW:AW,BF:BF,,0)</f>
        <v>Casual Sneakers</v>
      </c>
      <c r="BF10" t="s">
        <v>238</v>
      </c>
      <c r="BG10">
        <f>LEN(Table1[[#This Row],[Product_Name]])</f>
        <v>15</v>
      </c>
      <c r="BH10" t="s">
        <v>224</v>
      </c>
      <c r="BI10">
        <f t="shared" si="7"/>
        <v>75</v>
      </c>
      <c r="BJ10" t="str">
        <f>SUBSTITUTE(Table1[[#This Row],[Category]],"Electronics","ELECTRONICS")</f>
        <v>Fashion</v>
      </c>
      <c r="BN10" t="s">
        <v>225</v>
      </c>
      <c r="BS10" s="14">
        <v>3</v>
      </c>
      <c r="BT10" s="3">
        <v>2799</v>
      </c>
      <c r="BU10" s="4">
        <v>10</v>
      </c>
      <c r="BV10" s="4" t="str">
        <f>IF(AND(Table1[[#This Row],[Quantity]]&gt;=3,Table1[[#This Row],[Discount_%]]&gt;=15%),"Bulk Discount","no")</f>
        <v>Bulk Discount</v>
      </c>
      <c r="BW10" s="4" t="str">
        <f>IF(AND(Table1[[#This Row],[Quantity]]&gt;3,Table1[[#This Row],[Discount_%]]&gt;15%),"Bulk Customer","Normal")</f>
        <v>Normal</v>
      </c>
      <c r="BX10" t="s">
        <v>187</v>
      </c>
      <c r="BY10" t="s">
        <v>136</v>
      </c>
      <c r="CC10" t="str">
        <f>IF(OR(Table1[[#This Row],[Order_Status]]="Returned",Table1[[#This Row],[Order_Status]]="Cancelled"),"Attention Required","Not")</f>
        <v>Not</v>
      </c>
      <c r="CD10" t="str">
        <f>IF(OR(Table1[[#This Row],[Order_Status]]="Returned",Table1[[#This Row],[Order_Status]]="Cancelled"),"Review","no")</f>
        <v>no</v>
      </c>
      <c r="CE10" t="str">
        <f>SUBSTITUTE(Table1[[#This Row],[Order_Status]],"Delivered","Completed")</f>
        <v>Completed</v>
      </c>
      <c r="CF10" s="2">
        <v>46074</v>
      </c>
      <c r="CG10" s="17">
        <f>NETWORKDAYS(Table1[[#This Row],[Order_Date]],Table1[[#This Row],[Delivery_Date]])</f>
        <v>6</v>
      </c>
      <c r="CH10" s="17">
        <f>Table1[[#This Row],[Delivery_Date]]-Table1[[#This Row],[Order_Date]]</f>
        <v>8</v>
      </c>
      <c r="CI10" t="s">
        <v>137</v>
      </c>
      <c r="CJ10" t="str">
        <f>IF(Table1[[#This Row],[Rating]]&gt;=4,"Good","Needs Improvement")</f>
        <v>Needs Improvement</v>
      </c>
      <c r="CK10" t="str">
        <f>IF(OR(Table1[[#This Row],[Rating]]&lt;=2,Table1[[#This Row],[Profit]]&lt;0),"Review","NO")</f>
        <v>Review</v>
      </c>
      <c r="CL10" t="e" cm="1">
        <f t="array" ref="CL10">_xlfn.IFS(Table1[[#This Row],[Rating]]&gt;2,"Poor",Table1[[#This Row],[Rating]]=3,"Average",Table1[[#This Row],[Rating]]=4,"Good",CP10=5,"Excellent")</f>
        <v>#N/A</v>
      </c>
      <c r="CM10">
        <f>COUNT(Table1[[#This Row],[Rating]])</f>
        <v>1</v>
      </c>
      <c r="CN10">
        <f>COUNTBLANK(Table1[[#This Row],[Rating]])</f>
        <v>0</v>
      </c>
      <c r="CQ10" s="14">
        <v>2</v>
      </c>
      <c r="CR10" t="s">
        <v>139</v>
      </c>
      <c r="CS10" t="s">
        <v>213</v>
      </c>
      <c r="CU10" s="3">
        <v>7557.3</v>
      </c>
      <c r="CV10" s="3">
        <f>ROUND(Table1[[#This Row],[Sales_Amount]],0)</f>
        <v>7557</v>
      </c>
      <c r="CW10" s="3"/>
      <c r="CX10" s="3"/>
      <c r="CY10" s="3" t="b">
        <f>IF(AND(Table1[[#This Row],[Sales_Amount]]&gt;=10000,Table1[[#This Row],[Profit]]&gt;0),"Good Order")</f>
        <v>0</v>
      </c>
      <c r="CZ10" s="3" t="str">
        <f>IF(Table1[[#This Row],[Sales_Amount]]&gt;=10000,"High","Normal")</f>
        <v>Normal</v>
      </c>
      <c r="DA10" s="3">
        <v>3057.3</v>
      </c>
      <c r="DB10" s="3">
        <f>ROUND(Table1[[#This Row],[Profit]],0)</f>
        <v>3057</v>
      </c>
      <c r="DC10" s="3">
        <f>ABS(Table1[[#This Row],[Profit]])</f>
        <v>3057.3</v>
      </c>
      <c r="DD10" s="3"/>
      <c r="DE10" s="3"/>
      <c r="DF10" s="3"/>
      <c r="DG10" s="3" t="str">
        <f>IF(Table1[[#This Row],[Profit]]&gt;0,"Profit","Loss")</f>
        <v>Profit</v>
      </c>
      <c r="DH10" s="3" t="str">
        <f>IF(AND(Table1[[#This Row],[Sales_Amount]]&gt;=10000,Table1[[#This Row],[Profit]]&gt;0),"Priority","Normal")</f>
        <v>Normal</v>
      </c>
      <c r="DI10" s="3">
        <f t="shared" ca="1" si="2"/>
        <v>0.51190862240687185</v>
      </c>
      <c r="DJ10" s="3">
        <f t="shared" ca="1" si="3"/>
        <v>90</v>
      </c>
      <c r="DK10" s="3"/>
      <c r="DL10" s="3"/>
      <c r="DM10" s="3"/>
      <c r="DN10" s="3"/>
      <c r="DO10" s="3"/>
      <c r="DP10" s="3"/>
    </row>
    <row r="11" spans="1:120">
      <c r="A11" t="s">
        <v>239</v>
      </c>
      <c r="B11" t="str">
        <f>REPLACE(Table1[[#This Row],[Order_ID]],1,3,"YOO")</f>
        <v>YOO10010</v>
      </c>
      <c r="C11" t="str">
        <f>MID(Table1[[#This Row],[Order_ID]],4,4)</f>
        <v>1001</v>
      </c>
      <c r="D11" t="str">
        <f>LEFT(Table1[[#This Row],[Order_ID]],4)</f>
        <v>ORD1</v>
      </c>
      <c r="E11" t="str">
        <f>RIGHT(Table1[[#This Row],[Order_ID]],5)</f>
        <v>10010</v>
      </c>
      <c r="F11" t="s">
        <v>5</v>
      </c>
      <c r="G11">
        <v>10010</v>
      </c>
      <c r="H11" t="s">
        <v>240</v>
      </c>
      <c r="I11" s="2">
        <f>EDATE(Table1[[#This Row],[Order_Date]],3)</f>
        <v>45815</v>
      </c>
      <c r="J11" s="2">
        <f>EDATE(Table1[[#This Row],[Order_Date]],6)</f>
        <v>45907</v>
      </c>
      <c r="K11">
        <f ca="1">YEAR(Table1[[#This Row],[Today]])</f>
        <v>2026</v>
      </c>
      <c r="L11">
        <v>10</v>
      </c>
      <c r="M11">
        <f ca="1">DAY(Table1[[#This Row],[Today]])</f>
        <v>11</v>
      </c>
      <c r="N11" s="19">
        <f t="shared" ca="1" si="6"/>
        <v>46245.589795138891</v>
      </c>
      <c r="O11" s="2">
        <f t="shared" ca="1" si="0"/>
        <v>46245</v>
      </c>
      <c r="P11" s="17">
        <f ca="1">Table1[[#This Row],[Today]]-Table1[[#This Row],[Order_Date]]</f>
        <v>522</v>
      </c>
      <c r="Q11" s="2">
        <v>45667</v>
      </c>
      <c r="R11" s="2">
        <v>45723</v>
      </c>
      <c r="S11" s="6">
        <f t="shared" si="4"/>
        <v>2025</v>
      </c>
      <c r="T11" s="7" t="str">
        <f t="shared" si="5"/>
        <v>March</v>
      </c>
      <c r="U11" s="2">
        <f>WORKDAY(Table1[[#This Row],[Order_Date]],5)</f>
        <v>45730</v>
      </c>
      <c r="V11" s="7" t="str">
        <f>CONCATENATE(Table1[[#This Row],[Customer_ID]],Table1[[#This Row],[Customer_Name]])</f>
        <v xml:space="preserve">C1142  rahul sharma  </v>
      </c>
      <c r="W11" t="s">
        <v>241</v>
      </c>
      <c r="X11" t="s">
        <v>242</v>
      </c>
      <c r="Y11">
        <f>COUNTA(Table1[[#This Row],[Customer_Name]])</f>
        <v>1</v>
      </c>
      <c r="Z11" t="str">
        <f>SUBSTITUTE(Table1[[#This Row],[Customer_Name]]," ","_")</f>
        <v>__rahul_sharma__</v>
      </c>
      <c r="AA11" s="10">
        <f>IFERROR(SEARCH("a",Table1[[#This Row],[Customer_Name]]),"N/A")</f>
        <v>4</v>
      </c>
      <c r="AB11">
        <f>SEARCH(" ",Table1[[#This Row],[Customer_Name]])</f>
        <v>1</v>
      </c>
      <c r="AC11" s="11">
        <f>IFERROR(FIND("a",Table1[[#This Row],[Customer_Name]]),"N/A")</f>
        <v>4</v>
      </c>
      <c r="AD11">
        <f>FIND(" ",Table1[[#This Row],[Customer_Name]])</f>
        <v>1</v>
      </c>
      <c r="AE11" t="str">
        <f>TRIM(Table1[[#This Row],[Customer_Name]])</f>
        <v>rahul sharma</v>
      </c>
      <c r="AF11">
        <f>LEN(Table1[[#This Row],[Trimmed]])</f>
        <v>12</v>
      </c>
      <c r="AG11">
        <f>MAX(Table1[Length])</f>
        <v>15</v>
      </c>
      <c r="AH11" t="str">
        <f>PROPER(Table1[[#This Row],[Customer_Name]])</f>
        <v xml:space="preserve">  Rahul Sharma  </v>
      </c>
      <c r="AI11" t="str">
        <f>LOWER(Table1[[#This Row],[Customer_Name]])</f>
        <v xml:space="preserve">  rahul sharma  </v>
      </c>
      <c r="AJ11" t="str">
        <f>UPPER(Table1[[#This Row],[Customer_Name]])</f>
        <v xml:space="preserve">  RAHUL SHARMA  </v>
      </c>
      <c r="AK11" t="str">
        <f>CONCATENATE(Table1[[#This Row],[Customer_ID]],Table1[[#This Row],[Customer_Name]])</f>
        <v xml:space="preserve">C1142  rahul sharma  </v>
      </c>
      <c r="AL11" t="s">
        <v>243</v>
      </c>
      <c r="AM11" t="s">
        <v>244</v>
      </c>
      <c r="AN11" t="s">
        <v>245</v>
      </c>
      <c r="AO11" t="s">
        <v>243</v>
      </c>
      <c r="AP11" t="s">
        <v>244</v>
      </c>
      <c r="AQ11" t="s">
        <v>233</v>
      </c>
      <c r="AR11" t="str">
        <f>TRIM(Table1[[#This Row],[City]])</f>
        <v>Kolkata</v>
      </c>
      <c r="AS11" t="str">
        <f>PROPER(Table1[[#This Row],[City]])</f>
        <v>Kolkata</v>
      </c>
      <c r="AT11" t="s">
        <v>234</v>
      </c>
      <c r="AU11" t="str">
        <f>CONCATENATE(Table1[[#This Row],[City]],Table1[[#This Row],[State]])</f>
        <v>KolkataWest Bengal</v>
      </c>
      <c r="AV11" t="s">
        <v>235</v>
      </c>
      <c r="AW11" t="s">
        <v>236</v>
      </c>
      <c r="AX11" t="str">
        <f>REPLACE(Table1[[#This Row],[Product_ID]],1,1,"s")</f>
        <v>s107</v>
      </c>
      <c r="AY11" t="s">
        <v>246</v>
      </c>
      <c r="AZ11">
        <f>SEARCH("-",Table1[[#This Row],[Product ID]])</f>
        <v>2</v>
      </c>
      <c r="BA11">
        <f>FIND("-",Table1[[#This Row],[Product ID]])</f>
        <v>2</v>
      </c>
      <c r="BB11" t="str">
        <f>MID(Table1[[#This Row],[Product_ID]],2,3)</f>
        <v>107</v>
      </c>
      <c r="BC11" t="str">
        <f>RIGHT(Table1[[#This Row],[Product_ID]],3)</f>
        <v>107</v>
      </c>
      <c r="BD11" t="str">
        <f>LEFT(Table1[[#This Row],[Product_ID]],3)</f>
        <v>P10</v>
      </c>
      <c r="BE11" t="str">
        <f>_xlfn.XLOOKUP(Table1[[#This Row],[Product_ID]],AW:AW,BF:BF,,0)</f>
        <v>Casual Sneakers</v>
      </c>
      <c r="BF11" t="s">
        <v>238</v>
      </c>
      <c r="BG11">
        <f>LEN(Table1[[#This Row],[Product_Name]])</f>
        <v>15</v>
      </c>
      <c r="BH11" t="s">
        <v>224</v>
      </c>
      <c r="BI11">
        <f t="shared" si="7"/>
        <v>75</v>
      </c>
      <c r="BJ11" t="str">
        <f>SUBSTITUTE(Table1[[#This Row],[Category]],"Electronics","ELECTRONICS")</f>
        <v>Fashion</v>
      </c>
      <c r="BN11" t="s">
        <v>225</v>
      </c>
      <c r="BS11" s="14">
        <v>4</v>
      </c>
      <c r="BT11" s="3">
        <v>2799</v>
      </c>
      <c r="BU11" s="4">
        <v>20</v>
      </c>
      <c r="BV11" s="4" t="str">
        <f>IF(AND(Table1[[#This Row],[Quantity]]&gt;=3,Table1[[#This Row],[Discount_%]]&gt;=15%),"Bulk Discount","no")</f>
        <v>Bulk Discount</v>
      </c>
      <c r="BW11" s="4" t="str">
        <f>IF(AND(Table1[[#This Row],[Quantity]]&gt;3,Table1[[#This Row],[Discount_%]]&gt;15%),"Bulk Customer","Normal")</f>
        <v>Bulk Customer</v>
      </c>
      <c r="BX11" t="s">
        <v>172</v>
      </c>
      <c r="BY11" t="s">
        <v>156</v>
      </c>
      <c r="CC11" t="str">
        <f>IF(OR(Table1[[#This Row],[Order_Status]]="Returned",Table1[[#This Row],[Order_Status]]="Cancelled"),"Attention Required","Not")</f>
        <v>Attention Required</v>
      </c>
      <c r="CD11" t="str">
        <f>IF(OR(Table1[[#This Row],[Order_Status]]="Returned",Table1[[#This Row],[Order_Status]]="Cancelled"),"Review","no")</f>
        <v>Review</v>
      </c>
      <c r="CE11" t="str">
        <f>SUBSTITUTE(Table1[[#This Row],[Order_Status]],"Delivered","Completed")</f>
        <v>Cancelled</v>
      </c>
      <c r="CF11" s="2">
        <v>45731</v>
      </c>
      <c r="CG11" s="17">
        <f>NETWORKDAYS(Table1[[#This Row],[Order_Date]],Table1[[#This Row],[Delivery_Date]])</f>
        <v>6</v>
      </c>
      <c r="CH11" s="17">
        <f>Table1[[#This Row],[Delivery_Date]]-Table1[[#This Row],[Order_Date]]</f>
        <v>8</v>
      </c>
      <c r="CI11" t="s">
        <v>137</v>
      </c>
      <c r="CJ11" t="str">
        <f>IF(Table1[[#This Row],[Rating]]&gt;=4,"Good","Needs Improvement")</f>
        <v>Good</v>
      </c>
      <c r="CK11" t="str">
        <f>IF(OR(Table1[[#This Row],[Rating]]&lt;=2,Table1[[#This Row],[Profit]]&lt;0),"Review","NO")</f>
        <v>NO</v>
      </c>
      <c r="CL11" t="str" cm="1">
        <f t="array" ref="CL11">_xlfn.IFS(Table1[[#This Row],[Rating]]&gt;2,"Poor",Table1[[#This Row],[Rating]]=3,"Average",Table1[[#This Row],[Rating]]=4,"Good",CP11=5,"Excellent")</f>
        <v>Poor</v>
      </c>
      <c r="CM11">
        <f>COUNT(Table1[[#This Row],[Rating]])</f>
        <v>1</v>
      </c>
      <c r="CN11">
        <f>COUNTBLANK(Table1[[#This Row],[Rating]])</f>
        <v>0</v>
      </c>
      <c r="CQ11" s="14">
        <v>4</v>
      </c>
      <c r="CR11" t="s">
        <v>204</v>
      </c>
      <c r="CS11" t="s">
        <v>195</v>
      </c>
      <c r="CU11" s="3">
        <v>8956.7999999999993</v>
      </c>
      <c r="CV11" s="3">
        <f>ROUND(Table1[[#This Row],[Sales_Amount]],0)</f>
        <v>8957</v>
      </c>
      <c r="CW11" s="3"/>
      <c r="CX11" s="3"/>
      <c r="CY11" s="3" t="b">
        <f>IF(AND(Table1[[#This Row],[Sales_Amount]]&gt;=10000,Table1[[#This Row],[Profit]]&gt;0),"Good Order")</f>
        <v>0</v>
      </c>
      <c r="CZ11" s="3" t="str">
        <f>IF(Table1[[#This Row],[Sales_Amount]]&gt;=10000,"High","Normal")</f>
        <v>Normal</v>
      </c>
      <c r="DA11" s="3">
        <v>2956.8</v>
      </c>
      <c r="DB11" s="3">
        <f>ROUND(Table1[[#This Row],[Profit]],0)</f>
        <v>2957</v>
      </c>
      <c r="DC11" s="3">
        <f>ABS(Table1[[#This Row],[Profit]])</f>
        <v>2956.8</v>
      </c>
      <c r="DD11" s="3"/>
      <c r="DE11" s="3"/>
      <c r="DF11" s="3"/>
      <c r="DG11" s="3" t="str">
        <f>IF(Table1[[#This Row],[Profit]]&gt;0,"Profit","Loss")</f>
        <v>Profit</v>
      </c>
      <c r="DH11" s="3" t="str">
        <f>IF(AND(Table1[[#This Row],[Sales_Amount]]&gt;=10000,Table1[[#This Row],[Profit]]&gt;0),"Priority","Normal")</f>
        <v>Normal</v>
      </c>
      <c r="DI11" s="3">
        <f t="shared" ca="1" si="2"/>
        <v>0.52416335203371789</v>
      </c>
      <c r="DJ11" s="3">
        <f t="shared" ca="1" si="3"/>
        <v>73</v>
      </c>
      <c r="DK11" s="3"/>
      <c r="DL11" s="3"/>
      <c r="DM11" s="3"/>
      <c r="DN11" s="3"/>
      <c r="DO11" s="3"/>
      <c r="DP11" s="3"/>
    </row>
    <row r="12" spans="1:120">
      <c r="A12" t="s">
        <v>247</v>
      </c>
      <c r="B12" t="str">
        <f>REPLACE(Table1[[#This Row],[Order_ID]],1,3,"YOO")</f>
        <v>YOO10011</v>
      </c>
      <c r="C12" t="str">
        <f>MID(Table1[[#This Row],[Order_ID]],4,4)</f>
        <v>1001</v>
      </c>
      <c r="D12" t="str">
        <f>LEFT(Table1[[#This Row],[Order_ID]],4)</f>
        <v>ORD1</v>
      </c>
      <c r="E12" t="str">
        <f>RIGHT(Table1[[#This Row],[Order_ID]],5)</f>
        <v>10011</v>
      </c>
      <c r="F12" t="s">
        <v>5</v>
      </c>
      <c r="G12">
        <v>10011</v>
      </c>
      <c r="H12" t="s">
        <v>248</v>
      </c>
      <c r="I12" s="2">
        <f>EDATE(Table1[[#This Row],[Order_Date]],3)</f>
        <v>46096</v>
      </c>
      <c r="J12" s="2">
        <f>EDATE(Table1[[#This Row],[Order_Date]],6)</f>
        <v>46188</v>
      </c>
      <c r="K12">
        <f ca="1">YEAR(Table1[[#This Row],[Today]])</f>
        <v>2026</v>
      </c>
      <c r="L12">
        <v>11</v>
      </c>
      <c r="M12">
        <f ca="1">DAY(Table1[[#This Row],[Today]])</f>
        <v>11</v>
      </c>
      <c r="N12" s="19">
        <f t="shared" ca="1" si="6"/>
        <v>46245.589795370368</v>
      </c>
      <c r="O12" s="2">
        <f t="shared" ca="1" si="0"/>
        <v>46245</v>
      </c>
      <c r="P12" s="17">
        <f ca="1">Table1[[#This Row],[Today]]-Table1[[#This Row],[Order_Date]]</f>
        <v>239</v>
      </c>
      <c r="Q12" s="2">
        <v>45668</v>
      </c>
      <c r="R12" s="2">
        <v>46006</v>
      </c>
      <c r="S12" s="6">
        <f t="shared" si="4"/>
        <v>2025</v>
      </c>
      <c r="T12" s="7" t="str">
        <f t="shared" si="5"/>
        <v>December</v>
      </c>
      <c r="U12" s="2">
        <f>WORKDAY(Table1[[#This Row],[Order_Date]],5)</f>
        <v>46013</v>
      </c>
      <c r="V12" s="7" t="str">
        <f>CONCATENATE(Table1[[#This Row],[Customer_ID]],Table1[[#This Row],[Customer_Name]])</f>
        <v>C1001Vikas Yadav</v>
      </c>
      <c r="W12" t="s">
        <v>249</v>
      </c>
      <c r="X12" t="s">
        <v>208</v>
      </c>
      <c r="Y12">
        <f>COUNTA(Table1[[#This Row],[Customer_Name]])</f>
        <v>1</v>
      </c>
      <c r="Z12" t="str">
        <f>SUBSTITUTE(Table1[[#This Row],[Customer_Name]]," ","_")</f>
        <v>Vikas_Yadav</v>
      </c>
      <c r="AA12" s="10">
        <f>IFERROR(SEARCH("a",Table1[[#This Row],[Customer_Name]]),"N/A")</f>
        <v>4</v>
      </c>
      <c r="AB12">
        <f>SEARCH(" ",Table1[[#This Row],[Customer_Name]])</f>
        <v>6</v>
      </c>
      <c r="AC12" s="11">
        <f>IFERROR(FIND("a",Table1[[#This Row],[Customer_Name]]),"N/A")</f>
        <v>4</v>
      </c>
      <c r="AD12">
        <f>FIND(" ",Table1[[#This Row],[Customer_Name]])</f>
        <v>6</v>
      </c>
      <c r="AE12" t="str">
        <f>TRIM(Table1[[#This Row],[Customer_Name]])</f>
        <v>Vikas Yadav</v>
      </c>
      <c r="AF12">
        <f>LEN(Table1[[#This Row],[Trimmed]])</f>
        <v>11</v>
      </c>
      <c r="AG12">
        <f>MAX(Table1[Length])</f>
        <v>15</v>
      </c>
      <c r="AH12" t="str">
        <f>PROPER(Table1[[#This Row],[Customer_Name]])</f>
        <v>Vikas Yadav</v>
      </c>
      <c r="AI12" t="str">
        <f>LOWER(Table1[[#This Row],[Customer_Name]])</f>
        <v>vikas yadav</v>
      </c>
      <c r="AJ12" t="str">
        <f>UPPER(Table1[[#This Row],[Customer_Name]])</f>
        <v>VIKAS YADAV</v>
      </c>
      <c r="AK12" t="str">
        <f>CONCATENATE(Table1[[#This Row],[Customer_ID]],Table1[[#This Row],[Customer_Name]])</f>
        <v>C1001Vikas Yadav</v>
      </c>
      <c r="AL12" t="s">
        <v>209</v>
      </c>
      <c r="AM12" t="s">
        <v>210</v>
      </c>
      <c r="AN12" t="s">
        <v>211</v>
      </c>
      <c r="AO12" t="s">
        <v>209</v>
      </c>
      <c r="AP12" t="s">
        <v>210</v>
      </c>
      <c r="AQ12" t="s">
        <v>199</v>
      </c>
      <c r="AR12" t="str">
        <f>TRIM(Table1[[#This Row],[City]])</f>
        <v>Lucknow</v>
      </c>
      <c r="AS12" t="str">
        <f>PROPER(Table1[[#This Row],[City]])</f>
        <v>Lucknow</v>
      </c>
      <c r="AT12" t="s">
        <v>200</v>
      </c>
      <c r="AU12" t="str">
        <f>CONCATENATE(Table1[[#This Row],[City]],Table1[[#This Row],[State]])</f>
        <v>LucknowUttar Pradesh</v>
      </c>
      <c r="AV12" t="s">
        <v>150</v>
      </c>
      <c r="AW12" t="s">
        <v>250</v>
      </c>
      <c r="AX12" t="str">
        <f>REPLACE(Table1[[#This Row],[Product_ID]],1,1,"s")</f>
        <v>s113</v>
      </c>
      <c r="AY12" t="s">
        <v>251</v>
      </c>
      <c r="AZ12">
        <f>SEARCH("-",Table1[[#This Row],[Product ID]])</f>
        <v>2</v>
      </c>
      <c r="BA12">
        <f>FIND("-",Table1[[#This Row],[Product ID]])</f>
        <v>2</v>
      </c>
      <c r="BB12" t="str">
        <f>MID(Table1[[#This Row],[Product_ID]],2,3)</f>
        <v>113</v>
      </c>
      <c r="BC12" t="str">
        <f>RIGHT(Table1[[#This Row],[Product_ID]],3)</f>
        <v>113</v>
      </c>
      <c r="BD12" t="str">
        <f>LEFT(Table1[[#This Row],[Product_ID]],3)</f>
        <v>P11</v>
      </c>
      <c r="BE12" t="str">
        <f>_xlfn.XLOOKUP(Table1[[#This Row],[Product_ID]],AW:AW,BF:BF,,0)</f>
        <v>Desk Lamp</v>
      </c>
      <c r="BF12" t="s">
        <v>252</v>
      </c>
      <c r="BG12">
        <f>LEN(Table1[[#This Row],[Product_Name]])</f>
        <v>9</v>
      </c>
      <c r="BH12" t="s">
        <v>133</v>
      </c>
      <c r="BI12">
        <f t="shared" si="7"/>
        <v>75</v>
      </c>
      <c r="BJ12" t="str">
        <f>SUBSTITUTE(Table1[[#This Row],[Category]],"Electronics","ELECTRONICS")</f>
        <v>Home</v>
      </c>
      <c r="BN12" t="s">
        <v>253</v>
      </c>
      <c r="BS12" s="14">
        <v>1</v>
      </c>
      <c r="BT12" s="3">
        <v>1299</v>
      </c>
      <c r="BU12" s="4">
        <v>10</v>
      </c>
      <c r="BV12" s="4" t="str">
        <f>IF(AND(Table1[[#This Row],[Quantity]]&gt;=3,Table1[[#This Row],[Discount_%]]&gt;=15%),"Bulk Discount","no")</f>
        <v>no</v>
      </c>
      <c r="BW12" s="4" t="str">
        <f>IF(AND(Table1[[#This Row],[Quantity]]&gt;3,Table1[[#This Row],[Discount_%]]&gt;15%),"Bulk Customer","Normal")</f>
        <v>Normal</v>
      </c>
      <c r="BX12" t="s">
        <v>135</v>
      </c>
      <c r="BY12" t="s">
        <v>136</v>
      </c>
      <c r="CC12" t="str">
        <f>IF(OR(Table1[[#This Row],[Order_Status]]="Returned",Table1[[#This Row],[Order_Status]]="Cancelled"),"Attention Required","Not")</f>
        <v>Not</v>
      </c>
      <c r="CD12" t="str">
        <f>IF(OR(Table1[[#This Row],[Order_Status]]="Returned",Table1[[#This Row],[Order_Status]]="Cancelled"),"Review","no")</f>
        <v>no</v>
      </c>
      <c r="CE12" t="str">
        <f>SUBSTITUTE(Table1[[#This Row],[Order_Status]],"Delivered","Completed")</f>
        <v>Completed</v>
      </c>
      <c r="CF12" s="2">
        <v>46009</v>
      </c>
      <c r="CG12" s="17">
        <f>NETWORKDAYS(Table1[[#This Row],[Order_Date]],Table1[[#This Row],[Delivery_Date]])</f>
        <v>4</v>
      </c>
      <c r="CH12" s="17">
        <f>Table1[[#This Row],[Delivery_Date]]-Table1[[#This Row],[Order_Date]]</f>
        <v>3</v>
      </c>
      <c r="CI12" t="s">
        <v>137</v>
      </c>
      <c r="CJ12" t="str">
        <f>IF(Table1[[#This Row],[Rating]]&gt;=4,"Good","Needs Improvement")</f>
        <v>Needs Improvement</v>
      </c>
      <c r="CK12" t="str">
        <f>IF(OR(Table1[[#This Row],[Rating]]&lt;=2,Table1[[#This Row],[Profit]]&lt;0),"Review","NO")</f>
        <v>Review</v>
      </c>
      <c r="CL12" t="e" cm="1">
        <f t="array" ref="CL12">_xlfn.IFS(Table1[[#This Row],[Rating]]&gt;2,"Poor",Table1[[#This Row],[Rating]]=3,"Average",Table1[[#This Row],[Rating]]=4,"Good",CP12=5,"Excellent")</f>
        <v>#N/A</v>
      </c>
      <c r="CM12">
        <f>COUNT(Table1[[#This Row],[Rating]])</f>
        <v>0</v>
      </c>
      <c r="CN12">
        <f>COUNTBLANK(Table1[[#This Row],[Rating]])</f>
        <v>1</v>
      </c>
      <c r="CP12" t="s">
        <v>194</v>
      </c>
      <c r="CR12" t="s">
        <v>204</v>
      </c>
      <c r="CS12" t="s">
        <v>140</v>
      </c>
      <c r="CU12" s="3">
        <v>1169.0999999999999</v>
      </c>
      <c r="CV12" s="3">
        <f>ROUND(Table1[[#This Row],[Sales_Amount]],0)</f>
        <v>1169</v>
      </c>
      <c r="CW12" s="3"/>
      <c r="CX12" s="3"/>
      <c r="CY12" s="3" t="b">
        <f>IF(AND(Table1[[#This Row],[Sales_Amount]]&gt;=10000,Table1[[#This Row],[Profit]]&gt;0),"Good Order")</f>
        <v>0</v>
      </c>
      <c r="CZ12" s="3" t="str">
        <f>IF(Table1[[#This Row],[Sales_Amount]]&gt;=10000,"High","Normal")</f>
        <v>Normal</v>
      </c>
      <c r="DA12" s="3">
        <v>519.1</v>
      </c>
      <c r="DB12" s="3">
        <f>ROUND(Table1[[#This Row],[Profit]],0)</f>
        <v>519</v>
      </c>
      <c r="DC12" s="3">
        <f>ABS(Table1[[#This Row],[Profit]])</f>
        <v>519.1</v>
      </c>
      <c r="DD12" s="3"/>
      <c r="DE12" s="3"/>
      <c r="DF12" s="3"/>
      <c r="DG12" s="3" t="str">
        <f>IF(Table1[[#This Row],[Profit]]&gt;0,"Profit","Loss")</f>
        <v>Profit</v>
      </c>
      <c r="DH12" s="3" t="str">
        <f>IF(AND(Table1[[#This Row],[Sales_Amount]]&gt;=10000,Table1[[#This Row],[Profit]]&gt;0),"Priority","Normal")</f>
        <v>Normal</v>
      </c>
      <c r="DI12" s="3">
        <f t="shared" ca="1" si="2"/>
        <v>0.93992045382913891</v>
      </c>
      <c r="DJ12" s="3">
        <f t="shared" ca="1" si="3"/>
        <v>45</v>
      </c>
      <c r="DK12" s="3"/>
      <c r="DL12" s="3"/>
      <c r="DM12" s="3"/>
      <c r="DN12" s="3"/>
      <c r="DO12" s="3"/>
      <c r="DP12" s="3"/>
    </row>
    <row r="13" spans="1:120">
      <c r="A13" t="s">
        <v>254</v>
      </c>
      <c r="B13" t="str">
        <f>REPLACE(Table1[[#This Row],[Order_ID]],1,3,"YOO")</f>
        <v>YOO10012</v>
      </c>
      <c r="C13" t="str">
        <f>MID(Table1[[#This Row],[Order_ID]],4,4)</f>
        <v>1001</v>
      </c>
      <c r="D13" t="str">
        <f>LEFT(Table1[[#This Row],[Order_ID]],4)</f>
        <v>ORD1</v>
      </c>
      <c r="E13" t="str">
        <f>RIGHT(Table1[[#This Row],[Order_ID]],5)</f>
        <v>10012</v>
      </c>
      <c r="F13" t="s">
        <v>5</v>
      </c>
      <c r="G13">
        <v>10012</v>
      </c>
      <c r="H13" t="s">
        <v>255</v>
      </c>
      <c r="I13" s="2">
        <f>EDATE(Table1[[#This Row],[Order_Date]],3)</f>
        <v>46055</v>
      </c>
      <c r="J13" s="2">
        <f>EDATE(Table1[[#This Row],[Order_Date]],6)</f>
        <v>46144</v>
      </c>
      <c r="K13">
        <f ca="1">YEAR(Table1[[#This Row],[Today]])</f>
        <v>2026</v>
      </c>
      <c r="L13">
        <v>12</v>
      </c>
      <c r="M13">
        <f ca="1">DAY(Table1[[#This Row],[Today]])</f>
        <v>11</v>
      </c>
      <c r="N13" s="19">
        <f t="shared" ca="1" si="6"/>
        <v>46245.589795370368</v>
      </c>
      <c r="O13" s="2">
        <f t="shared" ca="1" si="0"/>
        <v>46245</v>
      </c>
      <c r="P13" s="17">
        <f ca="1">Table1[[#This Row],[Today]]-Table1[[#This Row],[Order_Date]]</f>
        <v>282</v>
      </c>
      <c r="Q13" s="2">
        <v>45669</v>
      </c>
      <c r="R13" s="2">
        <v>45963</v>
      </c>
      <c r="S13" s="6">
        <f t="shared" si="4"/>
        <v>2025</v>
      </c>
      <c r="T13" s="7" t="str">
        <f t="shared" si="5"/>
        <v>November</v>
      </c>
      <c r="U13" s="2">
        <f>WORKDAY(Table1[[#This Row],[Order_Date]],5)</f>
        <v>45968</v>
      </c>
      <c r="V13" s="7" t="str">
        <f>CONCATENATE(Table1[[#This Row],[Customer_ID]],Table1[[#This Row],[Customer_Name]])</f>
        <v>C1139Aditya Malhotra</v>
      </c>
      <c r="W13" t="s">
        <v>256</v>
      </c>
      <c r="X13" t="s">
        <v>257</v>
      </c>
      <c r="Y13">
        <f>COUNTA(Table1[[#This Row],[Customer_Name]])</f>
        <v>1</v>
      </c>
      <c r="Z13" t="str">
        <f>SUBSTITUTE(Table1[[#This Row],[Customer_Name]]," ","_")</f>
        <v>Aditya_Malhotra</v>
      </c>
      <c r="AA13" s="10">
        <f>IFERROR(SEARCH("a",Table1[[#This Row],[Customer_Name]]),"N/A")</f>
        <v>1</v>
      </c>
      <c r="AB13">
        <f>SEARCH(" ",Table1[[#This Row],[Customer_Name]])</f>
        <v>7</v>
      </c>
      <c r="AC13" s="11">
        <f>IFERROR(FIND("a",Table1[[#This Row],[Customer_Name]]),"N/A")</f>
        <v>6</v>
      </c>
      <c r="AD13">
        <f>FIND(" ",Table1[[#This Row],[Customer_Name]])</f>
        <v>7</v>
      </c>
      <c r="AE13" t="str">
        <f>TRIM(Table1[[#This Row],[Customer_Name]])</f>
        <v>Aditya Malhotra</v>
      </c>
      <c r="AF13">
        <f>LEN(Table1[[#This Row],[Trimmed]])</f>
        <v>15</v>
      </c>
      <c r="AG13">
        <f>MAX(Table1[Length])</f>
        <v>15</v>
      </c>
      <c r="AH13" t="str">
        <f>PROPER(Table1[[#This Row],[Customer_Name]])</f>
        <v>Aditya Malhotra</v>
      </c>
      <c r="AI13" t="str">
        <f>LOWER(Table1[[#This Row],[Customer_Name]])</f>
        <v>aditya malhotra</v>
      </c>
      <c r="AJ13" t="str">
        <f>UPPER(Table1[[#This Row],[Customer_Name]])</f>
        <v>ADITYA MALHOTRA</v>
      </c>
      <c r="AK13" t="str">
        <f>CONCATENATE(Table1[[#This Row],[Customer_ID]],Table1[[#This Row],[Customer_Name]])</f>
        <v>C1139Aditya Malhotra</v>
      </c>
      <c r="AL13" t="s">
        <v>258</v>
      </c>
      <c r="AM13" t="s">
        <v>259</v>
      </c>
      <c r="AN13" t="s">
        <v>260</v>
      </c>
      <c r="AO13" t="s">
        <v>258</v>
      </c>
      <c r="AP13" t="s">
        <v>259</v>
      </c>
      <c r="AQ13" t="s">
        <v>199</v>
      </c>
      <c r="AR13" t="str">
        <f>TRIM(Table1[[#This Row],[City]])</f>
        <v>Lucknow</v>
      </c>
      <c r="AS13" t="str">
        <f>PROPER(Table1[[#This Row],[City]])</f>
        <v>Lucknow</v>
      </c>
      <c r="AT13" t="s">
        <v>200</v>
      </c>
      <c r="AU13" t="str">
        <f>CONCATENATE(Table1[[#This Row],[City]],Table1[[#This Row],[State]])</f>
        <v>LucknowUttar Pradesh</v>
      </c>
      <c r="AV13" t="s">
        <v>150</v>
      </c>
      <c r="AW13" t="s">
        <v>261</v>
      </c>
      <c r="AX13" t="str">
        <f>REPLACE(Table1[[#This Row],[Product_ID]],1,1,"s")</f>
        <v>s114</v>
      </c>
      <c r="AY13" t="s">
        <v>262</v>
      </c>
      <c r="AZ13">
        <f>SEARCH("-",Table1[[#This Row],[Product ID]])</f>
        <v>2</v>
      </c>
      <c r="BA13">
        <f>FIND("-",Table1[[#This Row],[Product ID]])</f>
        <v>2</v>
      </c>
      <c r="BB13" t="str">
        <f>MID(Table1[[#This Row],[Product_ID]],2,3)</f>
        <v>114</v>
      </c>
      <c r="BC13" t="str">
        <f>RIGHT(Table1[[#This Row],[Product_ID]],3)</f>
        <v>114</v>
      </c>
      <c r="BD13" t="str">
        <f>LEFT(Table1[[#This Row],[Product_ID]],3)</f>
        <v>P11</v>
      </c>
      <c r="BE13" t="str">
        <f>_xlfn.XLOOKUP(Table1[[#This Row],[Product_ID]],AW:AW,BF:BF,,0)</f>
        <v>Yoga Mat</v>
      </c>
      <c r="BF13" t="s">
        <v>263</v>
      </c>
      <c r="BG13">
        <f>LEN(Table1[[#This Row],[Product_Name]])</f>
        <v>8</v>
      </c>
      <c r="BH13" t="s">
        <v>264</v>
      </c>
      <c r="BI13">
        <f t="shared" si="7"/>
        <v>75</v>
      </c>
      <c r="BJ13" t="str">
        <f>SUBSTITUTE(Table1[[#This Row],[Category]],"Electronics","ELECTRONICS")</f>
        <v>Sports</v>
      </c>
      <c r="BN13" t="s">
        <v>265</v>
      </c>
      <c r="BS13" s="14">
        <v>5</v>
      </c>
      <c r="BT13" s="3">
        <v>999</v>
      </c>
      <c r="BU13" s="4">
        <v>10</v>
      </c>
      <c r="BV13" s="4" t="str">
        <f>IF(AND(Table1[[#This Row],[Quantity]]&gt;=3,Table1[[#This Row],[Discount_%]]&gt;=15%),"Bulk Discount","no")</f>
        <v>Bulk Discount</v>
      </c>
      <c r="BW13" s="4" t="str">
        <f>IF(AND(Table1[[#This Row],[Quantity]]&gt;3,Table1[[#This Row],[Discount_%]]&gt;15%),"Bulk Customer","Normal")</f>
        <v>Bulk Customer</v>
      </c>
      <c r="BX13" t="s">
        <v>172</v>
      </c>
      <c r="BY13" t="s">
        <v>136</v>
      </c>
      <c r="CC13" t="str">
        <f>IF(OR(Table1[[#This Row],[Order_Status]]="Returned",Table1[[#This Row],[Order_Status]]="Cancelled"),"Attention Required","Not")</f>
        <v>Not</v>
      </c>
      <c r="CD13" t="str">
        <f>IF(OR(Table1[[#This Row],[Order_Status]]="Returned",Table1[[#This Row],[Order_Status]]="Cancelled"),"Review","no")</f>
        <v>no</v>
      </c>
      <c r="CE13" t="str">
        <f>SUBSTITUTE(Table1[[#This Row],[Order_Status]],"Delivered","Completed")</f>
        <v>Completed</v>
      </c>
      <c r="CF13" s="2">
        <v>45969</v>
      </c>
      <c r="CG13" s="17">
        <f>NETWORKDAYS(Table1[[#This Row],[Order_Date]],Table1[[#This Row],[Delivery_Date]])</f>
        <v>5</v>
      </c>
      <c r="CH13" s="17">
        <f>Table1[[#This Row],[Delivery_Date]]-Table1[[#This Row],[Order_Date]]</f>
        <v>6</v>
      </c>
      <c r="CI13" t="s">
        <v>137</v>
      </c>
      <c r="CJ13" t="str">
        <f>IF(Table1[[#This Row],[Rating]]&gt;=4,"Good","Needs Improvement")</f>
        <v>Needs Improvement</v>
      </c>
      <c r="CK13" t="str">
        <f>IF(OR(Table1[[#This Row],[Rating]]&lt;=2,Table1[[#This Row],[Profit]]&lt;0),"Review","NO")</f>
        <v>NO</v>
      </c>
      <c r="CL13" t="str" cm="1">
        <f t="array" ref="CL13">_xlfn.IFS(Table1[[#This Row],[Rating]]&gt;2,"Poor",Table1[[#This Row],[Rating]]=3,"Average",Table1[[#This Row],[Rating]]=4,"Good",CP13=5,"Excellent")</f>
        <v>Poor</v>
      </c>
      <c r="CM13">
        <f>COUNT(Table1[[#This Row],[Rating]])</f>
        <v>1</v>
      </c>
      <c r="CN13">
        <f>COUNTBLANK(Table1[[#This Row],[Rating]])</f>
        <v>0</v>
      </c>
      <c r="CP13" t="s">
        <v>266</v>
      </c>
      <c r="CQ13" s="14">
        <v>3</v>
      </c>
      <c r="CR13" t="s">
        <v>173</v>
      </c>
      <c r="CS13" t="s">
        <v>267</v>
      </c>
      <c r="CU13" s="3">
        <v>4495.5</v>
      </c>
      <c r="CV13" s="3">
        <f>ROUND(Table1[[#This Row],[Sales_Amount]],0)</f>
        <v>4496</v>
      </c>
      <c r="CW13" s="3"/>
      <c r="CX13" s="3"/>
      <c r="CY13" s="3" t="b">
        <f>IF(AND(Table1[[#This Row],[Sales_Amount]]&gt;=10000,Table1[[#This Row],[Profit]]&gt;0),"Good Order")</f>
        <v>0</v>
      </c>
      <c r="CZ13" s="3" t="str">
        <f>IF(Table1[[#This Row],[Sales_Amount]]&gt;=10000,"High","Normal")</f>
        <v>Normal</v>
      </c>
      <c r="DA13" s="3">
        <v>2245.5</v>
      </c>
      <c r="DB13" s="3">
        <f>ROUND(Table1[[#This Row],[Profit]],0)</f>
        <v>2246</v>
      </c>
      <c r="DC13" s="3">
        <f>ABS(Table1[[#This Row],[Profit]])</f>
        <v>2245.5</v>
      </c>
      <c r="DD13" s="3"/>
      <c r="DE13" s="3"/>
      <c r="DF13" s="3"/>
      <c r="DG13" s="3" t="str">
        <f>IF(Table1[[#This Row],[Profit]]&gt;0,"Profit","Loss")</f>
        <v>Profit</v>
      </c>
      <c r="DH13" s="3" t="str">
        <f>IF(AND(Table1[[#This Row],[Sales_Amount]]&gt;=10000,Table1[[#This Row],[Profit]]&gt;0),"Priority","Normal")</f>
        <v>Normal</v>
      </c>
      <c r="DI13" s="3">
        <f t="shared" ca="1" si="2"/>
        <v>0.10698175100496166</v>
      </c>
      <c r="DJ13" s="3">
        <f t="shared" ca="1" si="3"/>
        <v>35</v>
      </c>
      <c r="DK13" s="3"/>
      <c r="DL13" s="3"/>
      <c r="DM13" s="3"/>
      <c r="DN13" s="3"/>
      <c r="DO13" s="3"/>
      <c r="DP13" s="3"/>
    </row>
    <row r="14" spans="1:120">
      <c r="A14" t="s">
        <v>268</v>
      </c>
      <c r="B14" t="str">
        <f>REPLACE(Table1[[#This Row],[Order_ID]],1,3,"YOO")</f>
        <v>YOO10013</v>
      </c>
      <c r="C14" t="str">
        <f>MID(Table1[[#This Row],[Order_ID]],4,4)</f>
        <v>1001</v>
      </c>
      <c r="D14" t="str">
        <f>LEFT(Table1[[#This Row],[Order_ID]],4)</f>
        <v>ORD1</v>
      </c>
      <c r="E14" t="str">
        <f>RIGHT(Table1[[#This Row],[Order_ID]],5)</f>
        <v>10013</v>
      </c>
      <c r="F14" t="s">
        <v>5</v>
      </c>
      <c r="G14">
        <v>10013</v>
      </c>
      <c r="H14" t="s">
        <v>269</v>
      </c>
      <c r="I14" s="2">
        <f>EDATE(Table1[[#This Row],[Order_Date]],3)</f>
        <v>46119</v>
      </c>
      <c r="J14" s="2">
        <f>EDATE(Table1[[#This Row],[Order_Date]],6)</f>
        <v>46210</v>
      </c>
      <c r="K14">
        <f ca="1">YEAR(Table1[[#This Row],[Today]])</f>
        <v>2026</v>
      </c>
      <c r="L14">
        <v>13</v>
      </c>
      <c r="M14">
        <f ca="1">DAY(Table1[[#This Row],[Today]])</f>
        <v>11</v>
      </c>
      <c r="N14" s="19">
        <f t="shared" ca="1" si="6"/>
        <v>46245.589795138891</v>
      </c>
      <c r="O14" s="2">
        <f t="shared" ca="1" si="0"/>
        <v>46245</v>
      </c>
      <c r="P14" s="17">
        <f ca="1">Table1[[#This Row],[Today]]-Table1[[#This Row],[Order_Date]]</f>
        <v>216</v>
      </c>
      <c r="Q14" s="2">
        <v>45670</v>
      </c>
      <c r="R14" s="2">
        <v>46029</v>
      </c>
      <c r="S14" s="6">
        <f t="shared" si="4"/>
        <v>2026</v>
      </c>
      <c r="T14" s="7" t="str">
        <f t="shared" si="5"/>
        <v>January</v>
      </c>
      <c r="U14" s="2">
        <f>WORKDAY(Table1[[#This Row],[Order_Date]],5)</f>
        <v>46036</v>
      </c>
      <c r="V14" s="7" t="str">
        <f>CONCATENATE(Table1[[#This Row],[Customer_ID]],Table1[[#This Row],[Customer_Name]])</f>
        <v>C1022Kavya Shah</v>
      </c>
      <c r="W14" t="s">
        <v>270</v>
      </c>
      <c r="X14" t="s">
        <v>271</v>
      </c>
      <c r="Y14">
        <f>COUNTA(Table1[[#This Row],[Customer_Name]])</f>
        <v>1</v>
      </c>
      <c r="Z14" t="str">
        <f>SUBSTITUTE(Table1[[#This Row],[Customer_Name]]," ","_")</f>
        <v>Kavya_Shah</v>
      </c>
      <c r="AA14" s="10">
        <f>IFERROR(SEARCH("a",Table1[[#This Row],[Customer_Name]]),"N/A")</f>
        <v>2</v>
      </c>
      <c r="AB14">
        <f>SEARCH(" ",Table1[[#This Row],[Customer_Name]])</f>
        <v>6</v>
      </c>
      <c r="AC14" s="11">
        <f>IFERROR(FIND("a",Table1[[#This Row],[Customer_Name]]),"N/A")</f>
        <v>2</v>
      </c>
      <c r="AD14">
        <f>FIND(" ",Table1[[#This Row],[Customer_Name]])</f>
        <v>6</v>
      </c>
      <c r="AE14" t="str">
        <f>TRIM(Table1[[#This Row],[Customer_Name]])</f>
        <v>Kavya Shah</v>
      </c>
      <c r="AF14">
        <f>LEN(Table1[[#This Row],[Trimmed]])</f>
        <v>10</v>
      </c>
      <c r="AG14">
        <f>MAX(Table1[Length])</f>
        <v>15</v>
      </c>
      <c r="AH14" t="str">
        <f>PROPER(Table1[[#This Row],[Customer_Name]])</f>
        <v>Kavya Shah</v>
      </c>
      <c r="AI14" t="str">
        <f>LOWER(Table1[[#This Row],[Customer_Name]])</f>
        <v>kavya shah</v>
      </c>
      <c r="AJ14" t="str">
        <f>UPPER(Table1[[#This Row],[Customer_Name]])</f>
        <v>KAVYA SHAH</v>
      </c>
      <c r="AK14" t="str">
        <f>CONCATENATE(Table1[[#This Row],[Customer_ID]],Table1[[#This Row],[Customer_Name]])</f>
        <v>C1022Kavya Shah</v>
      </c>
      <c r="AL14" t="s">
        <v>272</v>
      </c>
      <c r="AM14" t="s">
        <v>273</v>
      </c>
      <c r="AN14" t="s">
        <v>274</v>
      </c>
      <c r="AO14" t="s">
        <v>272</v>
      </c>
      <c r="AP14" t="s">
        <v>273</v>
      </c>
      <c r="AQ14" t="s">
        <v>127</v>
      </c>
      <c r="AR14" t="str">
        <f>TRIM(Table1[[#This Row],[City]])</f>
        <v>Pune</v>
      </c>
      <c r="AS14" t="str">
        <f>PROPER(Table1[[#This Row],[City]])</f>
        <v>Pune</v>
      </c>
      <c r="AT14" t="s">
        <v>128</v>
      </c>
      <c r="AU14" t="str">
        <f>CONCATENATE(Table1[[#This Row],[City]],Table1[[#This Row],[State]])</f>
        <v>PuneMaharashtra</v>
      </c>
      <c r="AV14" t="s">
        <v>129</v>
      </c>
      <c r="AW14" t="s">
        <v>275</v>
      </c>
      <c r="AX14" t="str">
        <f>REPLACE(Table1[[#This Row],[Product_ID]],1,1,"s")</f>
        <v>s101</v>
      </c>
      <c r="AY14" t="s">
        <v>276</v>
      </c>
      <c r="AZ14">
        <f>SEARCH("-",Table1[[#This Row],[Product ID]])</f>
        <v>2</v>
      </c>
      <c r="BA14">
        <f>FIND("-",Table1[[#This Row],[Product ID]])</f>
        <v>2</v>
      </c>
      <c r="BB14" t="str">
        <f>MID(Table1[[#This Row],[Product_ID]],2,3)</f>
        <v>101</v>
      </c>
      <c r="BC14" t="str">
        <f>RIGHT(Table1[[#This Row],[Product_ID]],3)</f>
        <v>101</v>
      </c>
      <c r="BD14" t="str">
        <f>LEFT(Table1[[#This Row],[Product_ID]],3)</f>
        <v>P10</v>
      </c>
      <c r="BE14" t="str">
        <f>_xlfn.XLOOKUP(Table1[[#This Row],[Product_ID]],AW:AW,BF:BF,,0)</f>
        <v>Wireless Mouse</v>
      </c>
      <c r="BF14" t="s">
        <v>277</v>
      </c>
      <c r="BG14">
        <f>LEN(Table1[[#This Row],[Product_Name]])</f>
        <v>14</v>
      </c>
      <c r="BH14" t="s">
        <v>154</v>
      </c>
      <c r="BI14">
        <f t="shared" si="7"/>
        <v>75</v>
      </c>
      <c r="BJ14" t="str">
        <f>SUBSTITUTE(Table1[[#This Row],[Category]],"Electronics","ELECTRONICS")</f>
        <v>ELECTRONICS</v>
      </c>
      <c r="BN14" t="s">
        <v>155</v>
      </c>
      <c r="BS14" s="14">
        <v>3</v>
      </c>
      <c r="BT14" s="3">
        <v>799</v>
      </c>
      <c r="BU14" s="4">
        <v>10</v>
      </c>
      <c r="BV14" s="4" t="str">
        <f>IF(AND(Table1[[#This Row],[Quantity]]&gt;=3,Table1[[#This Row],[Discount_%]]&gt;=15%),"Bulk Discount","no")</f>
        <v>Bulk Discount</v>
      </c>
      <c r="BW14" s="4" t="str">
        <f>IF(AND(Table1[[#This Row],[Quantity]]&gt;3,Table1[[#This Row],[Discount_%]]&gt;15%),"Bulk Customer","Normal")</f>
        <v>Normal</v>
      </c>
      <c r="BX14" t="s">
        <v>172</v>
      </c>
      <c r="BY14" t="s">
        <v>136</v>
      </c>
      <c r="CC14" t="str">
        <f>IF(OR(Table1[[#This Row],[Order_Status]]="Returned",Table1[[#This Row],[Order_Status]]="Cancelled"),"Attention Required","Not")</f>
        <v>Not</v>
      </c>
      <c r="CD14" t="str">
        <f>IF(OR(Table1[[#This Row],[Order_Status]]="Returned",Table1[[#This Row],[Order_Status]]="Cancelled"),"Review","no")</f>
        <v>no</v>
      </c>
      <c r="CE14" t="str">
        <f>SUBSTITUTE(Table1[[#This Row],[Order_Status]],"Delivered","Completed")</f>
        <v>Completed</v>
      </c>
      <c r="CF14" s="2">
        <v>46033</v>
      </c>
      <c r="CG14" s="17">
        <f>NETWORKDAYS(Table1[[#This Row],[Order_Date]],Table1[[#This Row],[Delivery_Date]])</f>
        <v>3</v>
      </c>
      <c r="CH14" s="17">
        <f>Table1[[#This Row],[Delivery_Date]]-Table1[[#This Row],[Order_Date]]</f>
        <v>4</v>
      </c>
      <c r="CI14" t="s">
        <v>137</v>
      </c>
      <c r="CJ14" t="str">
        <f>IF(Table1[[#This Row],[Rating]]&gt;=4,"Good","Needs Improvement")</f>
        <v>Needs Improvement</v>
      </c>
      <c r="CK14" t="str">
        <f>IF(OR(Table1[[#This Row],[Rating]]&lt;=2,Table1[[#This Row],[Profit]]&lt;0),"Review","NO")</f>
        <v>Review</v>
      </c>
      <c r="CL14" t="e" cm="1">
        <f t="array" ref="CL14">_xlfn.IFS(Table1[[#This Row],[Rating]]&gt;2,"Poor",Table1[[#This Row],[Rating]]=3,"Average",Table1[[#This Row],[Rating]]=4,"Good",CP14=5,"Excellent")</f>
        <v>#N/A</v>
      </c>
      <c r="CM14">
        <f>COUNT(Table1[[#This Row],[Rating]])</f>
        <v>1</v>
      </c>
      <c r="CN14">
        <f>COUNTBLANK(Table1[[#This Row],[Rating]])</f>
        <v>0</v>
      </c>
      <c r="CP14" t="s">
        <v>266</v>
      </c>
      <c r="CQ14" s="14">
        <v>2</v>
      </c>
      <c r="CR14" t="s">
        <v>139</v>
      </c>
      <c r="CS14" t="s">
        <v>158</v>
      </c>
      <c r="CU14" s="3">
        <v>2157.3000000000002</v>
      </c>
      <c r="CV14" s="3">
        <f>ROUND(Table1[[#This Row],[Sales_Amount]],0)</f>
        <v>2157</v>
      </c>
      <c r="CW14" s="3"/>
      <c r="CX14" s="3"/>
      <c r="CY14" s="3" t="b">
        <f>IF(AND(Table1[[#This Row],[Sales_Amount]]&gt;=10000,Table1[[#This Row],[Profit]]&gt;0),"Good Order")</f>
        <v>0</v>
      </c>
      <c r="CZ14" s="3" t="str">
        <f>IF(Table1[[#This Row],[Sales_Amount]]&gt;=10000,"High","Normal")</f>
        <v>Normal</v>
      </c>
      <c r="DA14" s="3">
        <v>897.3</v>
      </c>
      <c r="DB14" s="3">
        <f>ROUND(Table1[[#This Row],[Profit]],0)</f>
        <v>897</v>
      </c>
      <c r="DC14" s="3">
        <f>ABS(Table1[[#This Row],[Profit]])</f>
        <v>897.3</v>
      </c>
      <c r="DD14" s="3"/>
      <c r="DE14" s="3"/>
      <c r="DF14" s="3"/>
      <c r="DG14" s="3" t="str">
        <f>IF(Table1[[#This Row],[Profit]]&gt;0,"Profit","Loss")</f>
        <v>Profit</v>
      </c>
      <c r="DH14" s="3" t="str">
        <f>IF(AND(Table1[[#This Row],[Sales_Amount]]&gt;=10000,Table1[[#This Row],[Profit]]&gt;0),"Priority","Normal")</f>
        <v>Normal</v>
      </c>
      <c r="DI14" s="3">
        <f t="shared" ca="1" si="2"/>
        <v>0.48125430664294433</v>
      </c>
      <c r="DJ14" s="3">
        <f t="shared" ca="1" si="3"/>
        <v>94</v>
      </c>
      <c r="DK14" s="3"/>
      <c r="DL14" s="3"/>
      <c r="DM14" s="3"/>
      <c r="DN14" s="3"/>
      <c r="DO14" s="3"/>
      <c r="DP14" s="3"/>
    </row>
    <row r="15" spans="1:120">
      <c r="A15" t="s">
        <v>278</v>
      </c>
      <c r="B15" t="str">
        <f>REPLACE(Table1[[#This Row],[Order_ID]],1,3,"YOO")</f>
        <v>YOO10014</v>
      </c>
      <c r="C15" t="str">
        <f>MID(Table1[[#This Row],[Order_ID]],4,4)</f>
        <v>1001</v>
      </c>
      <c r="D15" t="str">
        <f>LEFT(Table1[[#This Row],[Order_ID]],4)</f>
        <v>ORD1</v>
      </c>
      <c r="E15" t="str">
        <f>RIGHT(Table1[[#This Row],[Order_ID]],5)</f>
        <v>10014</v>
      </c>
      <c r="F15" t="s">
        <v>5</v>
      </c>
      <c r="G15">
        <v>10014</v>
      </c>
      <c r="H15" t="s">
        <v>279</v>
      </c>
      <c r="I15" s="2">
        <f>EDATE(Table1[[#This Row],[Order_Date]],3)</f>
        <v>46312</v>
      </c>
      <c r="J15" s="2">
        <f>EDATE(Table1[[#This Row],[Order_Date]],6)</f>
        <v>46404</v>
      </c>
      <c r="K15">
        <f ca="1">YEAR(Table1[[#This Row],[Today]])</f>
        <v>2026</v>
      </c>
      <c r="L15">
        <v>14</v>
      </c>
      <c r="M15">
        <f ca="1">DAY(Table1[[#This Row],[Today]])</f>
        <v>11</v>
      </c>
      <c r="N15" s="19">
        <f t="shared" ca="1" si="6"/>
        <v>46245.589795370368</v>
      </c>
      <c r="O15" s="2">
        <f t="shared" ca="1" si="0"/>
        <v>46245</v>
      </c>
      <c r="P15" s="17">
        <f ca="1">Table1[[#This Row],[Today]]-Table1[[#This Row],[Order_Date]]</f>
        <v>25</v>
      </c>
      <c r="Q15" s="2">
        <v>45671</v>
      </c>
      <c r="R15" s="2">
        <v>46220</v>
      </c>
      <c r="S15" s="6">
        <f t="shared" si="4"/>
        <v>2026</v>
      </c>
      <c r="T15" s="7" t="str">
        <f t="shared" si="5"/>
        <v>July</v>
      </c>
      <c r="U15" s="2">
        <f>WORKDAY(Table1[[#This Row],[Order_Date]],5)</f>
        <v>46227</v>
      </c>
      <c r="V15" s="7" t="str">
        <f>CONCATENATE(Table1[[#This Row],[Customer_ID]],Table1[[#This Row],[Customer_Name]])</f>
        <v>C1139Karan Patel</v>
      </c>
      <c r="W15" t="s">
        <v>256</v>
      </c>
      <c r="X15" t="s">
        <v>280</v>
      </c>
      <c r="Y15">
        <f>COUNTA(Table1[[#This Row],[Customer_Name]])</f>
        <v>1</v>
      </c>
      <c r="Z15" t="str">
        <f>SUBSTITUTE(Table1[[#This Row],[Customer_Name]]," ","_")</f>
        <v>Karan_Patel</v>
      </c>
      <c r="AA15" s="10">
        <f>IFERROR(SEARCH("a",Table1[[#This Row],[Customer_Name]]),"N/A")</f>
        <v>2</v>
      </c>
      <c r="AB15">
        <f>SEARCH(" ",Table1[[#This Row],[Customer_Name]])</f>
        <v>6</v>
      </c>
      <c r="AC15" s="11">
        <f>IFERROR(FIND("a",Table1[[#This Row],[Customer_Name]]),"N/A")</f>
        <v>2</v>
      </c>
      <c r="AD15">
        <f>FIND(" ",Table1[[#This Row],[Customer_Name]])</f>
        <v>6</v>
      </c>
      <c r="AE15" t="str">
        <f>TRIM(Table1[[#This Row],[Customer_Name]])</f>
        <v>Karan Patel</v>
      </c>
      <c r="AF15">
        <f>LEN(Table1[[#This Row],[Trimmed]])</f>
        <v>11</v>
      </c>
      <c r="AG15">
        <f>MAX(Table1[Length])</f>
        <v>15</v>
      </c>
      <c r="AH15" t="str">
        <f>PROPER(Table1[[#This Row],[Customer_Name]])</f>
        <v>Karan Patel</v>
      </c>
      <c r="AI15" t="str">
        <f>LOWER(Table1[[#This Row],[Customer_Name]])</f>
        <v>karan patel</v>
      </c>
      <c r="AJ15" t="str">
        <f>UPPER(Table1[[#This Row],[Customer_Name]])</f>
        <v>KARAN PATEL</v>
      </c>
      <c r="AK15" t="str">
        <f>CONCATENATE(Table1[[#This Row],[Customer_ID]],Table1[[#This Row],[Customer_Name]])</f>
        <v>C1139Karan Patel</v>
      </c>
      <c r="AL15" t="s">
        <v>281</v>
      </c>
      <c r="AM15" t="s">
        <v>282</v>
      </c>
      <c r="AN15" t="s">
        <v>283</v>
      </c>
      <c r="AO15" t="s">
        <v>281</v>
      </c>
      <c r="AP15" t="s">
        <v>282</v>
      </c>
      <c r="AQ15" t="s">
        <v>284</v>
      </c>
      <c r="AR15" t="str">
        <f>TRIM(Table1[[#This Row],[City]])</f>
        <v>Hyderabad</v>
      </c>
      <c r="AS15" t="str">
        <f>PROPER(Table1[[#This Row],[City]])</f>
        <v>Hyderabad</v>
      </c>
      <c r="AT15" t="s">
        <v>285</v>
      </c>
      <c r="AU15" t="str">
        <f>CONCATENATE(Table1[[#This Row],[City]],Table1[[#This Row],[State]])</f>
        <v>HyderabadTelangana</v>
      </c>
      <c r="AV15" t="s">
        <v>168</v>
      </c>
      <c r="AW15" t="s">
        <v>130</v>
      </c>
      <c r="AX15" t="str">
        <f>REPLACE(Table1[[#This Row],[Product_ID]],1,1,"s")</f>
        <v>s111</v>
      </c>
      <c r="AY15" t="s">
        <v>286</v>
      </c>
      <c r="AZ15">
        <f>SEARCH("-",Table1[[#This Row],[Product ID]])</f>
        <v>2</v>
      </c>
      <c r="BA15">
        <f>FIND("-",Table1[[#This Row],[Product ID]])</f>
        <v>2</v>
      </c>
      <c r="BB15" t="str">
        <f>MID(Table1[[#This Row],[Product_ID]],2,3)</f>
        <v>111</v>
      </c>
      <c r="BC15" t="str">
        <f>RIGHT(Table1[[#This Row],[Product_ID]],3)</f>
        <v>111</v>
      </c>
      <c r="BD15" t="str">
        <f>LEFT(Table1[[#This Row],[Product_ID]],3)</f>
        <v>P11</v>
      </c>
      <c r="BE15" t="str">
        <f>_xlfn.XLOOKUP(Table1[[#This Row],[Product_ID]],AW:AW,BF:BF,,0)</f>
        <v>Coffee Maker</v>
      </c>
      <c r="BF15" t="s">
        <v>132</v>
      </c>
      <c r="BG15">
        <f>LEN(Table1[[#This Row],[Product_Name]])</f>
        <v>12</v>
      </c>
      <c r="BH15" t="s">
        <v>133</v>
      </c>
      <c r="BI15">
        <f t="shared" si="7"/>
        <v>75</v>
      </c>
      <c r="BJ15" t="str">
        <f>SUBSTITUTE(Table1[[#This Row],[Category]],"Electronics","ELECTRONICS")</f>
        <v>Home</v>
      </c>
      <c r="BN15" t="s">
        <v>134</v>
      </c>
      <c r="BS15" s="14">
        <v>2</v>
      </c>
      <c r="BT15" s="3">
        <v>3999</v>
      </c>
      <c r="BU15" s="4">
        <v>10</v>
      </c>
      <c r="BV15" s="4" t="str">
        <f>IF(AND(Table1[[#This Row],[Quantity]]&gt;=3,Table1[[#This Row],[Discount_%]]&gt;=15%),"Bulk Discount","no")</f>
        <v>no</v>
      </c>
      <c r="BW15" s="4" t="str">
        <f>IF(AND(Table1[[#This Row],[Quantity]]&gt;3,Table1[[#This Row],[Discount_%]]&gt;15%),"Bulk Customer","Normal")</f>
        <v>Normal</v>
      </c>
      <c r="BX15" t="s">
        <v>192</v>
      </c>
      <c r="BY15" t="s">
        <v>156</v>
      </c>
      <c r="CC15" t="str">
        <f>IF(OR(Table1[[#This Row],[Order_Status]]="Returned",Table1[[#This Row],[Order_Status]]="Cancelled"),"Attention Required","Not")</f>
        <v>Attention Required</v>
      </c>
      <c r="CD15" t="str">
        <f>IF(OR(Table1[[#This Row],[Order_Status]]="Returned",Table1[[#This Row],[Order_Status]]="Cancelled"),"Review","no")</f>
        <v>Review</v>
      </c>
      <c r="CE15" t="str">
        <f>SUBSTITUTE(Table1[[#This Row],[Order_Status]],"Delivered","Completed")</f>
        <v>Cancelled</v>
      </c>
      <c r="CF15" s="2">
        <v>46227</v>
      </c>
      <c r="CG15" s="17">
        <f>NETWORKDAYS(Table1[[#This Row],[Order_Date]],Table1[[#This Row],[Delivery_Date]])</f>
        <v>6</v>
      </c>
      <c r="CH15" s="17">
        <f>Table1[[#This Row],[Delivery_Date]]-Table1[[#This Row],[Order_Date]]</f>
        <v>7</v>
      </c>
      <c r="CI15" t="s">
        <v>137</v>
      </c>
      <c r="CJ15" t="str">
        <f>IF(Table1[[#This Row],[Rating]]&gt;=4,"Good","Needs Improvement")</f>
        <v>Good</v>
      </c>
      <c r="CK15" t="str">
        <f>IF(OR(Table1[[#This Row],[Rating]]&lt;=2,Table1[[#This Row],[Profit]]&lt;0),"Review","NO")</f>
        <v>NO</v>
      </c>
      <c r="CL15" t="str" cm="1">
        <f t="array" ref="CL15">_xlfn.IFS(Table1[[#This Row],[Rating]]&gt;2,"Poor",Table1[[#This Row],[Rating]]=3,"Average",Table1[[#This Row],[Rating]]=4,"Good",CP15=5,"Excellent")</f>
        <v>Poor</v>
      </c>
      <c r="CM15">
        <f>COUNT(Table1[[#This Row],[Rating]])</f>
        <v>1</v>
      </c>
      <c r="CN15">
        <f>COUNTBLANK(Table1[[#This Row],[Rating]])</f>
        <v>0</v>
      </c>
      <c r="CP15" t="s">
        <v>138</v>
      </c>
      <c r="CQ15" s="14">
        <v>4</v>
      </c>
      <c r="CR15" t="s">
        <v>204</v>
      </c>
      <c r="CS15" t="s">
        <v>213</v>
      </c>
      <c r="CU15" s="3">
        <v>7198.2</v>
      </c>
      <c r="CV15" s="3">
        <f>ROUND(Table1[[#This Row],[Sales_Amount]],0)</f>
        <v>7198</v>
      </c>
      <c r="CW15" s="3"/>
      <c r="CX15" s="3"/>
      <c r="CY15" s="3" t="b">
        <f>IF(AND(Table1[[#This Row],[Sales_Amount]]&gt;=10000,Table1[[#This Row],[Profit]]&gt;0),"Good Order")</f>
        <v>0</v>
      </c>
      <c r="CZ15" s="3" t="str">
        <f>IF(Table1[[#This Row],[Sales_Amount]]&gt;=10000,"High","Normal")</f>
        <v>Normal</v>
      </c>
      <c r="DA15" s="3">
        <v>2198.1999999999998</v>
      </c>
      <c r="DB15" s="3">
        <f>ROUND(Table1[[#This Row],[Profit]],0)</f>
        <v>2198</v>
      </c>
      <c r="DC15" s="3">
        <f>ABS(Table1[[#This Row],[Profit]])</f>
        <v>2198.1999999999998</v>
      </c>
      <c r="DD15" s="3"/>
      <c r="DE15" s="3"/>
      <c r="DF15" s="3"/>
      <c r="DG15" s="3" t="str">
        <f>IF(Table1[[#This Row],[Profit]]&gt;0,"Profit","Loss")</f>
        <v>Profit</v>
      </c>
      <c r="DH15" s="3" t="str">
        <f>IF(AND(Table1[[#This Row],[Sales_Amount]]&gt;=10000,Table1[[#This Row],[Profit]]&gt;0),"Priority","Normal")</f>
        <v>Normal</v>
      </c>
      <c r="DI15" s="3">
        <f t="shared" ca="1" si="2"/>
        <v>0.10790567851863686</v>
      </c>
      <c r="DJ15" s="3">
        <f t="shared" ca="1" si="3"/>
        <v>22</v>
      </c>
      <c r="DK15" s="3"/>
      <c r="DL15" s="3"/>
      <c r="DM15" s="3"/>
      <c r="DN15" s="3"/>
      <c r="DO15" s="3"/>
      <c r="DP15" s="3"/>
    </row>
    <row r="16" spans="1:120">
      <c r="A16" t="s">
        <v>287</v>
      </c>
      <c r="B16" t="str">
        <f>REPLACE(Table1[[#This Row],[Order_ID]],1,3,"YOO")</f>
        <v>YOO10015</v>
      </c>
      <c r="C16" t="str">
        <f>MID(Table1[[#This Row],[Order_ID]],4,4)</f>
        <v>1001</v>
      </c>
      <c r="D16" t="str">
        <f>LEFT(Table1[[#This Row],[Order_ID]],4)</f>
        <v>ORD1</v>
      </c>
      <c r="E16" t="str">
        <f>RIGHT(Table1[[#This Row],[Order_ID]],5)</f>
        <v>10015</v>
      </c>
      <c r="F16" t="s">
        <v>5</v>
      </c>
      <c r="G16">
        <v>10015</v>
      </c>
      <c r="H16" t="s">
        <v>288</v>
      </c>
      <c r="I16" s="2">
        <f>EDATE(Table1[[#This Row],[Order_Date]],3)</f>
        <v>46279</v>
      </c>
      <c r="J16" s="2">
        <f>EDATE(Table1[[#This Row],[Order_Date]],6)</f>
        <v>46370</v>
      </c>
      <c r="K16">
        <f ca="1">YEAR(Table1[[#This Row],[Today]])</f>
        <v>2026</v>
      </c>
      <c r="L16">
        <v>15</v>
      </c>
      <c r="M16">
        <f ca="1">DAY(Table1[[#This Row],[Today]])</f>
        <v>11</v>
      </c>
      <c r="N16" s="19">
        <f t="shared" ca="1" si="6"/>
        <v>46245.589795370368</v>
      </c>
      <c r="O16" s="2">
        <f t="shared" ca="1" si="0"/>
        <v>46245</v>
      </c>
      <c r="P16" s="17">
        <f ca="1">Table1[[#This Row],[Today]]-Table1[[#This Row],[Order_Date]]</f>
        <v>58</v>
      </c>
      <c r="Q16" s="2">
        <v>45672</v>
      </c>
      <c r="R16" s="2">
        <v>46187</v>
      </c>
      <c r="S16" s="6">
        <f t="shared" si="4"/>
        <v>2026</v>
      </c>
      <c r="T16" s="7" t="str">
        <f t="shared" si="5"/>
        <v>June</v>
      </c>
      <c r="U16" s="2">
        <f>WORKDAY(Table1[[#This Row],[Order_Date]],5)</f>
        <v>46192</v>
      </c>
      <c r="V16" s="7" t="str">
        <f>CONCATENATE(Table1[[#This Row],[Customer_ID]],Table1[[#This Row],[Customer_Name]])</f>
        <v>C1087Rahul Sharma</v>
      </c>
      <c r="W16" t="s">
        <v>289</v>
      </c>
      <c r="X16" t="s">
        <v>290</v>
      </c>
      <c r="Y16">
        <f>COUNTA(Table1[[#This Row],[Customer_Name]])</f>
        <v>1</v>
      </c>
      <c r="Z16" t="str">
        <f>SUBSTITUTE(Table1[[#This Row],[Customer_Name]]," ","_")</f>
        <v>Rahul_Sharma</v>
      </c>
      <c r="AA16" s="10">
        <f>IFERROR(SEARCH("a",Table1[[#This Row],[Customer_Name]]),"N/A")</f>
        <v>2</v>
      </c>
      <c r="AB16">
        <f>SEARCH(" ",Table1[[#This Row],[Customer_Name]])</f>
        <v>6</v>
      </c>
      <c r="AC16" s="11">
        <f>IFERROR(FIND("a",Table1[[#This Row],[Customer_Name]]),"N/A")</f>
        <v>2</v>
      </c>
      <c r="AD16">
        <f>FIND(" ",Table1[[#This Row],[Customer_Name]])</f>
        <v>6</v>
      </c>
      <c r="AE16" t="str">
        <f>TRIM(Table1[[#This Row],[Customer_Name]])</f>
        <v>Rahul Sharma</v>
      </c>
      <c r="AF16">
        <f>LEN(Table1[[#This Row],[Trimmed]])</f>
        <v>12</v>
      </c>
      <c r="AG16">
        <f>MAX(Table1[Length])</f>
        <v>15</v>
      </c>
      <c r="AH16" t="str">
        <f>PROPER(Table1[[#This Row],[Customer_Name]])</f>
        <v>Rahul Sharma</v>
      </c>
      <c r="AI16" t="str">
        <f>LOWER(Table1[[#This Row],[Customer_Name]])</f>
        <v>rahul sharma</v>
      </c>
      <c r="AJ16" t="str">
        <f>UPPER(Table1[[#This Row],[Customer_Name]])</f>
        <v>RAHUL SHARMA</v>
      </c>
      <c r="AK16" t="str">
        <f>CONCATENATE(Table1[[#This Row],[Customer_ID]],Table1[[#This Row],[Customer_Name]])</f>
        <v>C1087Rahul Sharma</v>
      </c>
      <c r="AL16" t="s">
        <v>291</v>
      </c>
      <c r="AM16" t="s">
        <v>292</v>
      </c>
      <c r="AN16" t="s">
        <v>245</v>
      </c>
      <c r="AO16" t="s">
        <v>291</v>
      </c>
      <c r="AP16" t="s">
        <v>292</v>
      </c>
      <c r="AQ16" t="s">
        <v>284</v>
      </c>
      <c r="AR16" t="str">
        <f>TRIM(Table1[[#This Row],[City]])</f>
        <v>Hyderabad</v>
      </c>
      <c r="AS16" t="str">
        <f>PROPER(Table1[[#This Row],[City]])</f>
        <v>Hyderabad</v>
      </c>
      <c r="AT16" t="s">
        <v>285</v>
      </c>
      <c r="AU16" t="str">
        <f>CONCATENATE(Table1[[#This Row],[City]],Table1[[#This Row],[State]])</f>
        <v>HyderabadTelangana</v>
      </c>
      <c r="AV16" t="s">
        <v>168</v>
      </c>
      <c r="AW16" t="s">
        <v>221</v>
      </c>
      <c r="AX16" t="str">
        <f>REPLACE(Table1[[#This Row],[Product_ID]],1,1,"s")</f>
        <v>s106</v>
      </c>
      <c r="AY16" t="s">
        <v>293</v>
      </c>
      <c r="AZ16">
        <f>SEARCH("-",Table1[[#This Row],[Product ID]])</f>
        <v>2</v>
      </c>
      <c r="BA16">
        <f>FIND("-",Table1[[#This Row],[Product ID]])</f>
        <v>2</v>
      </c>
      <c r="BB16" t="str">
        <f>MID(Table1[[#This Row],[Product_ID]],2,3)</f>
        <v>106</v>
      </c>
      <c r="BC16" t="str">
        <f>RIGHT(Table1[[#This Row],[Product_ID]],3)</f>
        <v>106</v>
      </c>
      <c r="BD16" t="str">
        <f>LEFT(Table1[[#This Row],[Product_ID]],3)</f>
        <v>P10</v>
      </c>
      <c r="BE16" t="str">
        <f>_xlfn.XLOOKUP(Table1[[#This Row],[Product_ID]],AW:AW,BF:BF,,0)</f>
        <v>Running Shoes</v>
      </c>
      <c r="BF16" t="s">
        <v>223</v>
      </c>
      <c r="BG16">
        <f>LEN(Table1[[#This Row],[Product_Name]])</f>
        <v>13</v>
      </c>
      <c r="BH16" t="s">
        <v>224</v>
      </c>
      <c r="BI16">
        <f t="shared" si="7"/>
        <v>75</v>
      </c>
      <c r="BJ16" t="str">
        <f>SUBSTITUTE(Table1[[#This Row],[Category]],"Electronics","ELECTRONICS")</f>
        <v>Fashion</v>
      </c>
      <c r="BN16" t="s">
        <v>225</v>
      </c>
      <c r="BS16" s="14">
        <v>4</v>
      </c>
      <c r="BT16" s="3">
        <v>3499</v>
      </c>
      <c r="BU16" s="4">
        <v>0</v>
      </c>
      <c r="BV16" s="4" t="str">
        <f>IF(AND(Table1[[#This Row],[Quantity]]&gt;=3,Table1[[#This Row],[Discount_%]]&gt;=15%),"Bulk Discount","no")</f>
        <v>no</v>
      </c>
      <c r="BW16" s="4" t="str">
        <f>IF(AND(Table1[[#This Row],[Quantity]]&gt;3,Table1[[#This Row],[Discount_%]]&gt;15%),"Bulk Customer","Normal")</f>
        <v>Normal</v>
      </c>
      <c r="BX16" t="s">
        <v>135</v>
      </c>
      <c r="BY16" t="s">
        <v>136</v>
      </c>
      <c r="CC16" t="str">
        <f>IF(OR(Table1[[#This Row],[Order_Status]]="Returned",Table1[[#This Row],[Order_Status]]="Cancelled"),"Attention Required","Not")</f>
        <v>Not</v>
      </c>
      <c r="CD16" t="str">
        <f>IF(OR(Table1[[#This Row],[Order_Status]]="Returned",Table1[[#This Row],[Order_Status]]="Cancelled"),"Review","no")</f>
        <v>no</v>
      </c>
      <c r="CE16" t="str">
        <f>SUBSTITUTE(Table1[[#This Row],[Order_Status]],"Delivered","Completed")</f>
        <v>Completed</v>
      </c>
      <c r="CF16" s="2">
        <v>46191</v>
      </c>
      <c r="CG16" s="17">
        <f>NETWORKDAYS(Table1[[#This Row],[Order_Date]],Table1[[#This Row],[Delivery_Date]])</f>
        <v>4</v>
      </c>
      <c r="CH16" s="17">
        <f>Table1[[#This Row],[Delivery_Date]]-Table1[[#This Row],[Order_Date]]</f>
        <v>4</v>
      </c>
      <c r="CI16" t="s">
        <v>137</v>
      </c>
      <c r="CJ16" t="str">
        <f>IF(Table1[[#This Row],[Rating]]&gt;=4,"Good","Needs Improvement")</f>
        <v>Needs Improvement</v>
      </c>
      <c r="CK16" t="str">
        <f>IF(OR(Table1[[#This Row],[Rating]]&lt;=2,Table1[[#This Row],[Profit]]&lt;0),"Review","NO")</f>
        <v>Review</v>
      </c>
      <c r="CL16" t="e" cm="1">
        <f t="array" ref="CL16">_xlfn.IFS(Table1[[#This Row],[Rating]]&gt;2,"Poor",Table1[[#This Row],[Rating]]=3,"Average",Table1[[#This Row],[Rating]]=4,"Good",CP16=5,"Excellent")</f>
        <v>#N/A</v>
      </c>
      <c r="CM16">
        <f>COUNT(Table1[[#This Row],[Rating]])</f>
        <v>1</v>
      </c>
      <c r="CN16">
        <f>COUNTBLANK(Table1[[#This Row],[Rating]])</f>
        <v>0</v>
      </c>
      <c r="CP16" t="s">
        <v>266</v>
      </c>
      <c r="CQ16" s="14">
        <v>2</v>
      </c>
      <c r="CR16" t="s">
        <v>139</v>
      </c>
      <c r="CS16" t="s">
        <v>174</v>
      </c>
      <c r="CU16" s="3">
        <v>13996</v>
      </c>
      <c r="CV16" s="3">
        <f>ROUND(Table1[[#This Row],[Sales_Amount]],0)</f>
        <v>13996</v>
      </c>
      <c r="CW16" s="3"/>
      <c r="CX16" s="3"/>
      <c r="CY16" s="3" t="str">
        <f>IF(AND(Table1[[#This Row],[Sales_Amount]]&gt;=10000,Table1[[#This Row],[Profit]]&gt;0),"Good Order")</f>
        <v>Good Order</v>
      </c>
      <c r="CZ16" s="3" t="str">
        <f>IF(Table1[[#This Row],[Sales_Amount]]&gt;=10000,"High","Normal")</f>
        <v>High</v>
      </c>
      <c r="DA16" s="3">
        <v>6396</v>
      </c>
      <c r="DB16" s="3">
        <f>ROUND(Table1[[#This Row],[Profit]],0)</f>
        <v>6396</v>
      </c>
      <c r="DC16" s="3">
        <f>ABS(Table1[[#This Row],[Profit]])</f>
        <v>6396</v>
      </c>
      <c r="DD16" s="3"/>
      <c r="DE16" s="3"/>
      <c r="DF16" s="3"/>
      <c r="DG16" s="3" t="str">
        <f>IF(Table1[[#This Row],[Profit]]&gt;0,"Profit","Loss")</f>
        <v>Profit</v>
      </c>
      <c r="DH16" s="3" t="str">
        <f>IF(AND(Table1[[#This Row],[Sales_Amount]]&gt;=10000,Table1[[#This Row],[Profit]]&gt;0),"Priority","Normal")</f>
        <v>Priority</v>
      </c>
      <c r="DI16" s="3">
        <f t="shared" ca="1" si="2"/>
        <v>0.10502316051887339</v>
      </c>
      <c r="DJ16" s="3">
        <f t="shared" ca="1" si="3"/>
        <v>1</v>
      </c>
      <c r="DK16" s="3"/>
      <c r="DL16" s="3"/>
      <c r="DM16" s="3"/>
      <c r="DN16" s="3"/>
      <c r="DO16" s="3"/>
      <c r="DP16" s="3"/>
    </row>
    <row r="17" spans="1:120">
      <c r="A17" t="s">
        <v>294</v>
      </c>
      <c r="B17" t="str">
        <f>REPLACE(Table1[[#This Row],[Order_ID]],1,3,"YOO")</f>
        <v>YOO10016</v>
      </c>
      <c r="C17" t="str">
        <f>MID(Table1[[#This Row],[Order_ID]],4,4)</f>
        <v>1001</v>
      </c>
      <c r="D17" t="str">
        <f>LEFT(Table1[[#This Row],[Order_ID]],4)</f>
        <v>ORD1</v>
      </c>
      <c r="E17" t="str">
        <f>RIGHT(Table1[[#This Row],[Order_ID]],5)</f>
        <v>10016</v>
      </c>
      <c r="F17" t="s">
        <v>5</v>
      </c>
      <c r="G17">
        <v>10016</v>
      </c>
      <c r="H17" t="s">
        <v>295</v>
      </c>
      <c r="I17" s="2">
        <f>EDATE(Table1[[#This Row],[Order_Date]],3)</f>
        <v>45822</v>
      </c>
      <c r="J17" s="2">
        <f>EDATE(Table1[[#This Row],[Order_Date]],6)</f>
        <v>45914</v>
      </c>
      <c r="K17">
        <f ca="1">YEAR(Table1[[#This Row],[Today]])</f>
        <v>2026</v>
      </c>
      <c r="L17">
        <v>16</v>
      </c>
      <c r="M17">
        <f ca="1">DAY(Table1[[#This Row],[Today]])</f>
        <v>11</v>
      </c>
      <c r="N17" s="19">
        <f t="shared" ca="1" si="6"/>
        <v>46245.589795138891</v>
      </c>
      <c r="O17" s="2">
        <f t="shared" ca="1" si="0"/>
        <v>46245</v>
      </c>
      <c r="P17" s="17">
        <f ca="1">Table1[[#This Row],[Today]]-Table1[[#This Row],[Order_Date]]</f>
        <v>515</v>
      </c>
      <c r="Q17" s="2">
        <v>45673</v>
      </c>
      <c r="R17" s="2">
        <v>45730</v>
      </c>
      <c r="S17" s="6">
        <f t="shared" si="4"/>
        <v>2025</v>
      </c>
      <c r="T17" s="7" t="str">
        <f t="shared" si="5"/>
        <v>March</v>
      </c>
      <c r="U17" s="2">
        <f>WORKDAY(Table1[[#This Row],[Order_Date]],5)</f>
        <v>45737</v>
      </c>
      <c r="V17" s="7" t="str">
        <f>CONCATENATE(Table1[[#This Row],[Customer_ID]],Table1[[#This Row],[Customer_Name]])</f>
        <v xml:space="preserve">C1019  aditya malhotra  </v>
      </c>
      <c r="W17" t="s">
        <v>296</v>
      </c>
      <c r="X17" t="s">
        <v>297</v>
      </c>
      <c r="Y17">
        <f>COUNTA(Table1[[#This Row],[Customer_Name]])</f>
        <v>1</v>
      </c>
      <c r="Z17" t="str">
        <f>SUBSTITUTE(Table1[[#This Row],[Customer_Name]]," ","_")</f>
        <v>__aditya_malhotra__</v>
      </c>
      <c r="AA17" s="10">
        <f>IFERROR(SEARCH("a",Table1[[#This Row],[Customer_Name]]),"N/A")</f>
        <v>3</v>
      </c>
      <c r="AB17">
        <f>SEARCH(" ",Table1[[#This Row],[Customer_Name]])</f>
        <v>1</v>
      </c>
      <c r="AC17" s="11">
        <f>IFERROR(FIND("a",Table1[[#This Row],[Customer_Name]]),"N/A")</f>
        <v>3</v>
      </c>
      <c r="AD17">
        <f>FIND(" ",Table1[[#This Row],[Customer_Name]])</f>
        <v>1</v>
      </c>
      <c r="AE17" t="str">
        <f>TRIM(Table1[[#This Row],[Customer_Name]])</f>
        <v>aditya malhotra</v>
      </c>
      <c r="AF17">
        <f>LEN(Table1[[#This Row],[Trimmed]])</f>
        <v>15</v>
      </c>
      <c r="AG17">
        <f>MAX(Table1[Length])</f>
        <v>15</v>
      </c>
      <c r="AH17" t="str">
        <f>PROPER(Table1[[#This Row],[Customer_Name]])</f>
        <v xml:space="preserve">  Aditya Malhotra  </v>
      </c>
      <c r="AI17" t="str">
        <f>LOWER(Table1[[#This Row],[Customer_Name]])</f>
        <v xml:space="preserve">  aditya malhotra  </v>
      </c>
      <c r="AJ17" t="str">
        <f>UPPER(Table1[[#This Row],[Customer_Name]])</f>
        <v xml:space="preserve">  ADITYA MALHOTRA  </v>
      </c>
      <c r="AK17" t="str">
        <f>CONCATENATE(Table1[[#This Row],[Customer_ID]],Table1[[#This Row],[Customer_Name]])</f>
        <v xml:space="preserve">C1019  aditya malhotra  </v>
      </c>
      <c r="AL17" t="s">
        <v>298</v>
      </c>
      <c r="AM17" t="s">
        <v>299</v>
      </c>
      <c r="AN17" t="s">
        <v>260</v>
      </c>
      <c r="AO17" t="s">
        <v>298</v>
      </c>
      <c r="AP17" t="s">
        <v>299</v>
      </c>
      <c r="AQ17" t="s">
        <v>182</v>
      </c>
      <c r="AR17" t="str">
        <f>TRIM(Table1[[#This Row],[City]])</f>
        <v>Mumbai</v>
      </c>
      <c r="AS17" t="str">
        <f>PROPER(Table1[[#This Row],[City]])</f>
        <v>Mumbai</v>
      </c>
      <c r="AT17" t="s">
        <v>128</v>
      </c>
      <c r="AU17" t="str">
        <f>CONCATENATE(Table1[[#This Row],[City]],Table1[[#This Row],[State]])</f>
        <v>MumbaiMaharashtra</v>
      </c>
      <c r="AV17" t="s">
        <v>129</v>
      </c>
      <c r="AW17" t="s">
        <v>201</v>
      </c>
      <c r="AX17" t="str">
        <f>REPLACE(Table1[[#This Row],[Product_ID]],1,1,"s")</f>
        <v>s104</v>
      </c>
      <c r="AY17" t="s">
        <v>300</v>
      </c>
      <c r="AZ17">
        <f>SEARCH("-",Table1[[#This Row],[Product ID]])</f>
        <v>2</v>
      </c>
      <c r="BA17">
        <f>FIND("-",Table1[[#This Row],[Product ID]])</f>
        <v>2</v>
      </c>
      <c r="BB17" t="str">
        <f>MID(Table1[[#This Row],[Product_ID]],2,3)</f>
        <v>104</v>
      </c>
      <c r="BC17" t="str">
        <f>RIGHT(Table1[[#This Row],[Product_ID]],3)</f>
        <v>104</v>
      </c>
      <c r="BD17" t="str">
        <f>LEFT(Table1[[#This Row],[Product_ID]],3)</f>
        <v>P10</v>
      </c>
      <c r="BE17" t="str">
        <f>_xlfn.XLOOKUP(Table1[[#This Row],[Product_ID]],AW:AW,BF:BF,,0)</f>
        <v>USB-C Hub</v>
      </c>
      <c r="BF17" t="s">
        <v>203</v>
      </c>
      <c r="BG17">
        <f>LEN(Table1[[#This Row],[Product_Name]])</f>
        <v>9</v>
      </c>
      <c r="BH17" t="s">
        <v>154</v>
      </c>
      <c r="BI17">
        <f t="shared" si="7"/>
        <v>75</v>
      </c>
      <c r="BJ17" t="str">
        <f>SUBSTITUTE(Table1[[#This Row],[Category]],"Electronics","ELECTRONICS")</f>
        <v>ELECTRONICS</v>
      </c>
      <c r="BN17" t="s">
        <v>155</v>
      </c>
      <c r="BS17" s="14">
        <v>1</v>
      </c>
      <c r="BT17" s="3">
        <v>1899</v>
      </c>
      <c r="BU17" s="4">
        <v>10</v>
      </c>
      <c r="BV17" s="4" t="str">
        <f>IF(AND(Table1[[#This Row],[Quantity]]&gt;=3,Table1[[#This Row],[Discount_%]]&gt;=15%),"Bulk Discount","no")</f>
        <v>no</v>
      </c>
      <c r="BW17" s="4" t="str">
        <f>IF(AND(Table1[[#This Row],[Quantity]]&gt;3,Table1[[#This Row],[Discount_%]]&gt;15%),"Bulk Customer","Normal")</f>
        <v>Normal</v>
      </c>
      <c r="BX17" t="s">
        <v>187</v>
      </c>
      <c r="BY17" t="s">
        <v>136</v>
      </c>
      <c r="CC17" t="str">
        <f>IF(OR(Table1[[#This Row],[Order_Status]]="Returned",Table1[[#This Row],[Order_Status]]="Cancelled"),"Attention Required","Not")</f>
        <v>Not</v>
      </c>
      <c r="CD17" t="str">
        <f>IF(OR(Table1[[#This Row],[Order_Status]]="Returned",Table1[[#This Row],[Order_Status]]="Cancelled"),"Review","no")</f>
        <v>no</v>
      </c>
      <c r="CE17" t="str">
        <f>SUBSTITUTE(Table1[[#This Row],[Order_Status]],"Delivered","Completed")</f>
        <v>Completed</v>
      </c>
      <c r="CF17" s="2">
        <v>45731</v>
      </c>
      <c r="CG17" s="17">
        <f>NETWORKDAYS(Table1[[#This Row],[Order_Date]],Table1[[#This Row],[Delivery_Date]])</f>
        <v>1</v>
      </c>
      <c r="CH17" s="17">
        <f>Table1[[#This Row],[Delivery_Date]]-Table1[[#This Row],[Order_Date]]</f>
        <v>1</v>
      </c>
      <c r="CI17" t="s">
        <v>137</v>
      </c>
      <c r="CJ17" t="str">
        <f>IF(Table1[[#This Row],[Rating]]&gt;=4,"Good","Needs Improvement")</f>
        <v>Good</v>
      </c>
      <c r="CK17" t="str">
        <f>IF(OR(Table1[[#This Row],[Rating]]&lt;=2,Table1[[#This Row],[Profit]]&lt;0),"Review","NO")</f>
        <v>NO</v>
      </c>
      <c r="CL17" t="str" cm="1">
        <f t="array" ref="CL17">_xlfn.IFS(Table1[[#This Row],[Rating]]&gt;2,"Poor",Table1[[#This Row],[Rating]]=3,"Average",Table1[[#This Row],[Rating]]=4,"Good",CP17=5,"Excellent")</f>
        <v>Poor</v>
      </c>
      <c r="CM17">
        <f>COUNT(Table1[[#This Row],[Rating]])</f>
        <v>1</v>
      </c>
      <c r="CN17">
        <f>COUNTBLANK(Table1[[#This Row],[Rating]])</f>
        <v>0</v>
      </c>
      <c r="CP17" t="s">
        <v>157</v>
      </c>
      <c r="CQ17" s="14">
        <v>5</v>
      </c>
      <c r="CR17" t="s">
        <v>204</v>
      </c>
      <c r="CS17" t="s">
        <v>267</v>
      </c>
      <c r="CU17" s="3">
        <v>1709.1</v>
      </c>
      <c r="CV17" s="3">
        <f>ROUND(Table1[[#This Row],[Sales_Amount]],0)</f>
        <v>1709</v>
      </c>
      <c r="CW17" s="3"/>
      <c r="CX17" s="3"/>
      <c r="CY17" s="3" t="b">
        <f>IF(AND(Table1[[#This Row],[Sales_Amount]]&gt;=10000,Table1[[#This Row],[Profit]]&gt;0),"Good Order")</f>
        <v>0</v>
      </c>
      <c r="CZ17" s="3" t="str">
        <f>IF(Table1[[#This Row],[Sales_Amount]]&gt;=10000,"High","Normal")</f>
        <v>Normal</v>
      </c>
      <c r="DA17" s="3">
        <v>609.1</v>
      </c>
      <c r="DB17" s="3">
        <f>ROUND(Table1[[#This Row],[Profit]],0)</f>
        <v>609</v>
      </c>
      <c r="DC17" s="3">
        <f>ABS(Table1[[#This Row],[Profit]])</f>
        <v>609.1</v>
      </c>
      <c r="DD17" s="3"/>
      <c r="DE17" s="3"/>
      <c r="DF17" s="3"/>
      <c r="DG17" s="3" t="str">
        <f>IF(Table1[[#This Row],[Profit]]&gt;0,"Profit","Loss")</f>
        <v>Profit</v>
      </c>
      <c r="DH17" s="3" t="str">
        <f>IF(AND(Table1[[#This Row],[Sales_Amount]]&gt;=10000,Table1[[#This Row],[Profit]]&gt;0),"Priority","Normal")</f>
        <v>Normal</v>
      </c>
      <c r="DI17" s="3">
        <f t="shared" ca="1" si="2"/>
        <v>0.1688989904950392</v>
      </c>
      <c r="DJ17" s="3">
        <f t="shared" ca="1" si="3"/>
        <v>34</v>
      </c>
      <c r="DK17" s="3"/>
      <c r="DL17" s="3"/>
      <c r="DM17" s="3"/>
      <c r="DN17" s="3"/>
      <c r="DO17" s="3"/>
      <c r="DP17" s="3"/>
    </row>
    <row r="18" spans="1:120">
      <c r="A18" t="s">
        <v>301</v>
      </c>
      <c r="B18" t="str">
        <f>REPLACE(Table1[[#This Row],[Order_ID]],1,3,"YOO")</f>
        <v>YOO10017</v>
      </c>
      <c r="C18" t="str">
        <f>MID(Table1[[#This Row],[Order_ID]],4,4)</f>
        <v>1001</v>
      </c>
      <c r="D18" t="str">
        <f>LEFT(Table1[[#This Row],[Order_ID]],4)</f>
        <v>ORD1</v>
      </c>
      <c r="E18" t="str">
        <f>RIGHT(Table1[[#This Row],[Order_ID]],5)</f>
        <v>10017</v>
      </c>
      <c r="F18" t="s">
        <v>5</v>
      </c>
      <c r="G18">
        <v>10017</v>
      </c>
      <c r="H18" t="s">
        <v>302</v>
      </c>
      <c r="I18" s="2">
        <f>EDATE(Table1[[#This Row],[Order_Date]],3)</f>
        <v>45885</v>
      </c>
      <c r="J18" s="2">
        <f>EDATE(Table1[[#This Row],[Order_Date]],6)</f>
        <v>45977</v>
      </c>
      <c r="K18">
        <f ca="1">YEAR(Table1[[#This Row],[Today]])</f>
        <v>2026</v>
      </c>
      <c r="L18">
        <v>17</v>
      </c>
      <c r="M18">
        <f ca="1">DAY(Table1[[#This Row],[Today]])</f>
        <v>11</v>
      </c>
      <c r="N18" s="19">
        <f t="shared" ca="1" si="6"/>
        <v>46245.589795370368</v>
      </c>
      <c r="O18" s="2">
        <f t="shared" ca="1" si="0"/>
        <v>46245</v>
      </c>
      <c r="P18" s="17">
        <f ca="1">Table1[[#This Row],[Today]]-Table1[[#This Row],[Order_Date]]</f>
        <v>452</v>
      </c>
      <c r="Q18" s="2">
        <v>45674</v>
      </c>
      <c r="R18" s="2">
        <v>45793</v>
      </c>
      <c r="S18" s="6">
        <f t="shared" si="4"/>
        <v>2025</v>
      </c>
      <c r="T18" s="7" t="str">
        <f t="shared" si="5"/>
        <v>May</v>
      </c>
      <c r="U18" s="2">
        <f>WORKDAY(Table1[[#This Row],[Order_Date]],5)</f>
        <v>45800</v>
      </c>
      <c r="V18" s="7" t="str">
        <f>CONCATENATE(Table1[[#This Row],[Customer_ID]],Table1[[#This Row],[Customer_Name]])</f>
        <v>C1049Neha Gupta</v>
      </c>
      <c r="W18" t="s">
        <v>303</v>
      </c>
      <c r="X18" t="s">
        <v>229</v>
      </c>
      <c r="Y18">
        <f>COUNTA(Table1[[#This Row],[Customer_Name]])</f>
        <v>1</v>
      </c>
      <c r="Z18" t="str">
        <f>SUBSTITUTE(Table1[[#This Row],[Customer_Name]]," ","_")</f>
        <v>Neha_Gupta</v>
      </c>
      <c r="AA18" s="10">
        <f>IFERROR(SEARCH("a",Table1[[#This Row],[Customer_Name]]),"N/A")</f>
        <v>4</v>
      </c>
      <c r="AB18">
        <f>SEARCH(" ",Table1[[#This Row],[Customer_Name]])</f>
        <v>5</v>
      </c>
      <c r="AC18" s="11">
        <f>IFERROR(FIND("a",Table1[[#This Row],[Customer_Name]]),"N/A")</f>
        <v>4</v>
      </c>
      <c r="AD18">
        <f>FIND(" ",Table1[[#This Row],[Customer_Name]])</f>
        <v>5</v>
      </c>
      <c r="AE18" t="str">
        <f>TRIM(Table1[[#This Row],[Customer_Name]])</f>
        <v>Neha Gupta</v>
      </c>
      <c r="AF18">
        <f>LEN(Table1[[#This Row],[Trimmed]])</f>
        <v>10</v>
      </c>
      <c r="AG18">
        <f>MAX(Table1[Length])</f>
        <v>15</v>
      </c>
      <c r="AH18" t="str">
        <f>PROPER(Table1[[#This Row],[Customer_Name]])</f>
        <v>Neha Gupta</v>
      </c>
      <c r="AI18" t="str">
        <f>LOWER(Table1[[#This Row],[Customer_Name]])</f>
        <v>neha gupta</v>
      </c>
      <c r="AJ18" t="str">
        <f>UPPER(Table1[[#This Row],[Customer_Name]])</f>
        <v>NEHA GUPTA</v>
      </c>
      <c r="AK18" t="str">
        <f>CONCATENATE(Table1[[#This Row],[Customer_ID]],Table1[[#This Row],[Customer_Name]])</f>
        <v>C1049Neha Gupta</v>
      </c>
      <c r="AL18" t="s">
        <v>230</v>
      </c>
      <c r="AM18" t="s">
        <v>231</v>
      </c>
      <c r="AN18" t="s">
        <v>232</v>
      </c>
      <c r="AO18" t="s">
        <v>230</v>
      </c>
      <c r="AP18" t="s">
        <v>231</v>
      </c>
      <c r="AQ18" t="s">
        <v>304</v>
      </c>
      <c r="AR18" t="str">
        <f>TRIM(Table1[[#This Row],[City]])</f>
        <v>Chennai</v>
      </c>
      <c r="AS18" t="str">
        <f>PROPER(Table1[[#This Row],[City]])</f>
        <v>Chennai</v>
      </c>
      <c r="AT18" t="s">
        <v>305</v>
      </c>
      <c r="AU18" t="str">
        <f>CONCATENATE(Table1[[#This Row],[City]],Table1[[#This Row],[State]])</f>
        <v>ChennaiTamil Nadu</v>
      </c>
      <c r="AV18" t="s">
        <v>168</v>
      </c>
      <c r="AW18" t="s">
        <v>201</v>
      </c>
      <c r="AX18" t="str">
        <f>REPLACE(Table1[[#This Row],[Product_ID]],1,1,"s")</f>
        <v>s104</v>
      </c>
      <c r="AY18" t="s">
        <v>306</v>
      </c>
      <c r="AZ18">
        <f>SEARCH("-",Table1[[#This Row],[Product ID]])</f>
        <v>2</v>
      </c>
      <c r="BA18">
        <f>FIND("-",Table1[[#This Row],[Product ID]])</f>
        <v>2</v>
      </c>
      <c r="BB18" t="str">
        <f>MID(Table1[[#This Row],[Product_ID]],2,3)</f>
        <v>104</v>
      </c>
      <c r="BC18" t="str">
        <f>RIGHT(Table1[[#This Row],[Product_ID]],3)</f>
        <v>104</v>
      </c>
      <c r="BD18" t="str">
        <f>LEFT(Table1[[#This Row],[Product_ID]],3)</f>
        <v>P10</v>
      </c>
      <c r="BE18" t="str">
        <f>_xlfn.XLOOKUP(Table1[[#This Row],[Product_ID]],AW:AW,BF:BF,,0)</f>
        <v>USB-C Hub</v>
      </c>
      <c r="BF18" t="s">
        <v>203</v>
      </c>
      <c r="BG18">
        <f>LEN(Table1[[#This Row],[Product_Name]])</f>
        <v>9</v>
      </c>
      <c r="BH18" t="s">
        <v>154</v>
      </c>
      <c r="BI18">
        <f t="shared" si="7"/>
        <v>75</v>
      </c>
      <c r="BJ18" t="str">
        <f>SUBSTITUTE(Table1[[#This Row],[Category]],"Electronics","ELECTRONICS")</f>
        <v>ELECTRONICS</v>
      </c>
      <c r="BN18" t="s">
        <v>155</v>
      </c>
      <c r="BS18" s="14">
        <v>5</v>
      </c>
      <c r="BT18" s="3">
        <v>1899</v>
      </c>
      <c r="BU18" s="4">
        <v>25</v>
      </c>
      <c r="BV18" s="4" t="str">
        <f>IF(AND(Table1[[#This Row],[Quantity]]&gt;=3,Table1[[#This Row],[Discount_%]]&gt;=15%),"Bulk Discount","no")</f>
        <v>Bulk Discount</v>
      </c>
      <c r="BW18" s="4" t="str">
        <f>IF(AND(Table1[[#This Row],[Quantity]]&gt;3,Table1[[#This Row],[Discount_%]]&gt;15%),"Bulk Customer","Normal")</f>
        <v>Bulk Customer</v>
      </c>
      <c r="BX18" t="s">
        <v>172</v>
      </c>
      <c r="BY18" t="s">
        <v>136</v>
      </c>
      <c r="CC18" t="str">
        <f>IF(OR(Table1[[#This Row],[Order_Status]]="Returned",Table1[[#This Row],[Order_Status]]="Cancelled"),"Attention Required","Not")</f>
        <v>Not</v>
      </c>
      <c r="CD18" t="str">
        <f>IF(OR(Table1[[#This Row],[Order_Status]]="Returned",Table1[[#This Row],[Order_Status]]="Cancelled"),"Review","no")</f>
        <v>no</v>
      </c>
      <c r="CE18" t="str">
        <f>SUBSTITUTE(Table1[[#This Row],[Order_Status]],"Delivered","Completed")</f>
        <v>Completed</v>
      </c>
      <c r="CF18" s="2">
        <v>45801</v>
      </c>
      <c r="CG18" s="17">
        <f>NETWORKDAYS(Table1[[#This Row],[Order_Date]],Table1[[#This Row],[Delivery_Date]])</f>
        <v>6</v>
      </c>
      <c r="CH18" s="17">
        <f>Table1[[#This Row],[Delivery_Date]]-Table1[[#This Row],[Order_Date]]</f>
        <v>8</v>
      </c>
      <c r="CI18" t="s">
        <v>137</v>
      </c>
      <c r="CJ18" t="str">
        <f>IF(Table1[[#This Row],[Rating]]&gt;=4,"Good","Needs Improvement")</f>
        <v>Good</v>
      </c>
      <c r="CK18" t="str">
        <f>IF(OR(Table1[[#This Row],[Rating]]&lt;=2,Table1[[#This Row],[Profit]]&lt;0),"Review","NO")</f>
        <v>NO</v>
      </c>
      <c r="CL18" t="str" cm="1">
        <f t="array" ref="CL18">_xlfn.IFS(Table1[[#This Row],[Rating]]&gt;2,"Poor",Table1[[#This Row],[Rating]]=3,"Average",Table1[[#This Row],[Rating]]=4,"Good",CP18=5,"Excellent")</f>
        <v>Poor</v>
      </c>
      <c r="CM18">
        <f>COUNT(Table1[[#This Row],[Rating]])</f>
        <v>1</v>
      </c>
      <c r="CN18">
        <f>COUNTBLANK(Table1[[#This Row],[Rating]])</f>
        <v>0</v>
      </c>
      <c r="CQ18" s="14">
        <v>5</v>
      </c>
      <c r="CR18" t="s">
        <v>173</v>
      </c>
      <c r="CS18" t="s">
        <v>195</v>
      </c>
      <c r="CU18" s="3">
        <v>7121.25</v>
      </c>
      <c r="CV18" s="3">
        <f>ROUND(Table1[[#This Row],[Sales_Amount]],0)</f>
        <v>7121</v>
      </c>
      <c r="CW18" s="3"/>
      <c r="CX18" s="3"/>
      <c r="CY18" s="3" t="b">
        <f>IF(AND(Table1[[#This Row],[Sales_Amount]]&gt;=10000,Table1[[#This Row],[Profit]]&gt;0),"Good Order")</f>
        <v>0</v>
      </c>
      <c r="CZ18" s="3" t="str">
        <f>IF(Table1[[#This Row],[Sales_Amount]]&gt;=10000,"High","Normal")</f>
        <v>Normal</v>
      </c>
      <c r="DA18" s="3">
        <v>1621.25</v>
      </c>
      <c r="DB18" s="3">
        <f>ROUND(Table1[[#This Row],[Profit]],0)</f>
        <v>1621</v>
      </c>
      <c r="DC18" s="3">
        <f>ABS(Table1[[#This Row],[Profit]])</f>
        <v>1621.25</v>
      </c>
      <c r="DD18" s="3"/>
      <c r="DE18" s="3"/>
      <c r="DF18" s="3"/>
      <c r="DG18" s="3" t="str">
        <f>IF(Table1[[#This Row],[Profit]]&gt;0,"Profit","Loss")</f>
        <v>Profit</v>
      </c>
      <c r="DH18" s="3" t="str">
        <f>IF(AND(Table1[[#This Row],[Sales_Amount]]&gt;=10000,Table1[[#This Row],[Profit]]&gt;0),"Priority","Normal")</f>
        <v>Normal</v>
      </c>
      <c r="DI18" s="3">
        <f t="shared" ca="1" si="2"/>
        <v>4.6562521231233389E-2</v>
      </c>
      <c r="DJ18" s="3">
        <f t="shared" ca="1" si="3"/>
        <v>98</v>
      </c>
      <c r="DK18" s="3"/>
      <c r="DL18" s="3"/>
      <c r="DM18" s="3"/>
      <c r="DN18" s="3"/>
      <c r="DO18" s="3"/>
      <c r="DP18" s="3"/>
    </row>
    <row r="19" spans="1:120">
      <c r="A19" t="s">
        <v>307</v>
      </c>
      <c r="B19" t="str">
        <f>REPLACE(Table1[[#This Row],[Order_ID]],1,3,"YOO")</f>
        <v>YOO10018</v>
      </c>
      <c r="C19" t="str">
        <f>MID(Table1[[#This Row],[Order_ID]],4,4)</f>
        <v>1001</v>
      </c>
      <c r="D19" t="str">
        <f>LEFT(Table1[[#This Row],[Order_ID]],4)</f>
        <v>ORD1</v>
      </c>
      <c r="E19" t="str">
        <f>RIGHT(Table1[[#This Row],[Order_ID]],5)</f>
        <v>10018</v>
      </c>
      <c r="F19" t="s">
        <v>5</v>
      </c>
      <c r="G19">
        <v>10018</v>
      </c>
      <c r="H19" t="s">
        <v>308</v>
      </c>
      <c r="I19" s="2">
        <f>EDATE(Table1[[#This Row],[Order_Date]],3)</f>
        <v>46227</v>
      </c>
      <c r="J19" s="2">
        <f>EDATE(Table1[[#This Row],[Order_Date]],6)</f>
        <v>46319</v>
      </c>
      <c r="K19">
        <f ca="1">YEAR(Table1[[#This Row],[Today]])</f>
        <v>2026</v>
      </c>
      <c r="L19">
        <v>18</v>
      </c>
      <c r="M19">
        <f ca="1">DAY(Table1[[#This Row],[Today]])</f>
        <v>11</v>
      </c>
      <c r="N19" s="19">
        <f t="shared" ca="1" si="6"/>
        <v>46245.589795370368</v>
      </c>
      <c r="O19" s="2">
        <f t="shared" ca="1" si="0"/>
        <v>46245</v>
      </c>
      <c r="P19" s="17">
        <f ca="1">Table1[[#This Row],[Today]]-Table1[[#This Row],[Order_Date]]</f>
        <v>109</v>
      </c>
      <c r="Q19" s="2">
        <v>45675</v>
      </c>
      <c r="R19" s="2">
        <v>46136</v>
      </c>
      <c r="S19" s="6">
        <f t="shared" si="4"/>
        <v>2026</v>
      </c>
      <c r="T19" s="7" t="str">
        <f t="shared" si="5"/>
        <v>April</v>
      </c>
      <c r="U19" s="2">
        <f>WORKDAY(Table1[[#This Row],[Order_Date]],5)</f>
        <v>46143</v>
      </c>
      <c r="V19" s="7" t="str">
        <f>CONCATENATE(Table1[[#This Row],[Customer_ID]],Table1[[#This Row],[Customer_Name]])</f>
        <v>C1028Anjali Joshi</v>
      </c>
      <c r="W19" t="s">
        <v>309</v>
      </c>
      <c r="X19" t="s">
        <v>310</v>
      </c>
      <c r="Y19">
        <f>COUNTA(Table1[[#This Row],[Customer_Name]])</f>
        <v>1</v>
      </c>
      <c r="Z19" t="str">
        <f>SUBSTITUTE(Table1[[#This Row],[Customer_Name]]," ","_")</f>
        <v>Anjali_Joshi</v>
      </c>
      <c r="AA19" s="10">
        <f>IFERROR(SEARCH("a",Table1[[#This Row],[Customer_Name]]),"N/A")</f>
        <v>1</v>
      </c>
      <c r="AB19">
        <f>SEARCH(" ",Table1[[#This Row],[Customer_Name]])</f>
        <v>7</v>
      </c>
      <c r="AC19" s="11">
        <f>IFERROR(FIND("a",Table1[[#This Row],[Customer_Name]]),"N/A")</f>
        <v>4</v>
      </c>
      <c r="AD19">
        <f>FIND(" ",Table1[[#This Row],[Customer_Name]])</f>
        <v>7</v>
      </c>
      <c r="AE19" t="str">
        <f>TRIM(Table1[[#This Row],[Customer_Name]])</f>
        <v>Anjali Joshi</v>
      </c>
      <c r="AF19">
        <f>LEN(Table1[[#This Row],[Trimmed]])</f>
        <v>12</v>
      </c>
      <c r="AG19">
        <f>MAX(Table1[Length])</f>
        <v>15</v>
      </c>
      <c r="AH19" t="str">
        <f>PROPER(Table1[[#This Row],[Customer_Name]])</f>
        <v>Anjali Joshi</v>
      </c>
      <c r="AI19" t="str">
        <f>LOWER(Table1[[#This Row],[Customer_Name]])</f>
        <v>anjali joshi</v>
      </c>
      <c r="AJ19" t="str">
        <f>UPPER(Table1[[#This Row],[Customer_Name]])</f>
        <v>ANJALI JOSHI</v>
      </c>
      <c r="AK19" t="str">
        <f>CONCATENATE(Table1[[#This Row],[Customer_ID]],Table1[[#This Row],[Customer_Name]])</f>
        <v>C1028Anjali Joshi</v>
      </c>
      <c r="AL19" t="s">
        <v>311</v>
      </c>
      <c r="AM19" t="s">
        <v>312</v>
      </c>
      <c r="AN19" t="s">
        <v>313</v>
      </c>
      <c r="AO19" t="s">
        <v>311</v>
      </c>
      <c r="AP19" t="s">
        <v>312</v>
      </c>
      <c r="AQ19" t="s">
        <v>166</v>
      </c>
      <c r="AR19" t="str">
        <f>TRIM(Table1[[#This Row],[City]])</f>
        <v>Bengaluru</v>
      </c>
      <c r="AS19" t="str">
        <f>PROPER(Table1[[#This Row],[City]])</f>
        <v>Bengaluru</v>
      </c>
      <c r="AT19" t="s">
        <v>167</v>
      </c>
      <c r="AU19" t="str">
        <f>CONCATENATE(Table1[[#This Row],[City]],Table1[[#This Row],[State]])</f>
        <v>BengaluruKarnataka</v>
      </c>
      <c r="AV19" t="s">
        <v>168</v>
      </c>
      <c r="AW19" t="s">
        <v>236</v>
      </c>
      <c r="AX19" t="str">
        <f>REPLACE(Table1[[#This Row],[Product_ID]],1,1,"s")</f>
        <v>s107</v>
      </c>
      <c r="AY19" t="s">
        <v>314</v>
      </c>
      <c r="AZ19">
        <f>SEARCH("-",Table1[[#This Row],[Product ID]])</f>
        <v>2</v>
      </c>
      <c r="BA19">
        <f>FIND("-",Table1[[#This Row],[Product ID]])</f>
        <v>2</v>
      </c>
      <c r="BB19" t="str">
        <f>MID(Table1[[#This Row],[Product_ID]],2,3)</f>
        <v>107</v>
      </c>
      <c r="BC19" t="str">
        <f>RIGHT(Table1[[#This Row],[Product_ID]],3)</f>
        <v>107</v>
      </c>
      <c r="BD19" t="str">
        <f>LEFT(Table1[[#This Row],[Product_ID]],3)</f>
        <v>P10</v>
      </c>
      <c r="BE19" t="str">
        <f>_xlfn.XLOOKUP(Table1[[#This Row],[Product_ID]],AW:AW,BF:BF,,0)</f>
        <v>Casual Sneakers</v>
      </c>
      <c r="BF19" t="s">
        <v>238</v>
      </c>
      <c r="BG19">
        <f>LEN(Table1[[#This Row],[Product_Name]])</f>
        <v>15</v>
      </c>
      <c r="BH19" t="s">
        <v>224</v>
      </c>
      <c r="BI19">
        <f t="shared" si="7"/>
        <v>75</v>
      </c>
      <c r="BJ19" t="str">
        <f>SUBSTITUTE(Table1[[#This Row],[Category]],"Electronics","ELECTRONICS")</f>
        <v>Fashion</v>
      </c>
      <c r="BN19" t="s">
        <v>225</v>
      </c>
      <c r="BS19" s="14">
        <v>1</v>
      </c>
      <c r="BT19" s="3">
        <v>2799</v>
      </c>
      <c r="BU19" s="4">
        <v>0</v>
      </c>
      <c r="BV19" s="4" t="str">
        <f>IF(AND(Table1[[#This Row],[Quantity]]&gt;=3,Table1[[#This Row],[Discount_%]]&gt;=15%),"Bulk Discount","no")</f>
        <v>no</v>
      </c>
      <c r="BW19" s="4" t="str">
        <f>IF(AND(Table1[[#This Row],[Quantity]]&gt;3,Table1[[#This Row],[Discount_%]]&gt;15%),"Bulk Customer","Normal")</f>
        <v>Normal</v>
      </c>
      <c r="BX19" t="s">
        <v>187</v>
      </c>
      <c r="BY19" t="s">
        <v>136</v>
      </c>
      <c r="CC19" t="str">
        <f>IF(OR(Table1[[#This Row],[Order_Status]]="Returned",Table1[[#This Row],[Order_Status]]="Cancelled"),"Attention Required","Not")</f>
        <v>Not</v>
      </c>
      <c r="CD19" t="str">
        <f>IF(OR(Table1[[#This Row],[Order_Status]]="Returned",Table1[[#This Row],[Order_Status]]="Cancelled"),"Review","no")</f>
        <v>no</v>
      </c>
      <c r="CE19" t="str">
        <f>SUBSTITUTE(Table1[[#This Row],[Order_Status]],"Delivered","Completed")</f>
        <v>Completed</v>
      </c>
      <c r="CF19" s="2">
        <v>46143</v>
      </c>
      <c r="CG19" s="17">
        <f>NETWORKDAYS(Table1[[#This Row],[Order_Date]],Table1[[#This Row],[Delivery_Date]])</f>
        <v>6</v>
      </c>
      <c r="CH19" s="17">
        <f>Table1[[#This Row],[Delivery_Date]]-Table1[[#This Row],[Order_Date]]</f>
        <v>7</v>
      </c>
      <c r="CI19" t="s">
        <v>137</v>
      </c>
      <c r="CJ19" t="str">
        <f>IF(Table1[[#This Row],[Rating]]&gt;=4,"Good","Needs Improvement")</f>
        <v>Good</v>
      </c>
      <c r="CK19" t="str">
        <f>IF(OR(Table1[[#This Row],[Rating]]&lt;=2,Table1[[#This Row],[Profit]]&lt;0),"Review","NO")</f>
        <v>NO</v>
      </c>
      <c r="CL19" t="str" cm="1">
        <f t="array" ref="CL19">_xlfn.IFS(Table1[[#This Row],[Rating]]&gt;2,"Poor",Table1[[#This Row],[Rating]]=3,"Average",Table1[[#This Row],[Rating]]=4,"Good",CP19=5,"Excellent")</f>
        <v>Poor</v>
      </c>
      <c r="CM19">
        <f>COUNT(Table1[[#This Row],[Rating]])</f>
        <v>1</v>
      </c>
      <c r="CN19">
        <f>COUNTBLANK(Table1[[#This Row],[Rating]])</f>
        <v>0</v>
      </c>
      <c r="CP19" t="s">
        <v>194</v>
      </c>
      <c r="CQ19" s="14">
        <v>5</v>
      </c>
      <c r="CR19" t="s">
        <v>204</v>
      </c>
      <c r="CS19" t="s">
        <v>267</v>
      </c>
      <c r="CU19" s="3">
        <v>2799</v>
      </c>
      <c r="CV19" s="3">
        <f>ROUND(Table1[[#This Row],[Sales_Amount]],0)</f>
        <v>2799</v>
      </c>
      <c r="CW19" s="3"/>
      <c r="CX19" s="3"/>
      <c r="CY19" s="3" t="b">
        <f>IF(AND(Table1[[#This Row],[Sales_Amount]]&gt;=10000,Table1[[#This Row],[Profit]]&gt;0),"Good Order")</f>
        <v>0</v>
      </c>
      <c r="CZ19" s="3" t="str">
        <f>IF(Table1[[#This Row],[Sales_Amount]]&gt;=10000,"High","Normal")</f>
        <v>Normal</v>
      </c>
      <c r="DA19" s="3">
        <v>1299</v>
      </c>
      <c r="DB19" s="3">
        <f>ROUND(Table1[[#This Row],[Profit]],0)</f>
        <v>1299</v>
      </c>
      <c r="DC19" s="3">
        <f>ABS(Table1[[#This Row],[Profit]])</f>
        <v>1299</v>
      </c>
      <c r="DD19" s="3"/>
      <c r="DE19" s="3"/>
      <c r="DF19" s="3"/>
      <c r="DG19" s="3" t="str">
        <f>IF(Table1[[#This Row],[Profit]]&gt;0,"Profit","Loss")</f>
        <v>Profit</v>
      </c>
      <c r="DH19" s="3" t="str">
        <f>IF(AND(Table1[[#This Row],[Sales_Amount]]&gt;=10000,Table1[[#This Row],[Profit]]&gt;0),"Priority","Normal")</f>
        <v>Normal</v>
      </c>
      <c r="DI19" s="3">
        <f t="shared" ca="1" si="2"/>
        <v>0.98113000834870934</v>
      </c>
      <c r="DJ19" s="3">
        <f t="shared" ca="1" si="3"/>
        <v>54</v>
      </c>
      <c r="DK19" s="3"/>
      <c r="DL19" s="3"/>
      <c r="DM19" s="3"/>
      <c r="DN19" s="3"/>
      <c r="DO19" s="3"/>
      <c r="DP19" s="3"/>
    </row>
    <row r="20" spans="1:120">
      <c r="A20" t="s">
        <v>315</v>
      </c>
      <c r="B20" t="str">
        <f>REPLACE(Table1[[#This Row],[Order_ID]],1,3,"YOO")</f>
        <v>YOO10019</v>
      </c>
      <c r="C20" t="str">
        <f>MID(Table1[[#This Row],[Order_ID]],4,4)</f>
        <v>1001</v>
      </c>
      <c r="D20" t="str">
        <f>LEFT(Table1[[#This Row],[Order_ID]],4)</f>
        <v>ORD1</v>
      </c>
      <c r="E20" t="str">
        <f>RIGHT(Table1[[#This Row],[Order_ID]],5)</f>
        <v>10019</v>
      </c>
      <c r="F20" t="s">
        <v>5</v>
      </c>
      <c r="G20">
        <v>10019</v>
      </c>
      <c r="H20" t="s">
        <v>316</v>
      </c>
      <c r="I20" s="2">
        <f>EDATE(Table1[[#This Row],[Order_Date]],3)</f>
        <v>45937</v>
      </c>
      <c r="J20" s="2">
        <f>EDATE(Table1[[#This Row],[Order_Date]],6)</f>
        <v>46029</v>
      </c>
      <c r="K20">
        <f ca="1">YEAR(Table1[[#This Row],[Today]])</f>
        <v>2026</v>
      </c>
      <c r="L20">
        <v>19</v>
      </c>
      <c r="M20">
        <f ca="1">DAY(Table1[[#This Row],[Today]])</f>
        <v>11</v>
      </c>
      <c r="N20" s="19">
        <f t="shared" ca="1" si="6"/>
        <v>46245.589795138891</v>
      </c>
      <c r="O20" s="2">
        <f t="shared" ca="1" si="0"/>
        <v>46245</v>
      </c>
      <c r="P20" s="17">
        <f ca="1">Table1[[#This Row],[Today]]-Table1[[#This Row],[Order_Date]]</f>
        <v>400</v>
      </c>
      <c r="Q20" s="2">
        <v>45676</v>
      </c>
      <c r="R20" s="2">
        <v>45845</v>
      </c>
      <c r="S20" s="6">
        <f t="shared" si="4"/>
        <v>2025</v>
      </c>
      <c r="T20" s="7" t="str">
        <f t="shared" si="5"/>
        <v>July</v>
      </c>
      <c r="U20" s="2">
        <f>WORKDAY(Table1[[#This Row],[Order_Date]],5)</f>
        <v>45852</v>
      </c>
      <c r="V20" s="7" t="str">
        <f>CONCATENATE(Table1[[#This Row],[Customer_ID]],Table1[[#This Row],[Customer_Name]])</f>
        <v>C1141Neha Gupta</v>
      </c>
      <c r="W20" t="s">
        <v>317</v>
      </c>
      <c r="X20" t="s">
        <v>229</v>
      </c>
      <c r="Y20">
        <f>COUNTA(Table1[[#This Row],[Customer_Name]])</f>
        <v>1</v>
      </c>
      <c r="Z20" t="str">
        <f>SUBSTITUTE(Table1[[#This Row],[Customer_Name]]," ","_")</f>
        <v>Neha_Gupta</v>
      </c>
      <c r="AA20" s="10">
        <f>IFERROR(SEARCH("a",Table1[[#This Row],[Customer_Name]]),"N/A")</f>
        <v>4</v>
      </c>
      <c r="AB20">
        <f>SEARCH(" ",Table1[[#This Row],[Customer_Name]])</f>
        <v>5</v>
      </c>
      <c r="AC20" s="11">
        <f>IFERROR(FIND("a",Table1[[#This Row],[Customer_Name]]),"N/A")</f>
        <v>4</v>
      </c>
      <c r="AD20">
        <f>FIND(" ",Table1[[#This Row],[Customer_Name]])</f>
        <v>5</v>
      </c>
      <c r="AE20" t="str">
        <f>TRIM(Table1[[#This Row],[Customer_Name]])</f>
        <v>Neha Gupta</v>
      </c>
      <c r="AF20">
        <f>LEN(Table1[[#This Row],[Trimmed]])</f>
        <v>10</v>
      </c>
      <c r="AG20">
        <f>MAX(Table1[Length])</f>
        <v>15</v>
      </c>
      <c r="AH20" t="str">
        <f>PROPER(Table1[[#This Row],[Customer_Name]])</f>
        <v>Neha Gupta</v>
      </c>
      <c r="AI20" t="str">
        <f>LOWER(Table1[[#This Row],[Customer_Name]])</f>
        <v>neha gupta</v>
      </c>
      <c r="AJ20" t="str">
        <f>UPPER(Table1[[#This Row],[Customer_Name]])</f>
        <v>NEHA GUPTA</v>
      </c>
      <c r="AK20" t="str">
        <f>CONCATENATE(Table1[[#This Row],[Customer_ID]],Table1[[#This Row],[Customer_Name]])</f>
        <v>C1141Neha Gupta</v>
      </c>
      <c r="AL20" t="s">
        <v>230</v>
      </c>
      <c r="AM20" t="s">
        <v>231</v>
      </c>
      <c r="AN20" t="s">
        <v>232</v>
      </c>
      <c r="AO20" t="s">
        <v>230</v>
      </c>
      <c r="AP20" t="s">
        <v>231</v>
      </c>
      <c r="AQ20" t="s">
        <v>318</v>
      </c>
      <c r="AR20" t="str">
        <f>TRIM(Table1[[#This Row],[City]])</f>
        <v>Bengaluru</v>
      </c>
      <c r="AS20" t="str">
        <f>PROPER(Table1[[#This Row],[City]])</f>
        <v xml:space="preserve"> Bengaluru </v>
      </c>
      <c r="AT20" t="s">
        <v>167</v>
      </c>
      <c r="AU20" t="str">
        <f>CONCATENATE(Table1[[#This Row],[City]],Table1[[#This Row],[State]])</f>
        <v xml:space="preserve"> Bengaluru Karnataka</v>
      </c>
      <c r="AV20" t="s">
        <v>168</v>
      </c>
      <c r="AW20" t="s">
        <v>319</v>
      </c>
      <c r="AX20" t="str">
        <f>REPLACE(Table1[[#This Row],[Product_ID]],1,1,"s")</f>
        <v>s103</v>
      </c>
      <c r="AY20" t="s">
        <v>320</v>
      </c>
      <c r="AZ20">
        <f>SEARCH("-",Table1[[#This Row],[Product ID]])</f>
        <v>2</v>
      </c>
      <c r="BA20">
        <f>FIND("-",Table1[[#This Row],[Product ID]])</f>
        <v>2</v>
      </c>
      <c r="BB20" t="str">
        <f>MID(Table1[[#This Row],[Product_ID]],2,3)</f>
        <v>103</v>
      </c>
      <c r="BC20" t="str">
        <f>RIGHT(Table1[[#This Row],[Product_ID]],3)</f>
        <v>103</v>
      </c>
      <c r="BD20" t="str">
        <f>LEFT(Table1[[#This Row],[Product_ID]],3)</f>
        <v>P10</v>
      </c>
      <c r="BE20" t="str">
        <f>_xlfn.XLOOKUP(Table1[[#This Row],[Product_ID]],AW:AW,BF:BF,,0)</f>
        <v>Laptop Stand</v>
      </c>
      <c r="BF20" t="s">
        <v>321</v>
      </c>
      <c r="BG20">
        <f>LEN(Table1[[#This Row],[Product_Name]])</f>
        <v>12</v>
      </c>
      <c r="BH20" t="s">
        <v>154</v>
      </c>
      <c r="BI20">
        <f t="shared" si="7"/>
        <v>75</v>
      </c>
      <c r="BJ20" t="str">
        <f>SUBSTITUTE(Table1[[#This Row],[Category]],"Electronics","ELECTRONICS")</f>
        <v>ELECTRONICS</v>
      </c>
      <c r="BN20" t="s">
        <v>155</v>
      </c>
      <c r="BS20" s="14">
        <v>3</v>
      </c>
      <c r="BT20" s="3">
        <v>1599</v>
      </c>
      <c r="BU20" s="4">
        <v>25</v>
      </c>
      <c r="BV20" s="4" t="str">
        <f>IF(AND(Table1[[#This Row],[Quantity]]&gt;=3,Table1[[#This Row],[Discount_%]]&gt;=15%),"Bulk Discount","no")</f>
        <v>Bulk Discount</v>
      </c>
      <c r="BW20" s="4" t="str">
        <f>IF(AND(Table1[[#This Row],[Quantity]]&gt;3,Table1[[#This Row],[Discount_%]]&gt;15%),"Bulk Customer","Normal")</f>
        <v>Normal</v>
      </c>
      <c r="BX20" t="s">
        <v>172</v>
      </c>
      <c r="BY20" t="s">
        <v>136</v>
      </c>
      <c r="CC20" t="str">
        <f>IF(OR(Table1[[#This Row],[Order_Status]]="Returned",Table1[[#This Row],[Order_Status]]="Cancelled"),"Attention Required","Not")</f>
        <v>Not</v>
      </c>
      <c r="CD20" t="str">
        <f>IF(OR(Table1[[#This Row],[Order_Status]]="Returned",Table1[[#This Row],[Order_Status]]="Cancelled"),"Review","no")</f>
        <v>no</v>
      </c>
      <c r="CE20" t="str">
        <f>SUBSTITUTE(Table1[[#This Row],[Order_Status]],"Delivered","Completed")</f>
        <v>Completed</v>
      </c>
      <c r="CF20" s="2">
        <v>45847</v>
      </c>
      <c r="CG20" s="17">
        <f>NETWORKDAYS(Table1[[#This Row],[Order_Date]],Table1[[#This Row],[Delivery_Date]])</f>
        <v>3</v>
      </c>
      <c r="CH20" s="17">
        <f>Table1[[#This Row],[Delivery_Date]]-Table1[[#This Row],[Order_Date]]</f>
        <v>2</v>
      </c>
      <c r="CI20" t="s">
        <v>137</v>
      </c>
      <c r="CJ20" t="str">
        <f>IF(Table1[[#This Row],[Rating]]&gt;=4,"Good","Needs Improvement")</f>
        <v>Needs Improvement</v>
      </c>
      <c r="CK20" t="str">
        <f>IF(OR(Table1[[#This Row],[Rating]]&lt;=2,Table1[[#This Row],[Profit]]&lt;0),"Review","NO")</f>
        <v>Review</v>
      </c>
      <c r="CL20" t="e" cm="1">
        <f t="array" ref="CL20">_xlfn.IFS(Table1[[#This Row],[Rating]]&gt;2,"Poor",Table1[[#This Row],[Rating]]=3,"Average",Table1[[#This Row],[Rating]]=4,"Good",CP20=5,"Excellent")</f>
        <v>#N/A</v>
      </c>
      <c r="CM20">
        <f>COUNT(Table1[[#This Row],[Rating]])</f>
        <v>0</v>
      </c>
      <c r="CN20">
        <f>COUNTBLANK(Table1[[#This Row],[Rating]])</f>
        <v>1</v>
      </c>
      <c r="CR20" t="s">
        <v>204</v>
      </c>
      <c r="CS20" t="s">
        <v>140</v>
      </c>
      <c r="CU20" s="3">
        <v>3597.75</v>
      </c>
      <c r="CV20" s="3">
        <f>ROUND(Table1[[#This Row],[Sales_Amount]],0)</f>
        <v>3598</v>
      </c>
      <c r="CW20" s="3"/>
      <c r="CX20" s="3"/>
      <c r="CY20" s="3" t="b">
        <f>IF(AND(Table1[[#This Row],[Sales_Amount]]&gt;=10000,Table1[[#This Row],[Profit]]&gt;0),"Good Order")</f>
        <v>0</v>
      </c>
      <c r="CZ20" s="3" t="str">
        <f>IF(Table1[[#This Row],[Sales_Amount]]&gt;=10000,"High","Normal")</f>
        <v>Normal</v>
      </c>
      <c r="DA20" s="3">
        <v>897.75</v>
      </c>
      <c r="DB20" s="3">
        <f>ROUND(Table1[[#This Row],[Profit]],0)</f>
        <v>898</v>
      </c>
      <c r="DC20" s="3">
        <f>ABS(Table1[[#This Row],[Profit]])</f>
        <v>897.75</v>
      </c>
      <c r="DD20" s="3"/>
      <c r="DE20" s="3"/>
      <c r="DF20" s="3"/>
      <c r="DG20" s="3" t="str">
        <f>IF(Table1[[#This Row],[Profit]]&gt;0,"Profit","Loss")</f>
        <v>Profit</v>
      </c>
      <c r="DH20" s="3" t="str">
        <f>IF(AND(Table1[[#This Row],[Sales_Amount]]&gt;=10000,Table1[[#This Row],[Profit]]&gt;0),"Priority","Normal")</f>
        <v>Normal</v>
      </c>
      <c r="DI20" s="3">
        <f t="shared" ca="1" si="2"/>
        <v>0.77443761217794915</v>
      </c>
      <c r="DJ20" s="3">
        <f t="shared" ca="1" si="3"/>
        <v>21</v>
      </c>
      <c r="DK20" s="3"/>
      <c r="DL20" s="3"/>
      <c r="DM20" s="3"/>
      <c r="DN20" s="3"/>
      <c r="DO20" s="3"/>
      <c r="DP20" s="3"/>
    </row>
    <row r="21" spans="1:120">
      <c r="A21" t="s">
        <v>322</v>
      </c>
      <c r="B21" t="str">
        <f>REPLACE(Table1[[#This Row],[Order_ID]],1,3,"YOO")</f>
        <v>YOO10020</v>
      </c>
      <c r="C21" t="str">
        <f>MID(Table1[[#This Row],[Order_ID]],4,4)</f>
        <v>1002</v>
      </c>
      <c r="D21" t="str">
        <f>LEFT(Table1[[#This Row],[Order_ID]],4)</f>
        <v>ORD1</v>
      </c>
      <c r="E21" t="str">
        <f>RIGHT(Table1[[#This Row],[Order_ID]],5)</f>
        <v>10020</v>
      </c>
      <c r="F21" t="s">
        <v>5</v>
      </c>
      <c r="G21">
        <v>10020</v>
      </c>
      <c r="H21" t="s">
        <v>323</v>
      </c>
      <c r="I21" s="2">
        <f>EDATE(Table1[[#This Row],[Order_Date]],3)</f>
        <v>45920</v>
      </c>
      <c r="J21" s="2">
        <f>EDATE(Table1[[#This Row],[Order_Date]],6)</f>
        <v>46011</v>
      </c>
      <c r="K21">
        <f ca="1">YEAR(Table1[[#This Row],[Today]])</f>
        <v>2026</v>
      </c>
      <c r="L21">
        <v>20</v>
      </c>
      <c r="M21">
        <f ca="1">DAY(Table1[[#This Row],[Today]])</f>
        <v>11</v>
      </c>
      <c r="N21" s="19">
        <f t="shared" ca="1" si="6"/>
        <v>46245.589795370368</v>
      </c>
      <c r="O21" s="2">
        <f t="shared" ca="1" si="0"/>
        <v>46245</v>
      </c>
      <c r="P21" s="17">
        <f ca="1">Table1[[#This Row],[Today]]-Table1[[#This Row],[Order_Date]]</f>
        <v>417</v>
      </c>
      <c r="Q21" s="2">
        <v>45677</v>
      </c>
      <c r="R21" s="2">
        <v>45828</v>
      </c>
      <c r="S21" s="6">
        <f t="shared" si="4"/>
        <v>2025</v>
      </c>
      <c r="T21" s="7" t="str">
        <f t="shared" si="5"/>
        <v>June</v>
      </c>
      <c r="U21" s="2">
        <f>WORKDAY(Table1[[#This Row],[Order_Date]],5)</f>
        <v>45835</v>
      </c>
      <c r="V21" s="7" t="str">
        <f>CONCATENATE(Table1[[#This Row],[Customer_ID]],Table1[[#This Row],[Customer_Name]])</f>
        <v>C1016Simran Kaur</v>
      </c>
      <c r="W21" t="s">
        <v>324</v>
      </c>
      <c r="X21" t="s">
        <v>325</v>
      </c>
      <c r="Y21">
        <f>COUNTA(Table1[[#This Row],[Customer_Name]])</f>
        <v>1</v>
      </c>
      <c r="Z21" t="str">
        <f>SUBSTITUTE(Table1[[#This Row],[Customer_Name]]," ","_")</f>
        <v>Simran_Kaur</v>
      </c>
      <c r="AA21" s="10">
        <f>IFERROR(SEARCH("a",Table1[[#This Row],[Customer_Name]]),"N/A")</f>
        <v>5</v>
      </c>
      <c r="AB21">
        <f>SEARCH(" ",Table1[[#This Row],[Customer_Name]])</f>
        <v>7</v>
      </c>
      <c r="AC21" s="11">
        <f>IFERROR(FIND("a",Table1[[#This Row],[Customer_Name]]),"N/A")</f>
        <v>5</v>
      </c>
      <c r="AD21">
        <f>FIND(" ",Table1[[#This Row],[Customer_Name]])</f>
        <v>7</v>
      </c>
      <c r="AE21" t="str">
        <f>TRIM(Table1[[#This Row],[Customer_Name]])</f>
        <v>Simran Kaur</v>
      </c>
      <c r="AF21">
        <f>LEN(Table1[[#This Row],[Trimmed]])</f>
        <v>11</v>
      </c>
      <c r="AG21">
        <f>MAX(Table1[Length])</f>
        <v>15</v>
      </c>
      <c r="AH21" t="str">
        <f>PROPER(Table1[[#This Row],[Customer_Name]])</f>
        <v>Simran Kaur</v>
      </c>
      <c r="AI21" t="str">
        <f>LOWER(Table1[[#This Row],[Customer_Name]])</f>
        <v>simran kaur</v>
      </c>
      <c r="AJ21" t="str">
        <f>UPPER(Table1[[#This Row],[Customer_Name]])</f>
        <v>SIMRAN KAUR</v>
      </c>
      <c r="AK21" t="str">
        <f>CONCATENATE(Table1[[#This Row],[Customer_ID]],Table1[[#This Row],[Customer_Name]])</f>
        <v>C1016Simran Kaur</v>
      </c>
      <c r="AL21" t="s">
        <v>326</v>
      </c>
      <c r="AM21" t="s">
        <v>327</v>
      </c>
      <c r="AN21" t="s">
        <v>328</v>
      </c>
      <c r="AO21" t="s">
        <v>326</v>
      </c>
      <c r="AP21" t="s">
        <v>327</v>
      </c>
      <c r="AQ21" t="s">
        <v>148</v>
      </c>
      <c r="AR21" t="str">
        <f>TRIM(Table1[[#This Row],[City]])</f>
        <v>Jaipur</v>
      </c>
      <c r="AS21" t="str">
        <f>PROPER(Table1[[#This Row],[City]])</f>
        <v>Jaipur</v>
      </c>
      <c r="AT21" t="s">
        <v>149</v>
      </c>
      <c r="AU21" t="str">
        <f>CONCATENATE(Table1[[#This Row],[City]],Table1[[#This Row],[State]])</f>
        <v>JaipurRajasthan</v>
      </c>
      <c r="AV21" t="s">
        <v>150</v>
      </c>
      <c r="AW21" t="s">
        <v>151</v>
      </c>
      <c r="AX21" t="str">
        <f>REPLACE(Table1[[#This Row],[Product_ID]],1,1,"s")</f>
        <v>s102</v>
      </c>
      <c r="AY21" t="s">
        <v>329</v>
      </c>
      <c r="AZ21">
        <f>SEARCH("-",Table1[[#This Row],[Product ID]])</f>
        <v>2</v>
      </c>
      <c r="BA21">
        <f>FIND("-",Table1[[#This Row],[Product ID]])</f>
        <v>2</v>
      </c>
      <c r="BB21" t="str">
        <f>MID(Table1[[#This Row],[Product_ID]],2,3)</f>
        <v>102</v>
      </c>
      <c r="BC21" t="str">
        <f>RIGHT(Table1[[#This Row],[Product_ID]],3)</f>
        <v>102</v>
      </c>
      <c r="BD21" t="str">
        <f>LEFT(Table1[[#This Row],[Product_ID]],3)</f>
        <v>P10</v>
      </c>
      <c r="BE21" t="str">
        <f>_xlfn.XLOOKUP(Table1[[#This Row],[Product_ID]],AW:AW,BF:BF,,0)</f>
        <v>Mechanical Keyboard</v>
      </c>
      <c r="BF21" t="s">
        <v>153</v>
      </c>
      <c r="BG21">
        <f>LEN(Table1[[#This Row],[Product_Name]])</f>
        <v>19</v>
      </c>
      <c r="BH21" t="s">
        <v>154</v>
      </c>
      <c r="BI21">
        <f t="shared" si="7"/>
        <v>75</v>
      </c>
      <c r="BJ21" t="str">
        <f>SUBSTITUTE(Table1[[#This Row],[Category]],"Electronics","ELECTRONICS")</f>
        <v>ELECTRONICS</v>
      </c>
      <c r="BN21" t="s">
        <v>155</v>
      </c>
      <c r="BS21" s="14">
        <v>4</v>
      </c>
      <c r="BT21" s="3">
        <v>2499</v>
      </c>
      <c r="BU21" s="4">
        <v>25</v>
      </c>
      <c r="BV21" s="4" t="str">
        <f>IF(AND(Table1[[#This Row],[Quantity]]&gt;=3,Table1[[#This Row],[Discount_%]]&gt;=15%),"Bulk Discount","no")</f>
        <v>Bulk Discount</v>
      </c>
      <c r="BW21" s="4" t="str">
        <f>IF(AND(Table1[[#This Row],[Quantity]]&gt;3,Table1[[#This Row],[Discount_%]]&gt;15%),"Bulk Customer","Normal")</f>
        <v>Bulk Customer</v>
      </c>
      <c r="BX21" t="s">
        <v>330</v>
      </c>
      <c r="BY21" t="s">
        <v>136</v>
      </c>
      <c r="CC21" t="str">
        <f>IF(OR(Table1[[#This Row],[Order_Status]]="Returned",Table1[[#This Row],[Order_Status]]="Cancelled"),"Attention Required","Not")</f>
        <v>Not</v>
      </c>
      <c r="CD21" t="str">
        <f>IF(OR(Table1[[#This Row],[Order_Status]]="Returned",Table1[[#This Row],[Order_Status]]="Cancelled"),"Review","no")</f>
        <v>no</v>
      </c>
      <c r="CE21" t="str">
        <f>SUBSTITUTE(Table1[[#This Row],[Order_Status]],"Delivered","Completed")</f>
        <v>Completed</v>
      </c>
      <c r="CF21" s="2">
        <v>45832</v>
      </c>
      <c r="CG21" s="17">
        <f>NETWORKDAYS(Table1[[#This Row],[Order_Date]],Table1[[#This Row],[Delivery_Date]])</f>
        <v>3</v>
      </c>
      <c r="CH21" s="17">
        <f>Table1[[#This Row],[Delivery_Date]]-Table1[[#This Row],[Order_Date]]</f>
        <v>4</v>
      </c>
      <c r="CI21" t="s">
        <v>137</v>
      </c>
      <c r="CJ21" t="str">
        <f>IF(Table1[[#This Row],[Rating]]&gt;=4,"Good","Needs Improvement")</f>
        <v>Good</v>
      </c>
      <c r="CK21" t="str">
        <f>IF(OR(Table1[[#This Row],[Rating]]&lt;=2,Table1[[#This Row],[Profit]]&lt;0),"Review","NO")</f>
        <v>NO</v>
      </c>
      <c r="CL21" t="str" cm="1">
        <f t="array" ref="CL21">_xlfn.IFS(Table1[[#This Row],[Rating]]&gt;2,"Poor",Table1[[#This Row],[Rating]]=3,"Average",Table1[[#This Row],[Rating]]=4,"Good",CP21=5,"Excellent")</f>
        <v>Poor</v>
      </c>
      <c r="CM21">
        <f>COUNT(Table1[[#This Row],[Rating]])</f>
        <v>1</v>
      </c>
      <c r="CN21">
        <f>COUNTBLANK(Table1[[#This Row],[Rating]])</f>
        <v>0</v>
      </c>
      <c r="CP21" t="s">
        <v>331</v>
      </c>
      <c r="CQ21" s="14">
        <v>5</v>
      </c>
      <c r="CR21" t="s">
        <v>173</v>
      </c>
      <c r="CS21" t="s">
        <v>195</v>
      </c>
      <c r="CU21" s="3">
        <v>7497</v>
      </c>
      <c r="CV21" s="3">
        <f>ROUND(Table1[[#This Row],[Sales_Amount]],0)</f>
        <v>7497</v>
      </c>
      <c r="CW21" s="3"/>
      <c r="CX21" s="3"/>
      <c r="CY21" s="3" t="b">
        <f>IF(AND(Table1[[#This Row],[Sales_Amount]]&gt;=10000,Table1[[#This Row],[Profit]]&gt;0),"Good Order")</f>
        <v>0</v>
      </c>
      <c r="CZ21" s="3" t="str">
        <f>IF(Table1[[#This Row],[Sales_Amount]]&gt;=10000,"High","Normal")</f>
        <v>Normal</v>
      </c>
      <c r="DA21" s="3">
        <v>1697</v>
      </c>
      <c r="DB21" s="3">
        <f>ROUND(Table1[[#This Row],[Profit]],0)</f>
        <v>1697</v>
      </c>
      <c r="DC21" s="3">
        <f>ABS(Table1[[#This Row],[Profit]])</f>
        <v>1697</v>
      </c>
      <c r="DD21" s="3"/>
      <c r="DE21" s="3"/>
      <c r="DF21" s="3"/>
      <c r="DG21" s="3" t="str">
        <f>IF(Table1[[#This Row],[Profit]]&gt;0,"Profit","Loss")</f>
        <v>Profit</v>
      </c>
      <c r="DH21" s="3" t="str">
        <f>IF(AND(Table1[[#This Row],[Sales_Amount]]&gt;=10000,Table1[[#This Row],[Profit]]&gt;0),"Priority","Normal")</f>
        <v>Normal</v>
      </c>
      <c r="DI21" s="3">
        <f t="shared" ca="1" si="2"/>
        <v>0.76910733268054732</v>
      </c>
      <c r="DJ21" s="3">
        <f t="shared" ca="1" si="3"/>
        <v>78</v>
      </c>
      <c r="DK21" s="3"/>
      <c r="DL21" s="3"/>
      <c r="DM21" s="3"/>
      <c r="DN21" s="3"/>
      <c r="DO21" s="3"/>
      <c r="DP21" s="3"/>
    </row>
    <row r="22" spans="1:120">
      <c r="A22" t="s">
        <v>332</v>
      </c>
      <c r="B22" t="str">
        <f>REPLACE(Table1[[#This Row],[Order_ID]],1,3,"YOO")</f>
        <v>YOO10021</v>
      </c>
      <c r="C22" t="str">
        <f>MID(Table1[[#This Row],[Order_ID]],4,4)</f>
        <v>1002</v>
      </c>
      <c r="D22" t="str">
        <f>LEFT(Table1[[#This Row],[Order_ID]],4)</f>
        <v>ORD1</v>
      </c>
      <c r="E22" t="str">
        <f>RIGHT(Table1[[#This Row],[Order_ID]],5)</f>
        <v>10021</v>
      </c>
      <c r="F22" t="s">
        <v>5</v>
      </c>
      <c r="G22">
        <v>10021</v>
      </c>
      <c r="H22" t="s">
        <v>333</v>
      </c>
      <c r="I22" s="2">
        <f>EDATE(Table1[[#This Row],[Order_Date]],3)</f>
        <v>46042</v>
      </c>
      <c r="J22" s="2">
        <f>EDATE(Table1[[#This Row],[Order_Date]],6)</f>
        <v>46132</v>
      </c>
      <c r="K22">
        <f ca="1">YEAR(Table1[[#This Row],[Today]])</f>
        <v>2026</v>
      </c>
      <c r="L22">
        <v>21</v>
      </c>
      <c r="M22">
        <f ca="1">DAY(Table1[[#This Row],[Today]])</f>
        <v>11</v>
      </c>
      <c r="N22" s="19">
        <f t="shared" ca="1" si="6"/>
        <v>46245.589795370368</v>
      </c>
      <c r="O22" s="2">
        <f t="shared" ca="1" si="0"/>
        <v>46245</v>
      </c>
      <c r="P22" s="17">
        <f ca="1">Table1[[#This Row],[Today]]-Table1[[#This Row],[Order_Date]]</f>
        <v>295</v>
      </c>
      <c r="Q22" s="2">
        <v>45678</v>
      </c>
      <c r="R22" s="2">
        <v>45950</v>
      </c>
      <c r="S22" s="6">
        <f t="shared" si="4"/>
        <v>2025</v>
      </c>
      <c r="T22" s="7" t="str">
        <f t="shared" si="5"/>
        <v>October</v>
      </c>
      <c r="U22" s="2">
        <f>WORKDAY(Table1[[#This Row],[Order_Date]],5)</f>
        <v>45957</v>
      </c>
      <c r="V22" s="7" t="str">
        <f>CONCATENATE(Table1[[#This Row],[Customer_ID]],Table1[[#This Row],[Customer_Name]])</f>
        <v>C1056Priya Verma</v>
      </c>
      <c r="W22" t="s">
        <v>334</v>
      </c>
      <c r="X22" t="s">
        <v>335</v>
      </c>
      <c r="Y22">
        <f>COUNTA(Table1[[#This Row],[Customer_Name]])</f>
        <v>1</v>
      </c>
      <c r="Z22" t="str">
        <f>SUBSTITUTE(Table1[[#This Row],[Customer_Name]]," ","_")</f>
        <v>Priya_Verma</v>
      </c>
      <c r="AA22" s="10">
        <f>IFERROR(SEARCH("a",Table1[[#This Row],[Customer_Name]]),"N/A")</f>
        <v>5</v>
      </c>
      <c r="AB22">
        <f>SEARCH(" ",Table1[[#This Row],[Customer_Name]])</f>
        <v>6</v>
      </c>
      <c r="AC22" s="11">
        <f>IFERROR(FIND("a",Table1[[#This Row],[Customer_Name]]),"N/A")</f>
        <v>5</v>
      </c>
      <c r="AD22">
        <f>FIND(" ",Table1[[#This Row],[Customer_Name]])</f>
        <v>6</v>
      </c>
      <c r="AE22" t="str">
        <f>TRIM(Table1[[#This Row],[Customer_Name]])</f>
        <v>Priya Verma</v>
      </c>
      <c r="AF22">
        <f>LEN(Table1[[#This Row],[Trimmed]])</f>
        <v>11</v>
      </c>
      <c r="AG22">
        <f>MAX(Table1[Length])</f>
        <v>15</v>
      </c>
      <c r="AH22" t="str">
        <f>PROPER(Table1[[#This Row],[Customer_Name]])</f>
        <v>Priya Verma</v>
      </c>
      <c r="AI22" t="str">
        <f>LOWER(Table1[[#This Row],[Customer_Name]])</f>
        <v>priya verma</v>
      </c>
      <c r="AJ22" t="str">
        <f>UPPER(Table1[[#This Row],[Customer_Name]])</f>
        <v>PRIYA VERMA</v>
      </c>
      <c r="AK22" t="str">
        <f>CONCATENATE(Table1[[#This Row],[Customer_ID]],Table1[[#This Row],[Customer_Name]])</f>
        <v>C1056Priya Verma</v>
      </c>
      <c r="AL22" t="s">
        <v>174</v>
      </c>
      <c r="AM22" t="s">
        <v>336</v>
      </c>
      <c r="AN22" t="s">
        <v>337</v>
      </c>
      <c r="AO22" t="s">
        <v>174</v>
      </c>
      <c r="AP22" t="s">
        <v>336</v>
      </c>
      <c r="AQ22" t="s">
        <v>284</v>
      </c>
      <c r="AR22" t="str">
        <f>TRIM(Table1[[#This Row],[City]])</f>
        <v>Hyderabad</v>
      </c>
      <c r="AS22" t="str">
        <f>PROPER(Table1[[#This Row],[City]])</f>
        <v>Hyderabad</v>
      </c>
      <c r="AT22" t="s">
        <v>285</v>
      </c>
      <c r="AU22" t="str">
        <f>CONCATENATE(Table1[[#This Row],[City]],Table1[[#This Row],[State]])</f>
        <v>HyderabadTelangana</v>
      </c>
      <c r="AV22" t="s">
        <v>168</v>
      </c>
      <c r="AW22" t="s">
        <v>338</v>
      </c>
      <c r="AX22" t="str">
        <f>REPLACE(Table1[[#This Row],[Product_ID]],1,1,"s")</f>
        <v>s115</v>
      </c>
      <c r="AY22" t="s">
        <v>339</v>
      </c>
      <c r="AZ22">
        <f>SEARCH("-",Table1[[#This Row],[Product ID]])</f>
        <v>2</v>
      </c>
      <c r="BA22">
        <f>FIND("-",Table1[[#This Row],[Product ID]])</f>
        <v>2</v>
      </c>
      <c r="BB22" t="str">
        <f>MID(Table1[[#This Row],[Product_ID]],2,3)</f>
        <v>115</v>
      </c>
      <c r="BC22" t="str">
        <f>RIGHT(Table1[[#This Row],[Product_ID]],3)</f>
        <v>115</v>
      </c>
      <c r="BD22" t="str">
        <f>LEFT(Table1[[#This Row],[Product_ID]],3)</f>
        <v>P11</v>
      </c>
      <c r="BE22" t="str">
        <f>_xlfn.XLOOKUP(Table1[[#This Row],[Product_ID]],AW:AW,BF:BF,,0)</f>
        <v>Dumbbell Set</v>
      </c>
      <c r="BF22" t="s">
        <v>340</v>
      </c>
      <c r="BG22">
        <f>LEN(Table1[[#This Row],[Product_Name]])</f>
        <v>12</v>
      </c>
      <c r="BH22" t="s">
        <v>264</v>
      </c>
      <c r="BI22">
        <f t="shared" si="7"/>
        <v>75</v>
      </c>
      <c r="BJ22" t="str">
        <f>SUBSTITUTE(Table1[[#This Row],[Category]],"Electronics","ELECTRONICS")</f>
        <v>Sports</v>
      </c>
      <c r="BN22" t="s">
        <v>265</v>
      </c>
      <c r="BS22" s="14">
        <v>4</v>
      </c>
      <c r="BT22" s="3">
        <v>2499</v>
      </c>
      <c r="BU22" s="4">
        <v>25</v>
      </c>
      <c r="BV22" s="4" t="str">
        <f>IF(AND(Table1[[#This Row],[Quantity]]&gt;=3,Table1[[#This Row],[Discount_%]]&gt;=15%),"Bulk Discount","no")</f>
        <v>Bulk Discount</v>
      </c>
      <c r="BW22" s="4" t="str">
        <f>IF(AND(Table1[[#This Row],[Quantity]]&gt;3,Table1[[#This Row],[Discount_%]]&gt;15%),"Bulk Customer","Normal")</f>
        <v>Bulk Customer</v>
      </c>
      <c r="BX22" t="s">
        <v>135</v>
      </c>
      <c r="BY22" t="s">
        <v>136</v>
      </c>
      <c r="CC22" t="str">
        <f>IF(OR(Table1[[#This Row],[Order_Status]]="Returned",Table1[[#This Row],[Order_Status]]="Cancelled"),"Attention Required","Not")</f>
        <v>Not</v>
      </c>
      <c r="CD22" t="str">
        <f>IF(OR(Table1[[#This Row],[Order_Status]]="Returned",Table1[[#This Row],[Order_Status]]="Cancelled"),"Review","no")</f>
        <v>no</v>
      </c>
      <c r="CE22" t="str">
        <f>SUBSTITUTE(Table1[[#This Row],[Order_Status]],"Delivered","Completed")</f>
        <v>Completed</v>
      </c>
      <c r="CF22" s="2">
        <v>45954</v>
      </c>
      <c r="CG22" s="17">
        <f>NETWORKDAYS(Table1[[#This Row],[Order_Date]],Table1[[#This Row],[Delivery_Date]])</f>
        <v>5</v>
      </c>
      <c r="CH22" s="17">
        <f>Table1[[#This Row],[Delivery_Date]]-Table1[[#This Row],[Order_Date]]</f>
        <v>4</v>
      </c>
      <c r="CI22" t="s">
        <v>137</v>
      </c>
      <c r="CJ22" t="str">
        <f>IF(Table1[[#This Row],[Rating]]&gt;=4,"Good","Needs Improvement")</f>
        <v>Good</v>
      </c>
      <c r="CK22" t="str">
        <f>IF(OR(Table1[[#This Row],[Rating]]&lt;=2,Table1[[#This Row],[Profit]]&lt;0),"Review","NO")</f>
        <v>NO</v>
      </c>
      <c r="CL22" t="str" cm="1">
        <f t="array" ref="CL22">_xlfn.IFS(Table1[[#This Row],[Rating]]&gt;2,"Poor",Table1[[#This Row],[Rating]]=3,"Average",Table1[[#This Row],[Rating]]=4,"Good",CP22=5,"Excellent")</f>
        <v>Poor</v>
      </c>
      <c r="CM22">
        <f>COUNT(Table1[[#This Row],[Rating]])</f>
        <v>1</v>
      </c>
      <c r="CN22">
        <f>COUNTBLANK(Table1[[#This Row],[Rating]])</f>
        <v>0</v>
      </c>
      <c r="CQ22" s="14">
        <v>4</v>
      </c>
      <c r="CR22" t="s">
        <v>204</v>
      </c>
      <c r="CS22" t="s">
        <v>140</v>
      </c>
      <c r="CU22" s="3">
        <v>7497</v>
      </c>
      <c r="CV22" s="3">
        <f>ROUND(Table1[[#This Row],[Sales_Amount]],0)</f>
        <v>7497</v>
      </c>
      <c r="CW22" s="3"/>
      <c r="CX22" s="3"/>
      <c r="CY22" s="3" t="b">
        <f>IF(AND(Table1[[#This Row],[Sales_Amount]]&gt;=10000,Table1[[#This Row],[Profit]]&gt;0),"Good Order")</f>
        <v>0</v>
      </c>
      <c r="CZ22" s="3" t="str">
        <f>IF(Table1[[#This Row],[Sales_Amount]]&gt;=10000,"High","Normal")</f>
        <v>Normal</v>
      </c>
      <c r="DA22" s="3">
        <v>1697</v>
      </c>
      <c r="DB22" s="3">
        <f>ROUND(Table1[[#This Row],[Profit]],0)</f>
        <v>1697</v>
      </c>
      <c r="DC22" s="3">
        <f>ABS(Table1[[#This Row],[Profit]])</f>
        <v>1697</v>
      </c>
      <c r="DD22" s="3"/>
      <c r="DE22" s="3"/>
      <c r="DF22" s="3"/>
      <c r="DG22" s="3" t="str">
        <f>IF(Table1[[#This Row],[Profit]]&gt;0,"Profit","Loss")</f>
        <v>Profit</v>
      </c>
      <c r="DH22" s="3" t="str">
        <f>IF(AND(Table1[[#This Row],[Sales_Amount]]&gt;=10000,Table1[[#This Row],[Profit]]&gt;0),"Priority","Normal")</f>
        <v>Normal</v>
      </c>
      <c r="DI22" s="3">
        <f t="shared" ca="1" si="2"/>
        <v>0.37119022802984281</v>
      </c>
      <c r="DJ22" s="3">
        <f t="shared" ca="1" si="3"/>
        <v>2</v>
      </c>
      <c r="DK22" s="3"/>
      <c r="DL22" s="3"/>
      <c r="DM22" s="3"/>
      <c r="DN22" s="3"/>
      <c r="DO22" s="3"/>
      <c r="DP22" s="3"/>
    </row>
    <row r="23" spans="1:120">
      <c r="A23" t="s">
        <v>341</v>
      </c>
      <c r="B23" t="str">
        <f>REPLACE(Table1[[#This Row],[Order_ID]],1,3,"YOO")</f>
        <v>YOO10022</v>
      </c>
      <c r="C23" t="str">
        <f>MID(Table1[[#This Row],[Order_ID]],4,4)</f>
        <v>1002</v>
      </c>
      <c r="D23" t="str">
        <f>LEFT(Table1[[#This Row],[Order_ID]],4)</f>
        <v>ORD1</v>
      </c>
      <c r="E23" t="str">
        <f>RIGHT(Table1[[#This Row],[Order_ID]],5)</f>
        <v>10022</v>
      </c>
      <c r="F23" t="s">
        <v>5</v>
      </c>
      <c r="G23">
        <v>10022</v>
      </c>
      <c r="H23" t="s">
        <v>342</v>
      </c>
      <c r="I23" s="2">
        <f>EDATE(Table1[[#This Row],[Order_Date]],3)</f>
        <v>45805</v>
      </c>
      <c r="J23" s="2">
        <f>EDATE(Table1[[#This Row],[Order_Date]],6)</f>
        <v>45897</v>
      </c>
      <c r="K23">
        <f ca="1">YEAR(Table1[[#This Row],[Today]])</f>
        <v>2026</v>
      </c>
      <c r="L23">
        <v>22</v>
      </c>
      <c r="M23">
        <f ca="1">DAY(Table1[[#This Row],[Today]])</f>
        <v>11</v>
      </c>
      <c r="N23" s="19">
        <f t="shared" ca="1" si="6"/>
        <v>46245.589795138891</v>
      </c>
      <c r="O23" s="2">
        <f t="shared" ca="1" si="0"/>
        <v>46245</v>
      </c>
      <c r="P23" s="17">
        <f ca="1">Table1[[#This Row],[Today]]-Table1[[#This Row],[Order_Date]]</f>
        <v>529</v>
      </c>
      <c r="Q23" s="2">
        <v>45679</v>
      </c>
      <c r="R23" s="2">
        <v>45716</v>
      </c>
      <c r="S23" s="6">
        <f t="shared" si="4"/>
        <v>2025</v>
      </c>
      <c r="T23" s="7" t="str">
        <f t="shared" si="5"/>
        <v>February</v>
      </c>
      <c r="U23" s="2">
        <f>WORKDAY(Table1[[#This Row],[Order_Date]],5)</f>
        <v>45723</v>
      </c>
      <c r="V23" s="7" t="str">
        <f>CONCATENATE(Table1[[#This Row],[Customer_ID]],Table1[[#This Row],[Customer_Name]])</f>
        <v>C1131Aman Singh</v>
      </c>
      <c r="W23" t="s">
        <v>343</v>
      </c>
      <c r="X23" t="s">
        <v>123</v>
      </c>
      <c r="Y23">
        <f>COUNTA(Table1[[#This Row],[Customer_Name]])</f>
        <v>1</v>
      </c>
      <c r="Z23" t="str">
        <f>SUBSTITUTE(Table1[[#This Row],[Customer_Name]]," ","_")</f>
        <v>Aman_Singh</v>
      </c>
      <c r="AA23" s="10">
        <f>IFERROR(SEARCH("a",Table1[[#This Row],[Customer_Name]]),"N/A")</f>
        <v>1</v>
      </c>
      <c r="AB23">
        <f>SEARCH(" ",Table1[[#This Row],[Customer_Name]])</f>
        <v>5</v>
      </c>
      <c r="AC23" s="11">
        <f>IFERROR(FIND("a",Table1[[#This Row],[Customer_Name]]),"N/A")</f>
        <v>3</v>
      </c>
      <c r="AD23">
        <f>FIND(" ",Table1[[#This Row],[Customer_Name]])</f>
        <v>5</v>
      </c>
      <c r="AE23" t="str">
        <f>TRIM(Table1[[#This Row],[Customer_Name]])</f>
        <v>Aman Singh</v>
      </c>
      <c r="AF23">
        <f>LEN(Table1[[#This Row],[Trimmed]])</f>
        <v>10</v>
      </c>
      <c r="AG23">
        <f>MAX(Table1[Length])</f>
        <v>15</v>
      </c>
      <c r="AH23" t="str">
        <f>PROPER(Table1[[#This Row],[Customer_Name]])</f>
        <v>Aman Singh</v>
      </c>
      <c r="AI23" t="str">
        <f>LOWER(Table1[[#This Row],[Customer_Name]])</f>
        <v>aman singh</v>
      </c>
      <c r="AJ23" t="str">
        <f>UPPER(Table1[[#This Row],[Customer_Name]])</f>
        <v>AMAN SINGH</v>
      </c>
      <c r="AK23" t="str">
        <f>CONCATENATE(Table1[[#This Row],[Customer_ID]],Table1[[#This Row],[Customer_Name]])</f>
        <v>C1131Aman Singh</v>
      </c>
      <c r="AL23" t="s">
        <v>124</v>
      </c>
      <c r="AM23" t="s">
        <v>125</v>
      </c>
      <c r="AN23" t="s">
        <v>126</v>
      </c>
      <c r="AO23" t="s">
        <v>124</v>
      </c>
      <c r="AP23" t="s">
        <v>125</v>
      </c>
      <c r="AQ23" t="s">
        <v>344</v>
      </c>
      <c r="AR23" t="str">
        <f>TRIM(Table1[[#This Row],[City]])</f>
        <v>Bhopal</v>
      </c>
      <c r="AS23" t="str">
        <f>PROPER(Table1[[#This Row],[City]])</f>
        <v>Bhopal</v>
      </c>
      <c r="AT23" t="s">
        <v>345</v>
      </c>
      <c r="AU23" t="str">
        <f>CONCATENATE(Table1[[#This Row],[City]],Table1[[#This Row],[State]])</f>
        <v>BhopalMadhya Pradesh</v>
      </c>
      <c r="AV23" t="s">
        <v>346</v>
      </c>
      <c r="AW23" t="s">
        <v>169</v>
      </c>
      <c r="AX23" t="str">
        <f>REPLACE(Table1[[#This Row],[Product_ID]],1,1,"s")</f>
        <v>s112</v>
      </c>
      <c r="AY23" t="s">
        <v>347</v>
      </c>
      <c r="AZ23">
        <f>SEARCH("-",Table1[[#This Row],[Product ID]])</f>
        <v>2</v>
      </c>
      <c r="BA23">
        <f>FIND("-",Table1[[#This Row],[Product ID]])</f>
        <v>2</v>
      </c>
      <c r="BB23" t="str">
        <f>MID(Table1[[#This Row],[Product_ID]],2,3)</f>
        <v>112</v>
      </c>
      <c r="BC23" t="str">
        <f>RIGHT(Table1[[#This Row],[Product_ID]],3)</f>
        <v>112</v>
      </c>
      <c r="BD23" t="str">
        <f>LEFT(Table1[[#This Row],[Product_ID]],3)</f>
        <v>P11</v>
      </c>
      <c r="BE23" t="str">
        <f>_xlfn.XLOOKUP(Table1[[#This Row],[Product_ID]],AW:AW,BF:BF,,0)</f>
        <v>Air Fryer</v>
      </c>
      <c r="BF23" t="s">
        <v>171</v>
      </c>
      <c r="BG23">
        <f>LEN(Table1[[#This Row],[Product_Name]])</f>
        <v>9</v>
      </c>
      <c r="BH23" t="s">
        <v>133</v>
      </c>
      <c r="BI23">
        <f t="shared" si="7"/>
        <v>75</v>
      </c>
      <c r="BJ23" t="str">
        <f>SUBSTITUTE(Table1[[#This Row],[Category]],"Electronics","ELECTRONICS")</f>
        <v>Home</v>
      </c>
      <c r="BN23" t="s">
        <v>134</v>
      </c>
      <c r="BS23" s="14">
        <v>1</v>
      </c>
      <c r="BT23" s="3">
        <v>6499</v>
      </c>
      <c r="BU23" s="4">
        <v>25</v>
      </c>
      <c r="BV23" s="4" t="str">
        <f>IF(AND(Table1[[#This Row],[Quantity]]&gt;=3,Table1[[#This Row],[Discount_%]]&gt;=15%),"Bulk Discount","no")</f>
        <v>no</v>
      </c>
      <c r="BW23" s="4" t="str">
        <f>IF(AND(Table1[[#This Row],[Quantity]]&gt;3,Table1[[#This Row],[Discount_%]]&gt;15%),"Bulk Customer","Normal")</f>
        <v>Normal</v>
      </c>
      <c r="BX23" t="s">
        <v>187</v>
      </c>
      <c r="BY23" t="s">
        <v>156</v>
      </c>
      <c r="CC23" t="str">
        <f>IF(OR(Table1[[#This Row],[Order_Status]]="Returned",Table1[[#This Row],[Order_Status]]="Cancelled"),"Attention Required","Not")</f>
        <v>Attention Required</v>
      </c>
      <c r="CD23" t="str">
        <f>IF(OR(Table1[[#This Row],[Order_Status]]="Returned",Table1[[#This Row],[Order_Status]]="Cancelled"),"Review","no")</f>
        <v>Review</v>
      </c>
      <c r="CE23" t="str">
        <f>SUBSTITUTE(Table1[[#This Row],[Order_Status]],"Delivered","Completed")</f>
        <v>Cancelled</v>
      </c>
      <c r="CF23" s="2">
        <v>45719</v>
      </c>
      <c r="CG23" s="17">
        <f>NETWORKDAYS(Table1[[#This Row],[Order_Date]],Table1[[#This Row],[Delivery_Date]])</f>
        <v>2</v>
      </c>
      <c r="CH23" s="17">
        <f>Table1[[#This Row],[Delivery_Date]]-Table1[[#This Row],[Order_Date]]</f>
        <v>3</v>
      </c>
      <c r="CI23" t="s">
        <v>137</v>
      </c>
      <c r="CJ23" t="str">
        <f>IF(Table1[[#This Row],[Rating]]&gt;=4,"Good","Needs Improvement")</f>
        <v>Needs Improvement</v>
      </c>
      <c r="CK23" t="str">
        <f>IF(OR(Table1[[#This Row],[Rating]]&lt;=2,Table1[[#This Row],[Profit]]&lt;0),"Review","NO")</f>
        <v>Review</v>
      </c>
      <c r="CL23" t="e" cm="1">
        <f t="array" ref="CL23">_xlfn.IFS(Table1[[#This Row],[Rating]]&gt;2,"Poor",Table1[[#This Row],[Rating]]=3,"Average",Table1[[#This Row],[Rating]]=4,"Good",CP23=5,"Excellent")</f>
        <v>#N/A</v>
      </c>
      <c r="CM23">
        <f>COUNT(Table1[[#This Row],[Rating]])</f>
        <v>1</v>
      </c>
      <c r="CN23">
        <f>COUNTBLANK(Table1[[#This Row],[Rating]])</f>
        <v>0</v>
      </c>
      <c r="CP23" t="s">
        <v>331</v>
      </c>
      <c r="CQ23" s="14">
        <v>1</v>
      </c>
      <c r="CR23" t="s">
        <v>204</v>
      </c>
      <c r="CS23" t="s">
        <v>140</v>
      </c>
      <c r="CU23" s="3">
        <v>4874.25</v>
      </c>
      <c r="CV23" s="3">
        <f>ROUND(Table1[[#This Row],[Sales_Amount]],0)</f>
        <v>4874</v>
      </c>
      <c r="CW23" s="3"/>
      <c r="CX23" s="3"/>
      <c r="CY23" s="3" t="b">
        <f>IF(AND(Table1[[#This Row],[Sales_Amount]]&gt;=10000,Table1[[#This Row],[Profit]]&gt;0),"Good Order")</f>
        <v>0</v>
      </c>
      <c r="CZ23" s="3" t="str">
        <f>IF(Table1[[#This Row],[Sales_Amount]]&gt;=10000,"High","Normal")</f>
        <v>Normal</v>
      </c>
      <c r="DA23" s="3">
        <v>574.25</v>
      </c>
      <c r="DB23" s="3">
        <f>ROUND(Table1[[#This Row],[Profit]],0)</f>
        <v>574</v>
      </c>
      <c r="DC23" s="3">
        <f>ABS(Table1[[#This Row],[Profit]])</f>
        <v>574.25</v>
      </c>
      <c r="DD23" s="3"/>
      <c r="DE23" s="3"/>
      <c r="DF23" s="3"/>
      <c r="DG23" s="3" t="str">
        <f>IF(Table1[[#This Row],[Profit]]&gt;0,"Profit","Loss")</f>
        <v>Profit</v>
      </c>
      <c r="DH23" s="3" t="str">
        <f>IF(AND(Table1[[#This Row],[Sales_Amount]]&gt;=10000,Table1[[#This Row],[Profit]]&gt;0),"Priority","Normal")</f>
        <v>Normal</v>
      </c>
      <c r="DI23" s="3">
        <f t="shared" ca="1" si="2"/>
        <v>0.98365799606008353</v>
      </c>
      <c r="DJ23" s="3">
        <f t="shared" ca="1" si="3"/>
        <v>76</v>
      </c>
      <c r="DK23" s="3"/>
      <c r="DL23" s="3"/>
      <c r="DM23" s="3"/>
      <c r="DN23" s="3"/>
      <c r="DO23" s="3"/>
      <c r="DP23" s="3"/>
    </row>
    <row r="24" spans="1:120">
      <c r="A24" t="s">
        <v>348</v>
      </c>
      <c r="B24" t="str">
        <f>REPLACE(Table1[[#This Row],[Order_ID]],1,3,"YOO")</f>
        <v>YOO10023</v>
      </c>
      <c r="C24" t="str">
        <f>MID(Table1[[#This Row],[Order_ID]],4,4)</f>
        <v>1002</v>
      </c>
      <c r="D24" t="str">
        <f>LEFT(Table1[[#This Row],[Order_ID]],4)</f>
        <v>ORD1</v>
      </c>
      <c r="E24" t="str">
        <f>RIGHT(Table1[[#This Row],[Order_ID]],5)</f>
        <v>10023</v>
      </c>
      <c r="F24" t="s">
        <v>5</v>
      </c>
      <c r="G24">
        <v>10023</v>
      </c>
      <c r="H24" t="s">
        <v>349</v>
      </c>
      <c r="I24" s="2">
        <f>EDATE(Table1[[#This Row],[Order_Date]],3)</f>
        <v>46160</v>
      </c>
      <c r="J24" s="2">
        <f>EDATE(Table1[[#This Row],[Order_Date]],6)</f>
        <v>46252</v>
      </c>
      <c r="K24">
        <f ca="1">YEAR(Table1[[#This Row],[Today]])</f>
        <v>2026</v>
      </c>
      <c r="L24">
        <v>23</v>
      </c>
      <c r="M24">
        <f ca="1">DAY(Table1[[#This Row],[Today]])</f>
        <v>11</v>
      </c>
      <c r="N24" s="19">
        <f t="shared" ca="1" si="6"/>
        <v>46245.589795370368</v>
      </c>
      <c r="O24" s="2">
        <f t="shared" ca="1" si="0"/>
        <v>46245</v>
      </c>
      <c r="P24" s="17">
        <f ca="1">Table1[[#This Row],[Today]]-Table1[[#This Row],[Order_Date]]</f>
        <v>174</v>
      </c>
      <c r="Q24" s="2">
        <v>45680</v>
      </c>
      <c r="R24" s="2">
        <v>46071</v>
      </c>
      <c r="S24" s="6">
        <f t="shared" si="4"/>
        <v>2026</v>
      </c>
      <c r="T24" s="7" t="str">
        <f t="shared" si="5"/>
        <v>February</v>
      </c>
      <c r="U24" s="2">
        <f>WORKDAY(Table1[[#This Row],[Order_Date]],5)</f>
        <v>46078</v>
      </c>
      <c r="V24" s="7" t="str">
        <f>CONCATENATE(Table1[[#This Row],[Customer_ID]],Table1[[#This Row],[Customer_Name]])</f>
        <v>C1108Varun Tiwari</v>
      </c>
      <c r="W24" t="s">
        <v>350</v>
      </c>
      <c r="X24" t="s">
        <v>178</v>
      </c>
      <c r="Y24">
        <f>COUNTA(Table1[[#This Row],[Customer_Name]])</f>
        <v>1</v>
      </c>
      <c r="Z24" t="str">
        <f>SUBSTITUTE(Table1[[#This Row],[Customer_Name]]," ","_")</f>
        <v>Varun_Tiwari</v>
      </c>
      <c r="AA24" s="10">
        <f>IFERROR(SEARCH("a",Table1[[#This Row],[Customer_Name]]),"N/A")</f>
        <v>2</v>
      </c>
      <c r="AB24">
        <f>SEARCH(" ",Table1[[#This Row],[Customer_Name]])</f>
        <v>6</v>
      </c>
      <c r="AC24" s="11">
        <f>IFERROR(FIND("a",Table1[[#This Row],[Customer_Name]]),"N/A")</f>
        <v>2</v>
      </c>
      <c r="AD24">
        <f>FIND(" ",Table1[[#This Row],[Customer_Name]])</f>
        <v>6</v>
      </c>
      <c r="AE24" t="str">
        <f>TRIM(Table1[[#This Row],[Customer_Name]])</f>
        <v>Varun Tiwari</v>
      </c>
      <c r="AF24">
        <f>LEN(Table1[[#This Row],[Trimmed]])</f>
        <v>12</v>
      </c>
      <c r="AG24">
        <f>MAX(Table1[Length])</f>
        <v>15</v>
      </c>
      <c r="AH24" t="str">
        <f>PROPER(Table1[[#This Row],[Customer_Name]])</f>
        <v>Varun Tiwari</v>
      </c>
      <c r="AI24" t="str">
        <f>LOWER(Table1[[#This Row],[Customer_Name]])</f>
        <v>varun tiwari</v>
      </c>
      <c r="AJ24" t="str">
        <f>UPPER(Table1[[#This Row],[Customer_Name]])</f>
        <v>VARUN TIWARI</v>
      </c>
      <c r="AK24" t="str">
        <f>CONCATENATE(Table1[[#This Row],[Customer_ID]],Table1[[#This Row],[Customer_Name]])</f>
        <v>C1108Varun Tiwari</v>
      </c>
      <c r="AL24" t="s">
        <v>179</v>
      </c>
      <c r="AM24" t="s">
        <v>180</v>
      </c>
      <c r="AN24" t="s">
        <v>181</v>
      </c>
      <c r="AO24" t="s">
        <v>179</v>
      </c>
      <c r="AP24" t="s">
        <v>180</v>
      </c>
      <c r="AQ24" t="s">
        <v>148</v>
      </c>
      <c r="AR24" t="str">
        <f>TRIM(Table1[[#This Row],[City]])</f>
        <v>Jaipur</v>
      </c>
      <c r="AS24" t="str">
        <f>PROPER(Table1[[#This Row],[City]])</f>
        <v>Jaipur</v>
      </c>
      <c r="AT24" t="s">
        <v>149</v>
      </c>
      <c r="AU24" t="str">
        <f>CONCATENATE(Table1[[#This Row],[City]],Table1[[#This Row],[State]])</f>
        <v>JaipurRajasthan</v>
      </c>
      <c r="AV24" t="s">
        <v>150</v>
      </c>
      <c r="AW24" t="s">
        <v>130</v>
      </c>
      <c r="AX24" t="str">
        <f>REPLACE(Table1[[#This Row],[Product_ID]],1,1,"s")</f>
        <v>s111</v>
      </c>
      <c r="AY24" t="s">
        <v>351</v>
      </c>
      <c r="AZ24">
        <f>SEARCH("-",Table1[[#This Row],[Product ID]])</f>
        <v>2</v>
      </c>
      <c r="BA24">
        <f>FIND("-",Table1[[#This Row],[Product ID]])</f>
        <v>2</v>
      </c>
      <c r="BB24" t="str">
        <f>MID(Table1[[#This Row],[Product_ID]],2,3)</f>
        <v>111</v>
      </c>
      <c r="BC24" t="str">
        <f>RIGHT(Table1[[#This Row],[Product_ID]],3)</f>
        <v>111</v>
      </c>
      <c r="BD24" t="str">
        <f>LEFT(Table1[[#This Row],[Product_ID]],3)</f>
        <v>P11</v>
      </c>
      <c r="BE24" t="str">
        <f>_xlfn.XLOOKUP(Table1[[#This Row],[Product_ID]],AW:AW,BF:BF,,0)</f>
        <v>Coffee Maker</v>
      </c>
      <c r="BF24" t="s">
        <v>132</v>
      </c>
      <c r="BG24">
        <f>LEN(Table1[[#This Row],[Product_Name]])</f>
        <v>12</v>
      </c>
      <c r="BH24" t="s">
        <v>133</v>
      </c>
      <c r="BI24">
        <f t="shared" si="7"/>
        <v>75</v>
      </c>
      <c r="BJ24" t="str">
        <f>SUBSTITUTE(Table1[[#This Row],[Category]],"Electronics","ELECTRONICS")</f>
        <v>Home</v>
      </c>
      <c r="BN24" t="s">
        <v>134</v>
      </c>
      <c r="BS24" s="14">
        <v>1</v>
      </c>
      <c r="BT24" s="3">
        <v>3999</v>
      </c>
      <c r="BU24" s="4">
        <v>10</v>
      </c>
      <c r="BV24" s="4" t="str">
        <f>IF(AND(Table1[[#This Row],[Quantity]]&gt;=3,Table1[[#This Row],[Discount_%]]&gt;=15%),"Bulk Discount","no")</f>
        <v>no</v>
      </c>
      <c r="BW24" s="4" t="str">
        <f>IF(AND(Table1[[#This Row],[Quantity]]&gt;3,Table1[[#This Row],[Discount_%]]&gt;15%),"Bulk Customer","Normal")</f>
        <v>Normal</v>
      </c>
      <c r="BX24" t="s">
        <v>135</v>
      </c>
      <c r="BY24" t="s">
        <v>156</v>
      </c>
      <c r="CC24" t="str">
        <f>IF(OR(Table1[[#This Row],[Order_Status]]="Returned",Table1[[#This Row],[Order_Status]]="Cancelled"),"Attention Required","Not")</f>
        <v>Attention Required</v>
      </c>
      <c r="CD24" t="str">
        <f>IF(OR(Table1[[#This Row],[Order_Status]]="Returned",Table1[[#This Row],[Order_Status]]="Cancelled"),"Review","no")</f>
        <v>Review</v>
      </c>
      <c r="CE24" t="str">
        <f>SUBSTITUTE(Table1[[#This Row],[Order_Status]],"Delivered","Completed")</f>
        <v>Cancelled</v>
      </c>
      <c r="CF24" s="2">
        <v>46072</v>
      </c>
      <c r="CG24" s="17">
        <f>NETWORKDAYS(Table1[[#This Row],[Order_Date]],Table1[[#This Row],[Delivery_Date]])</f>
        <v>2</v>
      </c>
      <c r="CH24" s="17">
        <f>Table1[[#This Row],[Delivery_Date]]-Table1[[#This Row],[Order_Date]]</f>
        <v>1</v>
      </c>
      <c r="CI24" t="s">
        <v>137</v>
      </c>
      <c r="CJ24" t="str">
        <f>IF(Table1[[#This Row],[Rating]]&gt;=4,"Good","Needs Improvement")</f>
        <v>Needs Improvement</v>
      </c>
      <c r="CK24" t="str">
        <f>IF(OR(Table1[[#This Row],[Rating]]&lt;=2,Table1[[#This Row],[Profit]]&lt;0),"Review","NO")</f>
        <v>Review</v>
      </c>
      <c r="CL24" t="e" cm="1">
        <f t="array" ref="CL24">_xlfn.IFS(Table1[[#This Row],[Rating]]&gt;2,"Poor",Table1[[#This Row],[Rating]]=3,"Average",Table1[[#This Row],[Rating]]=4,"Good",CP24=5,"Excellent")</f>
        <v>#N/A</v>
      </c>
      <c r="CM24">
        <f>COUNT(Table1[[#This Row],[Rating]])</f>
        <v>1</v>
      </c>
      <c r="CN24">
        <f>COUNTBLANK(Table1[[#This Row],[Rating]])</f>
        <v>0</v>
      </c>
      <c r="CP24" t="s">
        <v>266</v>
      </c>
      <c r="CQ24" s="14">
        <v>2</v>
      </c>
      <c r="CR24" t="s">
        <v>173</v>
      </c>
      <c r="CS24" t="s">
        <v>195</v>
      </c>
      <c r="CU24" s="3">
        <v>3599.1</v>
      </c>
      <c r="CV24" s="3">
        <f>ROUND(Table1[[#This Row],[Sales_Amount]],0)</f>
        <v>3599</v>
      </c>
      <c r="CW24" s="3"/>
      <c r="CX24" s="3"/>
      <c r="CY24" s="3" t="b">
        <f>IF(AND(Table1[[#This Row],[Sales_Amount]]&gt;=10000,Table1[[#This Row],[Profit]]&gt;0),"Good Order")</f>
        <v>0</v>
      </c>
      <c r="CZ24" s="3" t="str">
        <f>IF(Table1[[#This Row],[Sales_Amount]]&gt;=10000,"High","Normal")</f>
        <v>Normal</v>
      </c>
      <c r="DA24" s="3">
        <v>1099.0999999999999</v>
      </c>
      <c r="DB24" s="3">
        <f>ROUND(Table1[[#This Row],[Profit]],0)</f>
        <v>1099</v>
      </c>
      <c r="DC24" s="3">
        <f>ABS(Table1[[#This Row],[Profit]])</f>
        <v>1099.0999999999999</v>
      </c>
      <c r="DD24" s="3"/>
      <c r="DE24" s="3"/>
      <c r="DF24" s="3"/>
      <c r="DG24" s="3" t="str">
        <f>IF(Table1[[#This Row],[Profit]]&gt;0,"Profit","Loss")</f>
        <v>Profit</v>
      </c>
      <c r="DH24" s="3" t="str">
        <f>IF(AND(Table1[[#This Row],[Sales_Amount]]&gt;=10000,Table1[[#This Row],[Profit]]&gt;0),"Priority","Normal")</f>
        <v>Normal</v>
      </c>
      <c r="DI24" s="3">
        <f t="shared" ca="1" si="2"/>
        <v>0.31362205024547418</v>
      </c>
      <c r="DJ24" s="3">
        <f t="shared" ca="1" si="3"/>
        <v>83</v>
      </c>
      <c r="DK24" s="3"/>
      <c r="DL24" s="3"/>
      <c r="DM24" s="3"/>
      <c r="DN24" s="3"/>
      <c r="DO24" s="3"/>
      <c r="DP24" s="3"/>
    </row>
    <row r="25" spans="1:120">
      <c r="A25" t="s">
        <v>352</v>
      </c>
      <c r="B25" t="str">
        <f>REPLACE(Table1[[#This Row],[Order_ID]],1,3,"YOO")</f>
        <v>YOO10024</v>
      </c>
      <c r="C25" t="str">
        <f>MID(Table1[[#This Row],[Order_ID]],4,4)</f>
        <v>1002</v>
      </c>
      <c r="D25" t="str">
        <f>LEFT(Table1[[#This Row],[Order_ID]],4)</f>
        <v>ORD1</v>
      </c>
      <c r="E25" t="str">
        <f>RIGHT(Table1[[#This Row],[Order_ID]],5)</f>
        <v>10024</v>
      </c>
      <c r="F25" t="s">
        <v>5</v>
      </c>
      <c r="G25">
        <v>10024</v>
      </c>
      <c r="H25" t="s">
        <v>353</v>
      </c>
      <c r="I25" s="2">
        <f>EDATE(Table1[[#This Row],[Order_Date]],3)</f>
        <v>46071</v>
      </c>
      <c r="J25" s="2">
        <f>EDATE(Table1[[#This Row],[Order_Date]],6)</f>
        <v>46160</v>
      </c>
      <c r="K25">
        <f ca="1">YEAR(Table1[[#This Row],[Today]])</f>
        <v>2026</v>
      </c>
      <c r="L25">
        <v>24</v>
      </c>
      <c r="M25">
        <f ca="1">DAY(Table1[[#This Row],[Today]])</f>
        <v>11</v>
      </c>
      <c r="N25" s="19">
        <f t="shared" ca="1" si="6"/>
        <v>46245.589795370368</v>
      </c>
      <c r="O25" s="2">
        <f t="shared" ca="1" si="0"/>
        <v>46245</v>
      </c>
      <c r="P25" s="17">
        <f ca="1">Table1[[#This Row],[Today]]-Table1[[#This Row],[Order_Date]]</f>
        <v>266</v>
      </c>
      <c r="Q25" s="2">
        <v>45681</v>
      </c>
      <c r="R25" s="2">
        <v>45979</v>
      </c>
      <c r="S25" s="6">
        <f t="shared" si="4"/>
        <v>2025</v>
      </c>
      <c r="T25" s="7" t="str">
        <f t="shared" si="5"/>
        <v>November</v>
      </c>
      <c r="U25" s="2">
        <f>WORKDAY(Table1[[#This Row],[Order_Date]],5)</f>
        <v>45986</v>
      </c>
      <c r="V25" s="7" t="str">
        <f>CONCATENATE(Table1[[#This Row],[Customer_ID]],Table1[[#This Row],[Customer_Name]])</f>
        <v>C1118Arjun Rao</v>
      </c>
      <c r="W25" t="s">
        <v>354</v>
      </c>
      <c r="X25" t="s">
        <v>355</v>
      </c>
      <c r="Y25">
        <f>COUNTA(Table1[[#This Row],[Customer_Name]])</f>
        <v>1</v>
      </c>
      <c r="Z25" t="str">
        <f>SUBSTITUTE(Table1[[#This Row],[Customer_Name]]," ","_")</f>
        <v>Arjun_Rao</v>
      </c>
      <c r="AA25" s="10">
        <f>IFERROR(SEARCH("a",Table1[[#This Row],[Customer_Name]]),"N/A")</f>
        <v>1</v>
      </c>
      <c r="AB25">
        <f>SEARCH(" ",Table1[[#This Row],[Customer_Name]])</f>
        <v>6</v>
      </c>
      <c r="AC25" s="11">
        <f>IFERROR(FIND("a",Table1[[#This Row],[Customer_Name]]),"N/A")</f>
        <v>8</v>
      </c>
      <c r="AD25">
        <f>FIND(" ",Table1[[#This Row],[Customer_Name]])</f>
        <v>6</v>
      </c>
      <c r="AE25" t="str">
        <f>TRIM(Table1[[#This Row],[Customer_Name]])</f>
        <v>Arjun Rao</v>
      </c>
      <c r="AF25">
        <f>LEN(Table1[[#This Row],[Trimmed]])</f>
        <v>9</v>
      </c>
      <c r="AG25">
        <f>MAX(Table1[Length])</f>
        <v>15</v>
      </c>
      <c r="AH25" t="str">
        <f>PROPER(Table1[[#This Row],[Customer_Name]])</f>
        <v>Arjun Rao</v>
      </c>
      <c r="AI25" t="str">
        <f>LOWER(Table1[[#This Row],[Customer_Name]])</f>
        <v>arjun rao</v>
      </c>
      <c r="AJ25" t="str">
        <f>UPPER(Table1[[#This Row],[Customer_Name]])</f>
        <v>ARJUN RAO</v>
      </c>
      <c r="AK25" t="str">
        <f>CONCATENATE(Table1[[#This Row],[Customer_ID]],Table1[[#This Row],[Customer_Name]])</f>
        <v>C1118Arjun Rao</v>
      </c>
      <c r="AL25" t="s">
        <v>356</v>
      </c>
      <c r="AM25" t="s">
        <v>357</v>
      </c>
      <c r="AN25" t="s">
        <v>358</v>
      </c>
      <c r="AO25" t="s">
        <v>356</v>
      </c>
      <c r="AP25" t="s">
        <v>357</v>
      </c>
      <c r="AQ25" t="s">
        <v>199</v>
      </c>
      <c r="AR25" t="str">
        <f>TRIM(Table1[[#This Row],[City]])</f>
        <v>Lucknow</v>
      </c>
      <c r="AS25" t="str">
        <f>PROPER(Table1[[#This Row],[City]])</f>
        <v>Lucknow</v>
      </c>
      <c r="AT25" t="s">
        <v>200</v>
      </c>
      <c r="AU25" t="str">
        <f>CONCATENATE(Table1[[#This Row],[City]],Table1[[#This Row],[State]])</f>
        <v>LucknowUttar Pradesh</v>
      </c>
      <c r="AV25" t="s">
        <v>150</v>
      </c>
      <c r="AW25" t="s">
        <v>201</v>
      </c>
      <c r="AX25" t="str">
        <f>REPLACE(Table1[[#This Row],[Product_ID]],1,1,"s")</f>
        <v>s104</v>
      </c>
      <c r="AY25" t="s">
        <v>359</v>
      </c>
      <c r="AZ25">
        <f>SEARCH("-",Table1[[#This Row],[Product ID]])</f>
        <v>2</v>
      </c>
      <c r="BA25">
        <f>FIND("-",Table1[[#This Row],[Product ID]])</f>
        <v>2</v>
      </c>
      <c r="BB25" t="str">
        <f>MID(Table1[[#This Row],[Product_ID]],2,3)</f>
        <v>104</v>
      </c>
      <c r="BC25" t="str">
        <f>RIGHT(Table1[[#This Row],[Product_ID]],3)</f>
        <v>104</v>
      </c>
      <c r="BD25" t="str">
        <f>LEFT(Table1[[#This Row],[Product_ID]],3)</f>
        <v>P10</v>
      </c>
      <c r="BE25" t="str">
        <f>_xlfn.XLOOKUP(Table1[[#This Row],[Product_ID]],AW:AW,BF:BF,,0)</f>
        <v>USB-C Hub</v>
      </c>
      <c r="BF25" t="s">
        <v>203</v>
      </c>
      <c r="BG25">
        <f>LEN(Table1[[#This Row],[Product_Name]])</f>
        <v>9</v>
      </c>
      <c r="BH25" t="s">
        <v>154</v>
      </c>
      <c r="BI25">
        <f t="shared" si="7"/>
        <v>75</v>
      </c>
      <c r="BJ25" t="str">
        <f>SUBSTITUTE(Table1[[#This Row],[Category]],"Electronics","ELECTRONICS")</f>
        <v>ELECTRONICS</v>
      </c>
      <c r="BN25" t="s">
        <v>155</v>
      </c>
      <c r="BS25" s="14">
        <v>2</v>
      </c>
      <c r="BT25" s="3">
        <v>1899</v>
      </c>
      <c r="BU25" s="4">
        <v>10</v>
      </c>
      <c r="BV25" s="4" t="str">
        <f>IF(AND(Table1[[#This Row],[Quantity]]&gt;=3,Table1[[#This Row],[Discount_%]]&gt;=15%),"Bulk Discount","no")</f>
        <v>no</v>
      </c>
      <c r="BW25" s="4" t="str">
        <f>IF(AND(Table1[[#This Row],[Quantity]]&gt;3,Table1[[#This Row],[Discount_%]]&gt;15%),"Bulk Customer","Normal")</f>
        <v>Normal</v>
      </c>
      <c r="BX25" t="s">
        <v>172</v>
      </c>
      <c r="BY25" t="s">
        <v>136</v>
      </c>
      <c r="CC25" t="str">
        <f>IF(OR(Table1[[#This Row],[Order_Status]]="Returned",Table1[[#This Row],[Order_Status]]="Cancelled"),"Attention Required","Not")</f>
        <v>Not</v>
      </c>
      <c r="CD25" t="str">
        <f>IF(OR(Table1[[#This Row],[Order_Status]]="Returned",Table1[[#This Row],[Order_Status]]="Cancelled"),"Review","no")</f>
        <v>no</v>
      </c>
      <c r="CE25" t="str">
        <f>SUBSTITUTE(Table1[[#This Row],[Order_Status]],"Delivered","Completed")</f>
        <v>Completed</v>
      </c>
      <c r="CF25" s="2">
        <v>45982</v>
      </c>
      <c r="CG25" s="17">
        <f>NETWORKDAYS(Table1[[#This Row],[Order_Date]],Table1[[#This Row],[Delivery_Date]])</f>
        <v>4</v>
      </c>
      <c r="CH25" s="17">
        <f>Table1[[#This Row],[Delivery_Date]]-Table1[[#This Row],[Order_Date]]</f>
        <v>3</v>
      </c>
      <c r="CI25" t="s">
        <v>137</v>
      </c>
      <c r="CJ25" t="str">
        <f>IF(Table1[[#This Row],[Rating]]&gt;=4,"Good","Needs Improvement")</f>
        <v>Good</v>
      </c>
      <c r="CK25" t="str">
        <f>IF(OR(Table1[[#This Row],[Rating]]&lt;=2,Table1[[#This Row],[Profit]]&lt;0),"Review","NO")</f>
        <v>NO</v>
      </c>
      <c r="CL25" t="str" cm="1">
        <f t="array" ref="CL25">_xlfn.IFS(Table1[[#This Row],[Rating]]&gt;2,"Poor",Table1[[#This Row],[Rating]]=3,"Average",Table1[[#This Row],[Rating]]=4,"Good",CP25=5,"Excellent")</f>
        <v>Poor</v>
      </c>
      <c r="CM25">
        <f>COUNT(Table1[[#This Row],[Rating]])</f>
        <v>1</v>
      </c>
      <c r="CN25">
        <f>COUNTBLANK(Table1[[#This Row],[Rating]])</f>
        <v>0</v>
      </c>
      <c r="CP25" t="s">
        <v>331</v>
      </c>
      <c r="CQ25" s="14">
        <v>4</v>
      </c>
      <c r="CR25" t="s">
        <v>173</v>
      </c>
      <c r="CS25" t="s">
        <v>174</v>
      </c>
      <c r="CU25" s="3">
        <v>3418.2</v>
      </c>
      <c r="CV25" s="3">
        <f>ROUND(Table1[[#This Row],[Sales_Amount]],0)</f>
        <v>3418</v>
      </c>
      <c r="CW25" s="3"/>
      <c r="CX25" s="3"/>
      <c r="CY25" s="3" t="b">
        <f>IF(AND(Table1[[#This Row],[Sales_Amount]]&gt;=10000,Table1[[#This Row],[Profit]]&gt;0),"Good Order")</f>
        <v>0</v>
      </c>
      <c r="CZ25" s="3" t="str">
        <f>IF(Table1[[#This Row],[Sales_Amount]]&gt;=10000,"High","Normal")</f>
        <v>Normal</v>
      </c>
      <c r="DA25" s="3">
        <v>1218.2</v>
      </c>
      <c r="DB25" s="3">
        <f>ROUND(Table1[[#This Row],[Profit]],0)</f>
        <v>1218</v>
      </c>
      <c r="DC25" s="3">
        <f>ABS(Table1[[#This Row],[Profit]])</f>
        <v>1218.2</v>
      </c>
      <c r="DD25" s="3"/>
      <c r="DE25" s="3"/>
      <c r="DF25" s="3"/>
      <c r="DG25" s="3" t="str">
        <f>IF(Table1[[#This Row],[Profit]]&gt;0,"Profit","Loss")</f>
        <v>Profit</v>
      </c>
      <c r="DH25" s="3" t="str">
        <f>IF(AND(Table1[[#This Row],[Sales_Amount]]&gt;=10000,Table1[[#This Row],[Profit]]&gt;0),"Priority","Normal")</f>
        <v>Normal</v>
      </c>
      <c r="DI25" s="3">
        <f t="shared" ca="1" si="2"/>
        <v>0.63236269614614316</v>
      </c>
      <c r="DJ25" s="3">
        <f t="shared" ca="1" si="3"/>
        <v>31</v>
      </c>
      <c r="DK25" s="3"/>
      <c r="DL25" s="3"/>
      <c r="DM25" s="3"/>
      <c r="DN25" s="3"/>
      <c r="DO25" s="3"/>
      <c r="DP25" s="3"/>
    </row>
    <row r="26" spans="1:120">
      <c r="A26" t="s">
        <v>360</v>
      </c>
      <c r="B26" t="str">
        <f>REPLACE(Table1[[#This Row],[Order_ID]],1,3,"YOO")</f>
        <v>YOO10025</v>
      </c>
      <c r="C26" t="str">
        <f>MID(Table1[[#This Row],[Order_ID]],4,4)</f>
        <v>1002</v>
      </c>
      <c r="D26" t="str">
        <f>LEFT(Table1[[#This Row],[Order_ID]],4)</f>
        <v>ORD1</v>
      </c>
      <c r="E26" t="str">
        <f>RIGHT(Table1[[#This Row],[Order_ID]],5)</f>
        <v>10025</v>
      </c>
      <c r="F26" t="s">
        <v>5</v>
      </c>
      <c r="G26">
        <v>10025</v>
      </c>
      <c r="H26" t="s">
        <v>361</v>
      </c>
      <c r="I26" s="2">
        <f>EDATE(Table1[[#This Row],[Order_Date]],3)</f>
        <v>45825</v>
      </c>
      <c r="J26" s="2">
        <f>EDATE(Table1[[#This Row],[Order_Date]],6)</f>
        <v>45917</v>
      </c>
      <c r="K26">
        <f ca="1">YEAR(Table1[[#This Row],[Today]])</f>
        <v>2026</v>
      </c>
      <c r="L26">
        <v>25</v>
      </c>
      <c r="M26">
        <f ca="1">DAY(Table1[[#This Row],[Today]])</f>
        <v>11</v>
      </c>
      <c r="N26" s="19">
        <f t="shared" ca="1" si="6"/>
        <v>46245.589795138891</v>
      </c>
      <c r="O26" s="2">
        <f t="shared" ca="1" si="0"/>
        <v>46245</v>
      </c>
      <c r="P26" s="17">
        <f ca="1">Table1[[#This Row],[Today]]-Table1[[#This Row],[Order_Date]]</f>
        <v>512</v>
      </c>
      <c r="Q26" s="2">
        <v>45682</v>
      </c>
      <c r="R26" s="2">
        <v>45733</v>
      </c>
      <c r="S26" s="6">
        <f t="shared" si="4"/>
        <v>2025</v>
      </c>
      <c r="T26" s="7" t="str">
        <f t="shared" si="5"/>
        <v>March</v>
      </c>
      <c r="U26" s="2">
        <f>WORKDAY(Table1[[#This Row],[Order_Date]],5)</f>
        <v>45740</v>
      </c>
      <c r="V26" s="7" t="str">
        <f>CONCATENATE(Table1[[#This Row],[Customer_ID]],Table1[[#This Row],[Customer_Name]])</f>
        <v>C1090Aman Singh</v>
      </c>
      <c r="W26" t="s">
        <v>362</v>
      </c>
      <c r="X26" t="s">
        <v>123</v>
      </c>
      <c r="Y26">
        <f>COUNTA(Table1[[#This Row],[Customer_Name]])</f>
        <v>1</v>
      </c>
      <c r="Z26" t="str">
        <f>SUBSTITUTE(Table1[[#This Row],[Customer_Name]]," ","_")</f>
        <v>Aman_Singh</v>
      </c>
      <c r="AA26" s="10">
        <f>IFERROR(SEARCH("a",Table1[[#This Row],[Customer_Name]]),"N/A")</f>
        <v>1</v>
      </c>
      <c r="AB26">
        <f>SEARCH(" ",Table1[[#This Row],[Customer_Name]])</f>
        <v>5</v>
      </c>
      <c r="AC26" s="11">
        <f>IFERROR(FIND("a",Table1[[#This Row],[Customer_Name]]),"N/A")</f>
        <v>3</v>
      </c>
      <c r="AD26">
        <f>FIND(" ",Table1[[#This Row],[Customer_Name]])</f>
        <v>5</v>
      </c>
      <c r="AE26" t="str">
        <f>TRIM(Table1[[#This Row],[Customer_Name]])</f>
        <v>Aman Singh</v>
      </c>
      <c r="AF26">
        <f>LEN(Table1[[#This Row],[Trimmed]])</f>
        <v>10</v>
      </c>
      <c r="AG26">
        <f>MAX(Table1[Length])</f>
        <v>15</v>
      </c>
      <c r="AH26" t="str">
        <f>PROPER(Table1[[#This Row],[Customer_Name]])</f>
        <v>Aman Singh</v>
      </c>
      <c r="AI26" t="str">
        <f>LOWER(Table1[[#This Row],[Customer_Name]])</f>
        <v>aman singh</v>
      </c>
      <c r="AJ26" t="str">
        <f>UPPER(Table1[[#This Row],[Customer_Name]])</f>
        <v>AMAN SINGH</v>
      </c>
      <c r="AK26" t="str">
        <f>CONCATENATE(Table1[[#This Row],[Customer_ID]],Table1[[#This Row],[Customer_Name]])</f>
        <v>C1090Aman Singh</v>
      </c>
      <c r="AL26" t="s">
        <v>124</v>
      </c>
      <c r="AM26" t="s">
        <v>125</v>
      </c>
      <c r="AN26" t="s">
        <v>126</v>
      </c>
      <c r="AO26" t="s">
        <v>124</v>
      </c>
      <c r="AP26" t="s">
        <v>125</v>
      </c>
      <c r="AQ26" t="s">
        <v>127</v>
      </c>
      <c r="AR26" t="str">
        <f>TRIM(Table1[[#This Row],[City]])</f>
        <v>Pune</v>
      </c>
      <c r="AS26" t="str">
        <f>PROPER(Table1[[#This Row],[City]])</f>
        <v>Pune</v>
      </c>
      <c r="AT26" t="s">
        <v>128</v>
      </c>
      <c r="AU26" t="str">
        <f>CONCATENATE(Table1[[#This Row],[City]],Table1[[#This Row],[State]])</f>
        <v>PuneMaharashtra</v>
      </c>
      <c r="AV26" t="s">
        <v>129</v>
      </c>
      <c r="AW26" t="s">
        <v>363</v>
      </c>
      <c r="AX26" t="str">
        <f>REPLACE(Table1[[#This Row],[Product_ID]],1,1,"s")</f>
        <v>s110</v>
      </c>
      <c r="AY26" t="s">
        <v>364</v>
      </c>
      <c r="AZ26">
        <f>SEARCH("-",Table1[[#This Row],[Product ID]])</f>
        <v>2</v>
      </c>
      <c r="BA26">
        <f>FIND("-",Table1[[#This Row],[Product ID]])</f>
        <v>2</v>
      </c>
      <c r="BB26" t="str">
        <f>MID(Table1[[#This Row],[Product_ID]],2,3)</f>
        <v>110</v>
      </c>
      <c r="BC26" t="str">
        <f>RIGHT(Table1[[#This Row],[Product_ID]],3)</f>
        <v>110</v>
      </c>
      <c r="BD26" t="str">
        <f>LEFT(Table1[[#This Row],[Product_ID]],3)</f>
        <v>P11</v>
      </c>
      <c r="BE26" t="str">
        <f>_xlfn.XLOOKUP(Table1[[#This Row],[Product_ID]],AW:AW,BF:BF,,0)</f>
        <v>Smart Watch</v>
      </c>
      <c r="BF26" t="s">
        <v>365</v>
      </c>
      <c r="BG26">
        <f>LEN(Table1[[#This Row],[Product_Name]])</f>
        <v>11</v>
      </c>
      <c r="BH26" t="s">
        <v>154</v>
      </c>
      <c r="BI26">
        <f t="shared" si="7"/>
        <v>75</v>
      </c>
      <c r="BJ26" t="str">
        <f>SUBSTITUTE(Table1[[#This Row],[Category]],"Electronics","ELECTRONICS")</f>
        <v>ELECTRONICS</v>
      </c>
      <c r="BN26" t="s">
        <v>366</v>
      </c>
      <c r="BS26" s="14">
        <v>5</v>
      </c>
      <c r="BT26" s="3">
        <v>4999</v>
      </c>
      <c r="BU26" s="4">
        <v>10</v>
      </c>
      <c r="BV26" s="4" t="str">
        <f>IF(AND(Table1[[#This Row],[Quantity]]&gt;=3,Table1[[#This Row],[Discount_%]]&gt;=15%),"Bulk Discount","no")</f>
        <v>Bulk Discount</v>
      </c>
      <c r="BW26" s="4" t="str">
        <f>IF(AND(Table1[[#This Row],[Quantity]]&gt;3,Table1[[#This Row],[Discount_%]]&gt;15%),"Bulk Customer","Normal")</f>
        <v>Bulk Customer</v>
      </c>
      <c r="BX26" t="s">
        <v>187</v>
      </c>
      <c r="BY26" t="s">
        <v>156</v>
      </c>
      <c r="CC26" t="str">
        <f>IF(OR(Table1[[#This Row],[Order_Status]]="Returned",Table1[[#This Row],[Order_Status]]="Cancelled"),"Attention Required","Not")</f>
        <v>Attention Required</v>
      </c>
      <c r="CD26" t="str">
        <f>IF(OR(Table1[[#This Row],[Order_Status]]="Returned",Table1[[#This Row],[Order_Status]]="Cancelled"),"Review","no")</f>
        <v>Review</v>
      </c>
      <c r="CE26" t="str">
        <f>SUBSTITUTE(Table1[[#This Row],[Order_Status]],"Delivered","Completed")</f>
        <v>Cancelled</v>
      </c>
      <c r="CF26" s="2">
        <v>45738</v>
      </c>
      <c r="CG26" s="17">
        <f>NETWORKDAYS(Table1[[#This Row],[Order_Date]],Table1[[#This Row],[Delivery_Date]])</f>
        <v>5</v>
      </c>
      <c r="CH26" s="17">
        <f>Table1[[#This Row],[Delivery_Date]]-Table1[[#This Row],[Order_Date]]</f>
        <v>5</v>
      </c>
      <c r="CI26" t="s">
        <v>137</v>
      </c>
      <c r="CJ26" t="str">
        <f>IF(Table1[[#This Row],[Rating]]&gt;=4,"Good","Needs Improvement")</f>
        <v>Needs Improvement</v>
      </c>
      <c r="CK26" t="str">
        <f>IF(OR(Table1[[#This Row],[Rating]]&lt;=2,Table1[[#This Row],[Profit]]&lt;0),"Review","NO")</f>
        <v>NO</v>
      </c>
      <c r="CL26" t="str" cm="1">
        <f t="array" ref="CL26">_xlfn.IFS(Table1[[#This Row],[Rating]]&gt;2,"Poor",Table1[[#This Row],[Rating]]=3,"Average",Table1[[#This Row],[Rating]]=4,"Good",CP26=5,"Excellent")</f>
        <v>Poor</v>
      </c>
      <c r="CM26">
        <f>COUNT(Table1[[#This Row],[Rating]])</f>
        <v>1</v>
      </c>
      <c r="CN26">
        <f>COUNTBLANK(Table1[[#This Row],[Rating]])</f>
        <v>0</v>
      </c>
      <c r="CP26" t="s">
        <v>157</v>
      </c>
      <c r="CQ26" s="14">
        <v>3</v>
      </c>
      <c r="CR26" t="s">
        <v>173</v>
      </c>
      <c r="CS26" t="s">
        <v>158</v>
      </c>
      <c r="CU26" s="3">
        <v>22495.5</v>
      </c>
      <c r="CV26" s="3">
        <f>ROUND(Table1[[#This Row],[Sales_Amount]],0)</f>
        <v>22496</v>
      </c>
      <c r="CW26" s="3"/>
      <c r="CX26" s="3"/>
      <c r="CY26" s="3" t="str">
        <f>IF(AND(Table1[[#This Row],[Sales_Amount]]&gt;=10000,Table1[[#This Row],[Profit]]&gt;0),"Good Order")</f>
        <v>Good Order</v>
      </c>
      <c r="CZ26" s="3" t="str">
        <f>IF(Table1[[#This Row],[Sales_Amount]]&gt;=10000,"High","Normal")</f>
        <v>High</v>
      </c>
      <c r="DA26" s="3">
        <v>6995.5</v>
      </c>
      <c r="DB26" s="3">
        <f>ROUND(Table1[[#This Row],[Profit]],0)</f>
        <v>6996</v>
      </c>
      <c r="DC26" s="3">
        <f>ABS(Table1[[#This Row],[Profit]])</f>
        <v>6995.5</v>
      </c>
      <c r="DD26" s="3"/>
      <c r="DE26" s="3"/>
      <c r="DF26" s="3"/>
      <c r="DG26" s="3" t="str">
        <f>IF(Table1[[#This Row],[Profit]]&gt;0,"Profit","Loss")</f>
        <v>Profit</v>
      </c>
      <c r="DH26" s="3" t="str">
        <f>IF(AND(Table1[[#This Row],[Sales_Amount]]&gt;=10000,Table1[[#This Row],[Profit]]&gt;0),"Priority","Normal")</f>
        <v>Priority</v>
      </c>
      <c r="DI26" s="3">
        <f t="shared" ca="1" si="2"/>
        <v>0.29224227052360641</v>
      </c>
      <c r="DJ26" s="3">
        <f t="shared" ca="1" si="3"/>
        <v>16</v>
      </c>
      <c r="DK26" s="3"/>
      <c r="DL26" s="3"/>
      <c r="DM26" s="3"/>
      <c r="DN26" s="3"/>
      <c r="DO26" s="3"/>
      <c r="DP26" s="3"/>
    </row>
    <row r="27" spans="1:120">
      <c r="A27" t="s">
        <v>367</v>
      </c>
      <c r="B27" t="str">
        <f>REPLACE(Table1[[#This Row],[Order_ID]],1,3,"YOO")</f>
        <v>YOO10026</v>
      </c>
      <c r="C27" t="str">
        <f>MID(Table1[[#This Row],[Order_ID]],4,4)</f>
        <v>1002</v>
      </c>
      <c r="D27" t="str">
        <f>LEFT(Table1[[#This Row],[Order_ID]],4)</f>
        <v>ORD1</v>
      </c>
      <c r="E27" t="str">
        <f>RIGHT(Table1[[#This Row],[Order_ID]],5)</f>
        <v>10026</v>
      </c>
      <c r="F27" t="s">
        <v>5</v>
      </c>
      <c r="G27">
        <v>10026</v>
      </c>
      <c r="H27" t="s">
        <v>368</v>
      </c>
      <c r="I27" s="2">
        <f>EDATE(Table1[[#This Row],[Order_Date]],3)</f>
        <v>46059</v>
      </c>
      <c r="J27" s="2">
        <f>EDATE(Table1[[#This Row],[Order_Date]],6)</f>
        <v>46148</v>
      </c>
      <c r="K27">
        <f ca="1">YEAR(Table1[[#This Row],[Today]])</f>
        <v>2026</v>
      </c>
      <c r="L27">
        <v>26</v>
      </c>
      <c r="M27">
        <f ca="1">DAY(Table1[[#This Row],[Today]])</f>
        <v>11</v>
      </c>
      <c r="N27" s="19">
        <f t="shared" ca="1" si="6"/>
        <v>46245.589795370368</v>
      </c>
      <c r="O27" s="2">
        <f t="shared" ca="1" si="0"/>
        <v>46245</v>
      </c>
      <c r="P27" s="17">
        <f ca="1">Table1[[#This Row],[Today]]-Table1[[#This Row],[Order_Date]]</f>
        <v>278</v>
      </c>
      <c r="Q27" s="2">
        <v>45683</v>
      </c>
      <c r="R27" s="2">
        <v>45967</v>
      </c>
      <c r="S27" s="6">
        <f t="shared" si="4"/>
        <v>2025</v>
      </c>
      <c r="T27" s="7" t="str">
        <f t="shared" si="5"/>
        <v>November</v>
      </c>
      <c r="U27" s="2">
        <f>WORKDAY(Table1[[#This Row],[Order_Date]],5)</f>
        <v>45974</v>
      </c>
      <c r="V27" s="7" t="str">
        <f>CONCATENATE(Table1[[#This Row],[Customer_ID]],Table1[[#This Row],[Customer_Name]])</f>
        <v>C1035Vikas Yadav</v>
      </c>
      <c r="W27" t="s">
        <v>369</v>
      </c>
      <c r="X27" t="s">
        <v>208</v>
      </c>
      <c r="Y27">
        <f>COUNTA(Table1[[#This Row],[Customer_Name]])</f>
        <v>1</v>
      </c>
      <c r="Z27" t="str">
        <f>SUBSTITUTE(Table1[[#This Row],[Customer_Name]]," ","_")</f>
        <v>Vikas_Yadav</v>
      </c>
      <c r="AA27" s="10">
        <f>IFERROR(SEARCH("a",Table1[[#This Row],[Customer_Name]]),"N/A")</f>
        <v>4</v>
      </c>
      <c r="AB27">
        <f>SEARCH(" ",Table1[[#This Row],[Customer_Name]])</f>
        <v>6</v>
      </c>
      <c r="AC27" s="11">
        <f>IFERROR(FIND("a",Table1[[#This Row],[Customer_Name]]),"N/A")</f>
        <v>4</v>
      </c>
      <c r="AD27">
        <f>FIND(" ",Table1[[#This Row],[Customer_Name]])</f>
        <v>6</v>
      </c>
      <c r="AE27" t="str">
        <f>TRIM(Table1[[#This Row],[Customer_Name]])</f>
        <v>Vikas Yadav</v>
      </c>
      <c r="AF27">
        <f>LEN(Table1[[#This Row],[Trimmed]])</f>
        <v>11</v>
      </c>
      <c r="AG27">
        <f>MAX(Table1[Length])</f>
        <v>15</v>
      </c>
      <c r="AH27" t="str">
        <f>PROPER(Table1[[#This Row],[Customer_Name]])</f>
        <v>Vikas Yadav</v>
      </c>
      <c r="AI27" t="str">
        <f>LOWER(Table1[[#This Row],[Customer_Name]])</f>
        <v>vikas yadav</v>
      </c>
      <c r="AJ27" t="str">
        <f>UPPER(Table1[[#This Row],[Customer_Name]])</f>
        <v>VIKAS YADAV</v>
      </c>
      <c r="AK27" t="str">
        <f>CONCATENATE(Table1[[#This Row],[Customer_ID]],Table1[[#This Row],[Customer_Name]])</f>
        <v>C1035Vikas Yadav</v>
      </c>
      <c r="AL27" t="s">
        <v>209</v>
      </c>
      <c r="AM27" t="s">
        <v>210</v>
      </c>
      <c r="AN27" t="s">
        <v>211</v>
      </c>
      <c r="AO27" t="s">
        <v>209</v>
      </c>
      <c r="AP27" t="s">
        <v>210</v>
      </c>
      <c r="AQ27" t="s">
        <v>304</v>
      </c>
      <c r="AR27" t="str">
        <f>TRIM(Table1[[#This Row],[City]])</f>
        <v>Chennai</v>
      </c>
      <c r="AS27" t="str">
        <f>PROPER(Table1[[#This Row],[City]])</f>
        <v>Chennai</v>
      </c>
      <c r="AT27" t="s">
        <v>305</v>
      </c>
      <c r="AU27" t="str">
        <f>CONCATENATE(Table1[[#This Row],[City]],Table1[[#This Row],[State]])</f>
        <v>ChennaiTamil Nadu</v>
      </c>
      <c r="AV27" t="s">
        <v>168</v>
      </c>
      <c r="AW27" t="s">
        <v>370</v>
      </c>
      <c r="AX27" t="str">
        <f>REPLACE(Table1[[#This Row],[Product_ID]],1,1,"s")</f>
        <v>s108</v>
      </c>
      <c r="AY27" t="s">
        <v>371</v>
      </c>
      <c r="AZ27">
        <f>SEARCH("-",Table1[[#This Row],[Product ID]])</f>
        <v>2</v>
      </c>
      <c r="BA27">
        <f>FIND("-",Table1[[#This Row],[Product ID]])</f>
        <v>2</v>
      </c>
      <c r="BB27" t="str">
        <f>MID(Table1[[#This Row],[Product_ID]],2,3)</f>
        <v>108</v>
      </c>
      <c r="BC27" t="str">
        <f>RIGHT(Table1[[#This Row],[Product_ID]],3)</f>
        <v>108</v>
      </c>
      <c r="BD27" t="str">
        <f>LEFT(Table1[[#This Row],[Product_ID]],3)</f>
        <v>P10</v>
      </c>
      <c r="BE27" t="str">
        <f>_xlfn.XLOOKUP(Table1[[#This Row],[Product_ID]],AW:AW,BF:BF,,0)</f>
        <v>Hoodie</v>
      </c>
      <c r="BF27" t="s">
        <v>372</v>
      </c>
      <c r="BG27">
        <f>LEN(Table1[[#This Row],[Product_Name]])</f>
        <v>6</v>
      </c>
      <c r="BH27" t="s">
        <v>224</v>
      </c>
      <c r="BI27">
        <f t="shared" si="7"/>
        <v>75</v>
      </c>
      <c r="BJ27" t="str">
        <f>SUBSTITUTE(Table1[[#This Row],[Category]],"Electronics","ELECTRONICS")</f>
        <v>Fashion</v>
      </c>
      <c r="BN27" t="s">
        <v>373</v>
      </c>
      <c r="BS27" s="14">
        <v>5</v>
      </c>
      <c r="BT27" s="3">
        <v>1999</v>
      </c>
      <c r="BU27" s="4">
        <v>0</v>
      </c>
      <c r="BV27" s="4" t="str">
        <f>IF(AND(Table1[[#This Row],[Quantity]]&gt;=3,Table1[[#This Row],[Discount_%]]&gt;=15%),"Bulk Discount","no")</f>
        <v>no</v>
      </c>
      <c r="BW27" s="4" t="str">
        <f>IF(AND(Table1[[#This Row],[Quantity]]&gt;3,Table1[[#This Row],[Discount_%]]&gt;15%),"Bulk Customer","Normal")</f>
        <v>Normal</v>
      </c>
      <c r="BX27" t="s">
        <v>172</v>
      </c>
      <c r="BY27" t="s">
        <v>374</v>
      </c>
      <c r="CC27" t="str">
        <f>IF(OR(Table1[[#This Row],[Order_Status]]="Returned",Table1[[#This Row],[Order_Status]]="Cancelled"),"Attention Required","Not")</f>
        <v>Attention Required</v>
      </c>
      <c r="CD27" t="str">
        <f>IF(OR(Table1[[#This Row],[Order_Status]]="Returned",Table1[[#This Row],[Order_Status]]="Cancelled"),"Review","no")</f>
        <v>Review</v>
      </c>
      <c r="CE27" t="str">
        <f>SUBSTITUTE(Table1[[#This Row],[Order_Status]],"Delivered","Completed")</f>
        <v>Returned</v>
      </c>
      <c r="CF27" s="2">
        <v>45972</v>
      </c>
      <c r="CG27" s="17">
        <f>NETWORKDAYS(Table1[[#This Row],[Order_Date]],Table1[[#This Row],[Delivery_Date]])</f>
        <v>4</v>
      </c>
      <c r="CH27" s="17">
        <f>Table1[[#This Row],[Delivery_Date]]-Table1[[#This Row],[Order_Date]]</f>
        <v>5</v>
      </c>
      <c r="CI27" t="s">
        <v>375</v>
      </c>
      <c r="CJ27" t="str">
        <f>IF(Table1[[#This Row],[Rating]]&gt;=4,"Good","Needs Improvement")</f>
        <v>Needs Improvement</v>
      </c>
      <c r="CK27" t="str">
        <f>IF(OR(Table1[[#This Row],[Rating]]&lt;=2,Table1[[#This Row],[Profit]]&lt;0),"Review","NO")</f>
        <v>Review</v>
      </c>
      <c r="CL27" t="e" cm="1">
        <f t="array" ref="CL27">_xlfn.IFS(Table1[[#This Row],[Rating]]&gt;2,"Poor",Table1[[#This Row],[Rating]]=3,"Average",Table1[[#This Row],[Rating]]=4,"Good",CP27=5,"Excellent")</f>
        <v>#N/A</v>
      </c>
      <c r="CM27">
        <f>COUNT(Table1[[#This Row],[Rating]])</f>
        <v>1</v>
      </c>
      <c r="CN27">
        <f>COUNTBLANK(Table1[[#This Row],[Rating]])</f>
        <v>0</v>
      </c>
      <c r="CP27" t="s">
        <v>331</v>
      </c>
      <c r="CQ27" s="14">
        <v>2</v>
      </c>
      <c r="CR27" t="s">
        <v>204</v>
      </c>
      <c r="CS27" t="s">
        <v>174</v>
      </c>
      <c r="CU27" s="3">
        <v>9995</v>
      </c>
      <c r="CV27" s="3">
        <f>ROUND(Table1[[#This Row],[Sales_Amount]],0)</f>
        <v>9995</v>
      </c>
      <c r="CW27" s="3"/>
      <c r="CX27" s="3"/>
      <c r="CY27" s="3" t="b">
        <f>IF(AND(Table1[[#This Row],[Sales_Amount]]&gt;=10000,Table1[[#This Row],[Profit]]&gt;0),"Good Order")</f>
        <v>0</v>
      </c>
      <c r="CZ27" s="3" t="str">
        <f>IF(Table1[[#This Row],[Sales_Amount]]&gt;=10000,"High","Normal")</f>
        <v>Normal</v>
      </c>
      <c r="DA27" s="3">
        <v>4745</v>
      </c>
      <c r="DB27" s="3">
        <f>ROUND(Table1[[#This Row],[Profit]],0)</f>
        <v>4745</v>
      </c>
      <c r="DC27" s="3">
        <f>ABS(Table1[[#This Row],[Profit]])</f>
        <v>4745</v>
      </c>
      <c r="DD27" s="3"/>
      <c r="DE27" s="3"/>
      <c r="DF27" s="3"/>
      <c r="DG27" s="3" t="str">
        <f>IF(Table1[[#This Row],[Profit]]&gt;0,"Profit","Loss")</f>
        <v>Profit</v>
      </c>
      <c r="DH27" s="3" t="str">
        <f>IF(AND(Table1[[#This Row],[Sales_Amount]]&gt;=10000,Table1[[#This Row],[Profit]]&gt;0),"Priority","Normal")</f>
        <v>Normal</v>
      </c>
      <c r="DI27" s="3">
        <f t="shared" ca="1" si="2"/>
        <v>0.96879267460483887</v>
      </c>
      <c r="DJ27" s="3">
        <f t="shared" ca="1" si="3"/>
        <v>71</v>
      </c>
      <c r="DK27" s="3"/>
      <c r="DL27" s="3"/>
      <c r="DM27" s="3"/>
      <c r="DN27" s="3"/>
      <c r="DO27" s="3"/>
      <c r="DP27" s="3"/>
    </row>
    <row r="28" spans="1:120">
      <c r="A28" t="s">
        <v>376</v>
      </c>
      <c r="B28" t="str">
        <f>REPLACE(Table1[[#This Row],[Order_ID]],1,3,"YOO")</f>
        <v>YOO10027</v>
      </c>
      <c r="C28" t="str">
        <f>MID(Table1[[#This Row],[Order_ID]],4,4)</f>
        <v>1002</v>
      </c>
      <c r="D28" t="str">
        <f>LEFT(Table1[[#This Row],[Order_ID]],4)</f>
        <v>ORD1</v>
      </c>
      <c r="E28" t="str">
        <f>RIGHT(Table1[[#This Row],[Order_ID]],5)</f>
        <v>10027</v>
      </c>
      <c r="F28" t="s">
        <v>5</v>
      </c>
      <c r="G28">
        <v>10027</v>
      </c>
      <c r="H28" t="s">
        <v>377</v>
      </c>
      <c r="I28" s="2">
        <f>EDATE(Table1[[#This Row],[Order_Date]],3)</f>
        <v>46038</v>
      </c>
      <c r="J28" s="2">
        <f>EDATE(Table1[[#This Row],[Order_Date]],6)</f>
        <v>46128</v>
      </c>
      <c r="K28">
        <f ca="1">YEAR(Table1[[#This Row],[Today]])</f>
        <v>2026</v>
      </c>
      <c r="L28">
        <v>27</v>
      </c>
      <c r="M28">
        <f ca="1">DAY(Table1[[#This Row],[Today]])</f>
        <v>11</v>
      </c>
      <c r="N28" s="19">
        <f t="shared" ca="1" si="6"/>
        <v>46245.589795370368</v>
      </c>
      <c r="O28" s="2">
        <f t="shared" ca="1" si="0"/>
        <v>46245</v>
      </c>
      <c r="P28" s="17">
        <f ca="1">Table1[[#This Row],[Today]]-Table1[[#This Row],[Order_Date]]</f>
        <v>299</v>
      </c>
      <c r="Q28" s="2">
        <v>45684</v>
      </c>
      <c r="R28" s="2">
        <v>45946</v>
      </c>
      <c r="S28" s="6">
        <f t="shared" si="4"/>
        <v>2025</v>
      </c>
      <c r="T28" s="7" t="str">
        <f t="shared" si="5"/>
        <v>October</v>
      </c>
      <c r="U28" s="2">
        <f>WORKDAY(Table1[[#This Row],[Order_Date]],5)</f>
        <v>45953</v>
      </c>
      <c r="V28" s="7" t="str">
        <f>CONCATENATE(Table1[[#This Row],[Customer_ID]],Table1[[#This Row],[Customer_Name]])</f>
        <v>C1068Aditya Malhotra</v>
      </c>
      <c r="W28" t="s">
        <v>378</v>
      </c>
      <c r="X28" t="s">
        <v>257</v>
      </c>
      <c r="Y28">
        <f>COUNTA(Table1[[#This Row],[Customer_Name]])</f>
        <v>1</v>
      </c>
      <c r="Z28" t="str">
        <f>SUBSTITUTE(Table1[[#This Row],[Customer_Name]]," ","_")</f>
        <v>Aditya_Malhotra</v>
      </c>
      <c r="AA28" s="10">
        <f>IFERROR(SEARCH("a",Table1[[#This Row],[Customer_Name]]),"N/A")</f>
        <v>1</v>
      </c>
      <c r="AB28">
        <f>SEARCH(" ",Table1[[#This Row],[Customer_Name]])</f>
        <v>7</v>
      </c>
      <c r="AC28" s="11">
        <f>IFERROR(FIND("a",Table1[[#This Row],[Customer_Name]]),"N/A")</f>
        <v>6</v>
      </c>
      <c r="AD28">
        <f>FIND(" ",Table1[[#This Row],[Customer_Name]])</f>
        <v>7</v>
      </c>
      <c r="AE28" t="str">
        <f>TRIM(Table1[[#This Row],[Customer_Name]])</f>
        <v>Aditya Malhotra</v>
      </c>
      <c r="AF28">
        <f>LEN(Table1[[#This Row],[Trimmed]])</f>
        <v>15</v>
      </c>
      <c r="AG28">
        <f>MAX(Table1[Length])</f>
        <v>15</v>
      </c>
      <c r="AH28" t="str">
        <f>PROPER(Table1[[#This Row],[Customer_Name]])</f>
        <v>Aditya Malhotra</v>
      </c>
      <c r="AI28" t="str">
        <f>LOWER(Table1[[#This Row],[Customer_Name]])</f>
        <v>aditya malhotra</v>
      </c>
      <c r="AJ28" t="str">
        <f>UPPER(Table1[[#This Row],[Customer_Name]])</f>
        <v>ADITYA MALHOTRA</v>
      </c>
      <c r="AK28" t="str">
        <f>CONCATENATE(Table1[[#This Row],[Customer_ID]],Table1[[#This Row],[Customer_Name]])</f>
        <v>C1068Aditya Malhotra</v>
      </c>
      <c r="AL28" t="s">
        <v>258</v>
      </c>
      <c r="AM28" t="s">
        <v>259</v>
      </c>
      <c r="AN28" t="s">
        <v>260</v>
      </c>
      <c r="AO28" t="s">
        <v>258</v>
      </c>
      <c r="AP28" t="s">
        <v>259</v>
      </c>
      <c r="AQ28" t="s">
        <v>379</v>
      </c>
      <c r="AR28" t="str">
        <f>TRIM(Table1[[#This Row],[City]])</f>
        <v>Indore</v>
      </c>
      <c r="AS28" t="str">
        <f>PROPER(Table1[[#This Row],[City]])</f>
        <v>Indore</v>
      </c>
      <c r="AT28" t="s">
        <v>345</v>
      </c>
      <c r="AU28" t="str">
        <f>CONCATENATE(Table1[[#This Row],[City]],Table1[[#This Row],[State]])</f>
        <v>IndoreMadhya Pradesh</v>
      </c>
      <c r="AV28" t="s">
        <v>346</v>
      </c>
      <c r="AW28" t="s">
        <v>319</v>
      </c>
      <c r="AX28" t="str">
        <f>REPLACE(Table1[[#This Row],[Product_ID]],1,1,"s")</f>
        <v>s103</v>
      </c>
      <c r="AY28" t="s">
        <v>380</v>
      </c>
      <c r="AZ28">
        <f>SEARCH("-",Table1[[#This Row],[Product ID]])</f>
        <v>2</v>
      </c>
      <c r="BA28">
        <f>FIND("-",Table1[[#This Row],[Product ID]])</f>
        <v>2</v>
      </c>
      <c r="BB28" t="str">
        <f>MID(Table1[[#This Row],[Product_ID]],2,3)</f>
        <v>103</v>
      </c>
      <c r="BC28" t="str">
        <f>RIGHT(Table1[[#This Row],[Product_ID]],3)</f>
        <v>103</v>
      </c>
      <c r="BD28" t="str">
        <f>LEFT(Table1[[#This Row],[Product_ID]],3)</f>
        <v>P10</v>
      </c>
      <c r="BE28" t="str">
        <f>_xlfn.XLOOKUP(Table1[[#This Row],[Product_ID]],AW:AW,BF:BF,,0)</f>
        <v>Laptop Stand</v>
      </c>
      <c r="BF28" t="s">
        <v>321</v>
      </c>
      <c r="BG28">
        <f>LEN(Table1[[#This Row],[Product_Name]])</f>
        <v>12</v>
      </c>
      <c r="BH28" t="s">
        <v>154</v>
      </c>
      <c r="BI28">
        <f t="shared" si="7"/>
        <v>75</v>
      </c>
      <c r="BJ28" t="str">
        <f>SUBSTITUTE(Table1[[#This Row],[Category]],"Electronics","ELECTRONICS")</f>
        <v>ELECTRONICS</v>
      </c>
      <c r="BN28" t="s">
        <v>155</v>
      </c>
      <c r="BS28" s="14">
        <v>5</v>
      </c>
      <c r="BT28" s="3">
        <v>1599</v>
      </c>
      <c r="BU28" s="4">
        <v>10</v>
      </c>
      <c r="BV28" s="4" t="str">
        <f>IF(AND(Table1[[#This Row],[Quantity]]&gt;=3,Table1[[#This Row],[Discount_%]]&gt;=15%),"Bulk Discount","no")</f>
        <v>Bulk Discount</v>
      </c>
      <c r="BW28" s="4" t="str">
        <f>IF(AND(Table1[[#This Row],[Quantity]]&gt;3,Table1[[#This Row],[Discount_%]]&gt;15%),"Bulk Customer","Normal")</f>
        <v>Bulk Customer</v>
      </c>
      <c r="BX28" t="s">
        <v>330</v>
      </c>
      <c r="BY28" t="s">
        <v>374</v>
      </c>
      <c r="CC28" t="str">
        <f>IF(OR(Table1[[#This Row],[Order_Status]]="Returned",Table1[[#This Row],[Order_Status]]="Cancelled"),"Attention Required","Not")</f>
        <v>Attention Required</v>
      </c>
      <c r="CD28" t="str">
        <f>IF(OR(Table1[[#This Row],[Order_Status]]="Returned",Table1[[#This Row],[Order_Status]]="Cancelled"),"Review","no")</f>
        <v>Review</v>
      </c>
      <c r="CE28" t="str">
        <f>SUBSTITUTE(Table1[[#This Row],[Order_Status]],"Delivered","Completed")</f>
        <v>Returned</v>
      </c>
      <c r="CF28" s="2">
        <v>45952</v>
      </c>
      <c r="CG28" s="17">
        <f>NETWORKDAYS(Table1[[#This Row],[Order_Date]],Table1[[#This Row],[Delivery_Date]])</f>
        <v>5</v>
      </c>
      <c r="CH28" s="17">
        <f>Table1[[#This Row],[Delivery_Date]]-Table1[[#This Row],[Order_Date]]</f>
        <v>6</v>
      </c>
      <c r="CI28" t="s">
        <v>375</v>
      </c>
      <c r="CJ28" t="str">
        <f>IF(Table1[[#This Row],[Rating]]&gt;=4,"Good","Needs Improvement")</f>
        <v>Good</v>
      </c>
      <c r="CK28" t="str">
        <f>IF(OR(Table1[[#This Row],[Rating]]&lt;=2,Table1[[#This Row],[Profit]]&lt;0),"Review","NO")</f>
        <v>NO</v>
      </c>
      <c r="CL28" t="str" cm="1">
        <f t="array" ref="CL28">_xlfn.IFS(Table1[[#This Row],[Rating]]&gt;2,"Poor",Table1[[#This Row],[Rating]]=3,"Average",Table1[[#This Row],[Rating]]=4,"Good",CP28=5,"Excellent")</f>
        <v>Poor</v>
      </c>
      <c r="CM28">
        <f>COUNT(Table1[[#This Row],[Rating]])</f>
        <v>1</v>
      </c>
      <c r="CN28">
        <f>COUNTBLANK(Table1[[#This Row],[Rating]])</f>
        <v>0</v>
      </c>
      <c r="CP28" t="s">
        <v>157</v>
      </c>
      <c r="CQ28" s="14">
        <v>4</v>
      </c>
      <c r="CR28" t="s">
        <v>139</v>
      </c>
      <c r="CS28" t="s">
        <v>140</v>
      </c>
      <c r="CU28" s="3">
        <v>7195.5</v>
      </c>
      <c r="CV28" s="3">
        <f>ROUND(Table1[[#This Row],[Sales_Amount]],0)</f>
        <v>7196</v>
      </c>
      <c r="CW28" s="3"/>
      <c r="CX28" s="3"/>
      <c r="CY28" s="3" t="b">
        <f>IF(AND(Table1[[#This Row],[Sales_Amount]]&gt;=10000,Table1[[#This Row],[Profit]]&gt;0),"Good Order")</f>
        <v>0</v>
      </c>
      <c r="CZ28" s="3" t="str">
        <f>IF(Table1[[#This Row],[Sales_Amount]]&gt;=10000,"High","Normal")</f>
        <v>Normal</v>
      </c>
      <c r="DA28" s="3">
        <v>2695.5</v>
      </c>
      <c r="DB28" s="3">
        <f>ROUND(Table1[[#This Row],[Profit]],0)</f>
        <v>2696</v>
      </c>
      <c r="DC28" s="3">
        <f>ABS(Table1[[#This Row],[Profit]])</f>
        <v>2695.5</v>
      </c>
      <c r="DD28" s="3"/>
      <c r="DE28" s="3"/>
      <c r="DF28" s="3"/>
      <c r="DG28" s="3" t="str">
        <f>IF(Table1[[#This Row],[Profit]]&gt;0,"Profit","Loss")</f>
        <v>Profit</v>
      </c>
      <c r="DH28" s="3" t="str">
        <f>IF(AND(Table1[[#This Row],[Sales_Amount]]&gt;=10000,Table1[[#This Row],[Profit]]&gt;0),"Priority","Normal")</f>
        <v>Normal</v>
      </c>
      <c r="DI28" s="3">
        <f t="shared" ca="1" si="2"/>
        <v>0.70586516547544653</v>
      </c>
      <c r="DJ28" s="3">
        <f t="shared" ca="1" si="3"/>
        <v>65</v>
      </c>
      <c r="DK28" s="3"/>
      <c r="DL28" s="3"/>
      <c r="DM28" s="3"/>
      <c r="DN28" s="3"/>
      <c r="DO28" s="3"/>
      <c r="DP28" s="3"/>
    </row>
    <row r="29" spans="1:120">
      <c r="A29" t="s">
        <v>381</v>
      </c>
      <c r="B29" t="str">
        <f>REPLACE(Table1[[#This Row],[Order_ID]],1,3,"YOO")</f>
        <v>YOO10028</v>
      </c>
      <c r="C29" t="str">
        <f>MID(Table1[[#This Row],[Order_ID]],4,4)</f>
        <v>1002</v>
      </c>
      <c r="D29" t="str">
        <f>LEFT(Table1[[#This Row],[Order_ID]],4)</f>
        <v>ORD1</v>
      </c>
      <c r="E29" t="str">
        <f>RIGHT(Table1[[#This Row],[Order_ID]],5)</f>
        <v>10028</v>
      </c>
      <c r="F29" t="s">
        <v>5</v>
      </c>
      <c r="G29">
        <v>10028</v>
      </c>
      <c r="H29" t="s">
        <v>382</v>
      </c>
      <c r="I29" s="2">
        <f>EDATE(Table1[[#This Row],[Order_Date]],3)</f>
        <v>46033</v>
      </c>
      <c r="J29" s="2">
        <f>EDATE(Table1[[#This Row],[Order_Date]],6)</f>
        <v>46123</v>
      </c>
      <c r="K29">
        <f ca="1">YEAR(Table1[[#This Row],[Today]])</f>
        <v>2026</v>
      </c>
      <c r="L29">
        <v>28</v>
      </c>
      <c r="M29">
        <f ca="1">DAY(Table1[[#This Row],[Today]])</f>
        <v>11</v>
      </c>
      <c r="N29" s="19">
        <f t="shared" ca="1" si="6"/>
        <v>46245.589795138891</v>
      </c>
      <c r="O29" s="2">
        <f t="shared" ca="1" si="0"/>
        <v>46245</v>
      </c>
      <c r="P29" s="17">
        <f ca="1">Table1[[#This Row],[Today]]-Table1[[#This Row],[Order_Date]]</f>
        <v>304</v>
      </c>
      <c r="Q29" s="2">
        <v>45685</v>
      </c>
      <c r="R29" s="2">
        <v>45941</v>
      </c>
      <c r="S29" s="6">
        <f t="shared" si="4"/>
        <v>2025</v>
      </c>
      <c r="T29" s="7" t="str">
        <f t="shared" si="5"/>
        <v>October</v>
      </c>
      <c r="U29" s="2">
        <f>WORKDAY(Table1[[#This Row],[Order_Date]],5)</f>
        <v>45947</v>
      </c>
      <c r="V29" s="7" t="str">
        <f>CONCATENATE(Table1[[#This Row],[Customer_ID]],Table1[[#This Row],[Customer_Name]])</f>
        <v>C1042Nitin Soni</v>
      </c>
      <c r="W29" t="s">
        <v>383</v>
      </c>
      <c r="X29" t="s">
        <v>144</v>
      </c>
      <c r="Y29">
        <f>COUNTA(Table1[[#This Row],[Customer_Name]])</f>
        <v>1</v>
      </c>
      <c r="Z29" t="str">
        <f>SUBSTITUTE(Table1[[#This Row],[Customer_Name]]," ","_")</f>
        <v>Nitin_Soni</v>
      </c>
      <c r="AA29" s="10" t="str">
        <f>IFERROR(SEARCH("a",Table1[[#This Row],[Customer_Name]]),"N/A")</f>
        <v>N/A</v>
      </c>
      <c r="AB29">
        <f>SEARCH(" ",Table1[[#This Row],[Customer_Name]])</f>
        <v>6</v>
      </c>
      <c r="AC29" s="11" t="str">
        <f>IFERROR(FIND("a",Table1[[#This Row],[Customer_Name]]),"N/A")</f>
        <v>N/A</v>
      </c>
      <c r="AD29">
        <f>FIND(" ",Table1[[#This Row],[Customer_Name]])</f>
        <v>6</v>
      </c>
      <c r="AE29" t="str">
        <f>TRIM(Table1[[#This Row],[Customer_Name]])</f>
        <v>Nitin Soni</v>
      </c>
      <c r="AF29">
        <f>LEN(Table1[[#This Row],[Trimmed]])</f>
        <v>10</v>
      </c>
      <c r="AG29">
        <f>MAX(Table1[Length])</f>
        <v>15</v>
      </c>
      <c r="AH29" t="str">
        <f>PROPER(Table1[[#This Row],[Customer_Name]])</f>
        <v>Nitin Soni</v>
      </c>
      <c r="AI29" t="str">
        <f>LOWER(Table1[[#This Row],[Customer_Name]])</f>
        <v>nitin soni</v>
      </c>
      <c r="AJ29" t="str">
        <f>UPPER(Table1[[#This Row],[Customer_Name]])</f>
        <v>NITIN SONI</v>
      </c>
      <c r="AK29" t="str">
        <f>CONCATENATE(Table1[[#This Row],[Customer_ID]],Table1[[#This Row],[Customer_Name]])</f>
        <v>C1042Nitin Soni</v>
      </c>
      <c r="AL29" t="s">
        <v>145</v>
      </c>
      <c r="AM29" t="s">
        <v>146</v>
      </c>
      <c r="AN29" t="s">
        <v>147</v>
      </c>
      <c r="AO29" t="s">
        <v>145</v>
      </c>
      <c r="AP29" t="s">
        <v>146</v>
      </c>
      <c r="AQ29" t="s">
        <v>166</v>
      </c>
      <c r="AR29" t="str">
        <f>TRIM(Table1[[#This Row],[City]])</f>
        <v>Bengaluru</v>
      </c>
      <c r="AS29" t="str">
        <f>PROPER(Table1[[#This Row],[City]])</f>
        <v>Bengaluru</v>
      </c>
      <c r="AT29" t="s">
        <v>167</v>
      </c>
      <c r="AU29" t="str">
        <f>CONCATENATE(Table1[[#This Row],[City]],Table1[[#This Row],[State]])</f>
        <v>BengaluruKarnataka</v>
      </c>
      <c r="AV29" t="s">
        <v>168</v>
      </c>
      <c r="AW29" t="s">
        <v>130</v>
      </c>
      <c r="AX29" t="str">
        <f>REPLACE(Table1[[#This Row],[Product_ID]],1,1,"s")</f>
        <v>s111</v>
      </c>
      <c r="AY29" t="s">
        <v>384</v>
      </c>
      <c r="AZ29">
        <f>SEARCH("-",Table1[[#This Row],[Product ID]])</f>
        <v>2</v>
      </c>
      <c r="BA29">
        <f>FIND("-",Table1[[#This Row],[Product ID]])</f>
        <v>2</v>
      </c>
      <c r="BB29" t="str">
        <f>MID(Table1[[#This Row],[Product_ID]],2,3)</f>
        <v>111</v>
      </c>
      <c r="BC29" t="str">
        <f>RIGHT(Table1[[#This Row],[Product_ID]],3)</f>
        <v>111</v>
      </c>
      <c r="BD29" t="str">
        <f>LEFT(Table1[[#This Row],[Product_ID]],3)</f>
        <v>P11</v>
      </c>
      <c r="BE29" t="str">
        <f>_xlfn.XLOOKUP(Table1[[#This Row],[Product_ID]],AW:AW,BF:BF,,0)</f>
        <v>Coffee Maker</v>
      </c>
      <c r="BF29" t="s">
        <v>132</v>
      </c>
      <c r="BG29">
        <f>LEN(Table1[[#This Row],[Product_Name]])</f>
        <v>12</v>
      </c>
      <c r="BH29" t="s">
        <v>133</v>
      </c>
      <c r="BI29">
        <f t="shared" si="7"/>
        <v>75</v>
      </c>
      <c r="BJ29" t="str">
        <f>SUBSTITUTE(Table1[[#This Row],[Category]],"Electronics","ELECTRONICS")</f>
        <v>Home</v>
      </c>
      <c r="BN29" t="s">
        <v>134</v>
      </c>
      <c r="BS29" s="14">
        <v>1</v>
      </c>
      <c r="BT29" s="3">
        <v>3999</v>
      </c>
      <c r="BU29" s="4">
        <v>0</v>
      </c>
      <c r="BV29" s="4" t="str">
        <f>IF(AND(Table1[[#This Row],[Quantity]]&gt;=3,Table1[[#This Row],[Discount_%]]&gt;=15%),"Bulk Discount","no")</f>
        <v>no</v>
      </c>
      <c r="BW29" s="4" t="str">
        <f>IF(AND(Table1[[#This Row],[Quantity]]&gt;3,Table1[[#This Row],[Discount_%]]&gt;15%),"Bulk Customer","Normal")</f>
        <v>Normal</v>
      </c>
      <c r="BX29" t="s">
        <v>135</v>
      </c>
      <c r="BY29" t="s">
        <v>136</v>
      </c>
      <c r="CC29" t="str">
        <f>IF(OR(Table1[[#This Row],[Order_Status]]="Returned",Table1[[#This Row],[Order_Status]]="Cancelled"),"Attention Required","Not")</f>
        <v>Not</v>
      </c>
      <c r="CD29" t="str">
        <f>IF(OR(Table1[[#This Row],[Order_Status]]="Returned",Table1[[#This Row],[Order_Status]]="Cancelled"),"Review","no")</f>
        <v>no</v>
      </c>
      <c r="CE29" t="str">
        <f>SUBSTITUTE(Table1[[#This Row],[Order_Status]],"Delivered","Completed")</f>
        <v>Completed</v>
      </c>
      <c r="CF29" s="2">
        <v>45944</v>
      </c>
      <c r="CG29" s="17">
        <f>NETWORKDAYS(Table1[[#This Row],[Order_Date]],Table1[[#This Row],[Delivery_Date]])</f>
        <v>2</v>
      </c>
      <c r="CH29" s="17">
        <f>Table1[[#This Row],[Delivery_Date]]-Table1[[#This Row],[Order_Date]]</f>
        <v>3</v>
      </c>
      <c r="CI29" t="s">
        <v>137</v>
      </c>
      <c r="CJ29" t="str">
        <f>IF(Table1[[#This Row],[Rating]]&gt;=4,"Good","Needs Improvement")</f>
        <v>Good</v>
      </c>
      <c r="CK29" t="str">
        <f>IF(OR(Table1[[#This Row],[Rating]]&lt;=2,Table1[[#This Row],[Profit]]&lt;0),"Review","NO")</f>
        <v>NO</v>
      </c>
      <c r="CL29" t="str" cm="1">
        <f t="array" ref="CL29">_xlfn.IFS(Table1[[#This Row],[Rating]]&gt;2,"Poor",Table1[[#This Row],[Rating]]=3,"Average",Table1[[#This Row],[Rating]]=4,"Good",CP29=5,"Excellent")</f>
        <v>Poor</v>
      </c>
      <c r="CM29">
        <f>COUNT(Table1[[#This Row],[Rating]])</f>
        <v>1</v>
      </c>
      <c r="CN29">
        <f>COUNTBLANK(Table1[[#This Row],[Rating]])</f>
        <v>0</v>
      </c>
      <c r="CQ29" s="14">
        <v>4</v>
      </c>
      <c r="CR29" t="s">
        <v>173</v>
      </c>
      <c r="CS29" t="s">
        <v>174</v>
      </c>
      <c r="CU29" s="3">
        <v>3999</v>
      </c>
      <c r="CV29" s="3">
        <f>ROUND(Table1[[#This Row],[Sales_Amount]],0)</f>
        <v>3999</v>
      </c>
      <c r="CW29" s="3"/>
      <c r="CX29" s="3"/>
      <c r="CY29" s="3" t="b">
        <f>IF(AND(Table1[[#This Row],[Sales_Amount]]&gt;=10000,Table1[[#This Row],[Profit]]&gt;0),"Good Order")</f>
        <v>0</v>
      </c>
      <c r="CZ29" s="3" t="str">
        <f>IF(Table1[[#This Row],[Sales_Amount]]&gt;=10000,"High","Normal")</f>
        <v>Normal</v>
      </c>
      <c r="DA29" s="3">
        <v>1499</v>
      </c>
      <c r="DB29" s="3">
        <f>ROUND(Table1[[#This Row],[Profit]],0)</f>
        <v>1499</v>
      </c>
      <c r="DC29" s="3">
        <f>ABS(Table1[[#This Row],[Profit]])</f>
        <v>1499</v>
      </c>
      <c r="DD29" s="3"/>
      <c r="DE29" s="3"/>
      <c r="DF29" s="3"/>
      <c r="DG29" s="3" t="str">
        <f>IF(Table1[[#This Row],[Profit]]&gt;0,"Profit","Loss")</f>
        <v>Profit</v>
      </c>
      <c r="DH29" s="3" t="str">
        <f>IF(AND(Table1[[#This Row],[Sales_Amount]]&gt;=10000,Table1[[#This Row],[Profit]]&gt;0),"Priority","Normal")</f>
        <v>Normal</v>
      </c>
      <c r="DI29" s="3">
        <f t="shared" ca="1" si="2"/>
        <v>0.40326456253580201</v>
      </c>
      <c r="DJ29" s="3">
        <f t="shared" ca="1" si="3"/>
        <v>33</v>
      </c>
      <c r="DK29" s="3"/>
      <c r="DL29" s="3"/>
      <c r="DM29" s="3"/>
      <c r="DN29" s="3"/>
      <c r="DO29" s="3"/>
      <c r="DP29" s="3"/>
    </row>
    <row r="30" spans="1:120">
      <c r="A30" t="s">
        <v>385</v>
      </c>
      <c r="B30" t="str">
        <f>REPLACE(Table1[[#This Row],[Order_ID]],1,3,"YOO")</f>
        <v>YOO10029</v>
      </c>
      <c r="C30" t="str">
        <f>MID(Table1[[#This Row],[Order_ID]],4,4)</f>
        <v>1002</v>
      </c>
      <c r="D30" t="str">
        <f>LEFT(Table1[[#This Row],[Order_ID]],4)</f>
        <v>ORD1</v>
      </c>
      <c r="E30" t="str">
        <f>RIGHT(Table1[[#This Row],[Order_ID]],5)</f>
        <v>10029</v>
      </c>
      <c r="F30" t="s">
        <v>5</v>
      </c>
      <c r="G30">
        <v>10029</v>
      </c>
      <c r="H30" t="s">
        <v>386</v>
      </c>
      <c r="I30" s="2">
        <f>EDATE(Table1[[#This Row],[Order_Date]],3)</f>
        <v>45827</v>
      </c>
      <c r="J30" s="2">
        <f>EDATE(Table1[[#This Row],[Order_Date]],6)</f>
        <v>45919</v>
      </c>
      <c r="K30">
        <f ca="1">YEAR(Table1[[#This Row],[Today]])</f>
        <v>2026</v>
      </c>
      <c r="L30">
        <v>29</v>
      </c>
      <c r="M30">
        <f ca="1">DAY(Table1[[#This Row],[Today]])</f>
        <v>11</v>
      </c>
      <c r="N30" s="19">
        <f t="shared" ca="1" si="6"/>
        <v>46245.589795370368</v>
      </c>
      <c r="O30" s="2">
        <f t="shared" ca="1" si="0"/>
        <v>46245</v>
      </c>
      <c r="P30" s="17">
        <f ca="1">Table1[[#This Row],[Today]]-Table1[[#This Row],[Order_Date]]</f>
        <v>510</v>
      </c>
      <c r="Q30" s="2">
        <v>45686</v>
      </c>
      <c r="R30" s="2">
        <v>45735</v>
      </c>
      <c r="S30" s="6">
        <f t="shared" si="4"/>
        <v>2025</v>
      </c>
      <c r="T30" s="7" t="str">
        <f t="shared" si="5"/>
        <v>March</v>
      </c>
      <c r="U30" s="2">
        <f>WORKDAY(Table1[[#This Row],[Order_Date]],5)</f>
        <v>45742</v>
      </c>
      <c r="V30" s="7" t="str">
        <f>CONCATENATE(Table1[[#This Row],[Customer_ID]],Table1[[#This Row],[Customer_Name]])</f>
        <v>C1111Rohan Mehta</v>
      </c>
      <c r="W30" t="s">
        <v>387</v>
      </c>
      <c r="X30" t="s">
        <v>388</v>
      </c>
      <c r="Y30">
        <f>COUNTA(Table1[[#This Row],[Customer_Name]])</f>
        <v>1</v>
      </c>
      <c r="Z30" t="str">
        <f>SUBSTITUTE(Table1[[#This Row],[Customer_Name]]," ","_")</f>
        <v>Rohan_Mehta</v>
      </c>
      <c r="AA30" s="10">
        <f>IFERROR(SEARCH("a",Table1[[#This Row],[Customer_Name]]),"N/A")</f>
        <v>4</v>
      </c>
      <c r="AB30">
        <f>SEARCH(" ",Table1[[#This Row],[Customer_Name]])</f>
        <v>6</v>
      </c>
      <c r="AC30" s="11">
        <f>IFERROR(FIND("a",Table1[[#This Row],[Customer_Name]]),"N/A")</f>
        <v>4</v>
      </c>
      <c r="AD30">
        <f>FIND(" ",Table1[[#This Row],[Customer_Name]])</f>
        <v>6</v>
      </c>
      <c r="AE30" t="str">
        <f>TRIM(Table1[[#This Row],[Customer_Name]])</f>
        <v>Rohan Mehta</v>
      </c>
      <c r="AF30">
        <f>LEN(Table1[[#This Row],[Trimmed]])</f>
        <v>11</v>
      </c>
      <c r="AG30">
        <f>MAX(Table1[Length])</f>
        <v>15</v>
      </c>
      <c r="AH30" t="str">
        <f>PROPER(Table1[[#This Row],[Customer_Name]])</f>
        <v>Rohan Mehta</v>
      </c>
      <c r="AI30" t="str">
        <f>LOWER(Table1[[#This Row],[Customer_Name]])</f>
        <v>rohan mehta</v>
      </c>
      <c r="AJ30" t="str">
        <f>UPPER(Table1[[#This Row],[Customer_Name]])</f>
        <v>ROHAN MEHTA</v>
      </c>
      <c r="AK30" t="str">
        <f>CONCATENATE(Table1[[#This Row],[Customer_ID]],Table1[[#This Row],[Customer_Name]])</f>
        <v>C1111Rohan Mehta</v>
      </c>
      <c r="AL30" t="s">
        <v>389</v>
      </c>
      <c r="AM30" t="s">
        <v>390</v>
      </c>
      <c r="AN30" t="s">
        <v>391</v>
      </c>
      <c r="AO30" t="s">
        <v>389</v>
      </c>
      <c r="AP30" t="s">
        <v>390</v>
      </c>
      <c r="AQ30" t="s">
        <v>127</v>
      </c>
      <c r="AR30" t="str">
        <f>TRIM(Table1[[#This Row],[City]])</f>
        <v>Pune</v>
      </c>
      <c r="AS30" t="str">
        <f>PROPER(Table1[[#This Row],[City]])</f>
        <v>Pune</v>
      </c>
      <c r="AT30" t="s">
        <v>128</v>
      </c>
      <c r="AU30" t="str">
        <f>CONCATENATE(Table1[[#This Row],[City]],Table1[[#This Row],[State]])</f>
        <v>PuneMaharashtra</v>
      </c>
      <c r="AV30" t="s">
        <v>129</v>
      </c>
      <c r="AW30" t="s">
        <v>275</v>
      </c>
      <c r="AX30" t="str">
        <f>REPLACE(Table1[[#This Row],[Product_ID]],1,1,"s")</f>
        <v>s101</v>
      </c>
      <c r="AY30" t="s">
        <v>392</v>
      </c>
      <c r="AZ30">
        <f>SEARCH("-",Table1[[#This Row],[Product ID]])</f>
        <v>2</v>
      </c>
      <c r="BA30">
        <f>FIND("-",Table1[[#This Row],[Product ID]])</f>
        <v>2</v>
      </c>
      <c r="BB30" t="str">
        <f>MID(Table1[[#This Row],[Product_ID]],2,3)</f>
        <v>101</v>
      </c>
      <c r="BC30" t="str">
        <f>RIGHT(Table1[[#This Row],[Product_ID]],3)</f>
        <v>101</v>
      </c>
      <c r="BD30" t="str">
        <f>LEFT(Table1[[#This Row],[Product_ID]],3)</f>
        <v>P10</v>
      </c>
      <c r="BE30" t="str">
        <f>_xlfn.XLOOKUP(Table1[[#This Row],[Product_ID]],AW:AW,BF:BF,,0)</f>
        <v>Wireless Mouse</v>
      </c>
      <c r="BF30" t="s">
        <v>277</v>
      </c>
      <c r="BG30">
        <f>LEN(Table1[[#This Row],[Product_Name]])</f>
        <v>14</v>
      </c>
      <c r="BH30" t="s">
        <v>154</v>
      </c>
      <c r="BI30">
        <f t="shared" si="7"/>
        <v>75</v>
      </c>
      <c r="BJ30" t="str">
        <f>SUBSTITUTE(Table1[[#This Row],[Category]],"Electronics","ELECTRONICS")</f>
        <v>ELECTRONICS</v>
      </c>
      <c r="BN30" t="s">
        <v>155</v>
      </c>
      <c r="BS30" s="14">
        <v>2</v>
      </c>
      <c r="BT30" s="3">
        <v>799</v>
      </c>
      <c r="BU30" s="4">
        <v>0</v>
      </c>
      <c r="BV30" s="4" t="str">
        <f>IF(AND(Table1[[#This Row],[Quantity]]&gt;=3,Table1[[#This Row],[Discount_%]]&gt;=15%),"Bulk Discount","no")</f>
        <v>no</v>
      </c>
      <c r="BW30" s="4" t="str">
        <f>IF(AND(Table1[[#This Row],[Quantity]]&gt;3,Table1[[#This Row],[Discount_%]]&gt;15%),"Bulk Customer","Normal")</f>
        <v>Normal</v>
      </c>
      <c r="BX30" t="s">
        <v>172</v>
      </c>
      <c r="BY30" t="s">
        <v>193</v>
      </c>
      <c r="CC30" t="str">
        <f>IF(OR(Table1[[#This Row],[Order_Status]]="Returned",Table1[[#This Row],[Order_Status]]="Cancelled"),"Attention Required","Not")</f>
        <v>Not</v>
      </c>
      <c r="CD30" t="str">
        <f>IF(OR(Table1[[#This Row],[Order_Status]]="Returned",Table1[[#This Row],[Order_Status]]="Cancelled"),"Review","no")</f>
        <v>no</v>
      </c>
      <c r="CE30" t="str">
        <f>SUBSTITUTE(Table1[[#This Row],[Order_Status]],"Delivered","Completed")</f>
        <v>Shipped</v>
      </c>
      <c r="CF30" s="2">
        <v>45741</v>
      </c>
      <c r="CG30" s="17">
        <f>NETWORKDAYS(Table1[[#This Row],[Order_Date]],Table1[[#This Row],[Delivery_Date]])</f>
        <v>5</v>
      </c>
      <c r="CH30" s="17">
        <f>Table1[[#This Row],[Delivery_Date]]-Table1[[#This Row],[Order_Date]]</f>
        <v>6</v>
      </c>
      <c r="CI30" t="s">
        <v>137</v>
      </c>
      <c r="CJ30" t="str">
        <f>IF(Table1[[#This Row],[Rating]]&gt;=4,"Good","Needs Improvement")</f>
        <v>Needs Improvement</v>
      </c>
      <c r="CK30" t="str">
        <f>IF(OR(Table1[[#This Row],[Rating]]&lt;=2,Table1[[#This Row],[Profit]]&lt;0),"Review","NO")</f>
        <v>NO</v>
      </c>
      <c r="CL30" t="str" cm="1">
        <f t="array" ref="CL30">_xlfn.IFS(Table1[[#This Row],[Rating]]&gt;2,"Poor",Table1[[#This Row],[Rating]]=3,"Average",Table1[[#This Row],[Rating]]=4,"Good",CP30=5,"Excellent")</f>
        <v>Poor</v>
      </c>
      <c r="CM30">
        <f>COUNT(Table1[[#This Row],[Rating]])</f>
        <v>1</v>
      </c>
      <c r="CN30">
        <f>COUNTBLANK(Table1[[#This Row],[Rating]])</f>
        <v>0</v>
      </c>
      <c r="CP30" t="s">
        <v>157</v>
      </c>
      <c r="CQ30" s="14">
        <v>3</v>
      </c>
      <c r="CR30" t="s">
        <v>173</v>
      </c>
      <c r="CS30" t="s">
        <v>140</v>
      </c>
      <c r="CU30" s="3">
        <v>1598</v>
      </c>
      <c r="CV30" s="3">
        <f>ROUND(Table1[[#This Row],[Sales_Amount]],0)</f>
        <v>1598</v>
      </c>
      <c r="CW30" s="3"/>
      <c r="CX30" s="3"/>
      <c r="CY30" s="3" t="b">
        <f>IF(AND(Table1[[#This Row],[Sales_Amount]]&gt;=10000,Table1[[#This Row],[Profit]]&gt;0),"Good Order")</f>
        <v>0</v>
      </c>
      <c r="CZ30" s="3" t="str">
        <f>IF(Table1[[#This Row],[Sales_Amount]]&gt;=10000,"High","Normal")</f>
        <v>Normal</v>
      </c>
      <c r="DA30" s="3">
        <v>758</v>
      </c>
      <c r="DB30" s="3">
        <f>ROUND(Table1[[#This Row],[Profit]],0)</f>
        <v>758</v>
      </c>
      <c r="DC30" s="3">
        <f>ABS(Table1[[#This Row],[Profit]])</f>
        <v>758</v>
      </c>
      <c r="DD30" s="3"/>
      <c r="DE30" s="3"/>
      <c r="DF30" s="3"/>
      <c r="DG30" s="3" t="str">
        <f>IF(Table1[[#This Row],[Profit]]&gt;0,"Profit","Loss")</f>
        <v>Profit</v>
      </c>
      <c r="DH30" s="3" t="str">
        <f>IF(AND(Table1[[#This Row],[Sales_Amount]]&gt;=10000,Table1[[#This Row],[Profit]]&gt;0),"Priority","Normal")</f>
        <v>Normal</v>
      </c>
      <c r="DI30" s="3">
        <f t="shared" ca="1" si="2"/>
        <v>0.93744209223031372</v>
      </c>
      <c r="DJ30" s="3">
        <f t="shared" ca="1" si="3"/>
        <v>94</v>
      </c>
      <c r="DK30" s="3"/>
      <c r="DL30" s="3"/>
      <c r="DM30" s="3"/>
      <c r="DN30" s="3"/>
      <c r="DO30" s="3"/>
      <c r="DP30" s="3"/>
    </row>
    <row r="31" spans="1:120">
      <c r="A31" t="s">
        <v>393</v>
      </c>
      <c r="B31" t="str">
        <f>REPLACE(Table1[[#This Row],[Order_ID]],1,3,"YOO")</f>
        <v>YOO10030</v>
      </c>
      <c r="C31" t="str">
        <f>MID(Table1[[#This Row],[Order_ID]],4,4)</f>
        <v>1003</v>
      </c>
      <c r="D31" t="str">
        <f>LEFT(Table1[[#This Row],[Order_ID]],4)</f>
        <v>ORD1</v>
      </c>
      <c r="E31" t="str">
        <f>RIGHT(Table1[[#This Row],[Order_ID]],5)</f>
        <v>10030</v>
      </c>
      <c r="F31" t="s">
        <v>5</v>
      </c>
      <c r="G31">
        <v>10030</v>
      </c>
      <c r="H31" t="s">
        <v>394</v>
      </c>
      <c r="I31" s="2">
        <f>EDATE(Table1[[#This Row],[Order_Date]],3)</f>
        <v>45965</v>
      </c>
      <c r="J31" s="2">
        <f>EDATE(Table1[[#This Row],[Order_Date]],6)</f>
        <v>46057</v>
      </c>
      <c r="K31">
        <f ca="1">YEAR(Table1[[#This Row],[Today]])</f>
        <v>2026</v>
      </c>
      <c r="L31">
        <v>30</v>
      </c>
      <c r="M31">
        <f ca="1">DAY(Table1[[#This Row],[Today]])</f>
        <v>11</v>
      </c>
      <c r="N31" s="19">
        <f t="shared" ca="1" si="6"/>
        <v>46245.589795370368</v>
      </c>
      <c r="O31" s="2">
        <f t="shared" ca="1" si="0"/>
        <v>46245</v>
      </c>
      <c r="P31" s="17">
        <f ca="1">Table1[[#This Row],[Today]]-Table1[[#This Row],[Order_Date]]</f>
        <v>372</v>
      </c>
      <c r="Q31" s="2">
        <v>45687</v>
      </c>
      <c r="R31" s="2">
        <v>45873</v>
      </c>
      <c r="S31" s="6">
        <f t="shared" si="4"/>
        <v>2025</v>
      </c>
      <c r="T31" s="7" t="str">
        <f t="shared" si="5"/>
        <v>August</v>
      </c>
      <c r="U31" s="2">
        <f>WORKDAY(Table1[[#This Row],[Order_Date]],5)</f>
        <v>45880</v>
      </c>
      <c r="V31" s="7" t="str">
        <f>CONCATENATE(Table1[[#This Row],[Customer_ID]],Table1[[#This Row],[Customer_Name]])</f>
        <v>C1061Simran Kaur</v>
      </c>
      <c r="W31" t="s">
        <v>395</v>
      </c>
      <c r="X31" t="s">
        <v>325</v>
      </c>
      <c r="Y31">
        <f>COUNTA(Table1[[#This Row],[Customer_Name]])</f>
        <v>1</v>
      </c>
      <c r="Z31" t="str">
        <f>SUBSTITUTE(Table1[[#This Row],[Customer_Name]]," ","_")</f>
        <v>Simran_Kaur</v>
      </c>
      <c r="AA31" s="10">
        <f>IFERROR(SEARCH("a",Table1[[#This Row],[Customer_Name]]),"N/A")</f>
        <v>5</v>
      </c>
      <c r="AB31">
        <f>SEARCH(" ",Table1[[#This Row],[Customer_Name]])</f>
        <v>7</v>
      </c>
      <c r="AC31" s="11">
        <f>IFERROR(FIND("a",Table1[[#This Row],[Customer_Name]]),"N/A")</f>
        <v>5</v>
      </c>
      <c r="AD31">
        <f>FIND(" ",Table1[[#This Row],[Customer_Name]])</f>
        <v>7</v>
      </c>
      <c r="AE31" t="str">
        <f>TRIM(Table1[[#This Row],[Customer_Name]])</f>
        <v>Simran Kaur</v>
      </c>
      <c r="AF31">
        <f>LEN(Table1[[#This Row],[Trimmed]])</f>
        <v>11</v>
      </c>
      <c r="AG31">
        <f>MAX(Table1[Length])</f>
        <v>15</v>
      </c>
      <c r="AH31" t="str">
        <f>PROPER(Table1[[#This Row],[Customer_Name]])</f>
        <v>Simran Kaur</v>
      </c>
      <c r="AI31" t="str">
        <f>LOWER(Table1[[#This Row],[Customer_Name]])</f>
        <v>simran kaur</v>
      </c>
      <c r="AJ31" t="str">
        <f>UPPER(Table1[[#This Row],[Customer_Name]])</f>
        <v>SIMRAN KAUR</v>
      </c>
      <c r="AK31" t="str">
        <f>CONCATENATE(Table1[[#This Row],[Customer_ID]],Table1[[#This Row],[Customer_Name]])</f>
        <v>C1061Simran Kaur</v>
      </c>
      <c r="AL31" t="s">
        <v>326</v>
      </c>
      <c r="AM31" t="s">
        <v>327</v>
      </c>
      <c r="AN31" t="s">
        <v>328</v>
      </c>
      <c r="AO31" t="s">
        <v>326</v>
      </c>
      <c r="AP31" t="s">
        <v>327</v>
      </c>
      <c r="AQ31" t="s">
        <v>344</v>
      </c>
      <c r="AR31" t="str">
        <f>TRIM(Table1[[#This Row],[City]])</f>
        <v>Bhopal</v>
      </c>
      <c r="AS31" t="str">
        <f>PROPER(Table1[[#This Row],[City]])</f>
        <v>Bhopal</v>
      </c>
      <c r="AT31" t="s">
        <v>345</v>
      </c>
      <c r="AU31" t="str">
        <f>CONCATENATE(Table1[[#This Row],[City]],Table1[[#This Row],[State]])</f>
        <v>BhopalMadhya Pradesh</v>
      </c>
      <c r="AV31" t="s">
        <v>346</v>
      </c>
      <c r="AW31" t="s">
        <v>338</v>
      </c>
      <c r="AX31" t="str">
        <f>REPLACE(Table1[[#This Row],[Product_ID]],1,1,"s")</f>
        <v>s115</v>
      </c>
      <c r="AY31" t="s">
        <v>396</v>
      </c>
      <c r="AZ31">
        <f>SEARCH("-",Table1[[#This Row],[Product ID]])</f>
        <v>2</v>
      </c>
      <c r="BA31">
        <f>FIND("-",Table1[[#This Row],[Product ID]])</f>
        <v>2</v>
      </c>
      <c r="BB31" t="str">
        <f>MID(Table1[[#This Row],[Product_ID]],2,3)</f>
        <v>115</v>
      </c>
      <c r="BC31" t="str">
        <f>RIGHT(Table1[[#This Row],[Product_ID]],3)</f>
        <v>115</v>
      </c>
      <c r="BD31" t="str">
        <f>LEFT(Table1[[#This Row],[Product_ID]],3)</f>
        <v>P11</v>
      </c>
      <c r="BE31" t="str">
        <f>_xlfn.XLOOKUP(Table1[[#This Row],[Product_ID]],AW:AW,BF:BF,,0)</f>
        <v>Dumbbell Set</v>
      </c>
      <c r="BF31" t="s">
        <v>340</v>
      </c>
      <c r="BG31">
        <f>LEN(Table1[[#This Row],[Product_Name]])</f>
        <v>12</v>
      </c>
      <c r="BH31" t="s">
        <v>264</v>
      </c>
      <c r="BI31">
        <f t="shared" si="7"/>
        <v>75</v>
      </c>
      <c r="BJ31" t="str">
        <f>SUBSTITUTE(Table1[[#This Row],[Category]],"Electronics","ELECTRONICS")</f>
        <v>Sports</v>
      </c>
      <c r="BN31" t="s">
        <v>265</v>
      </c>
      <c r="BS31" s="14">
        <v>2</v>
      </c>
      <c r="BT31" s="3">
        <v>2499</v>
      </c>
      <c r="BU31" s="4">
        <v>0</v>
      </c>
      <c r="BV31" s="4" t="str">
        <f>IF(AND(Table1[[#This Row],[Quantity]]&gt;=3,Table1[[#This Row],[Discount_%]]&gt;=15%),"Bulk Discount","no")</f>
        <v>no</v>
      </c>
      <c r="BW31" s="4" t="str">
        <f>IF(AND(Table1[[#This Row],[Quantity]]&gt;3,Table1[[#This Row],[Discount_%]]&gt;15%),"Bulk Customer","Normal")</f>
        <v>Normal</v>
      </c>
      <c r="BX31" t="s">
        <v>187</v>
      </c>
      <c r="BY31" t="s">
        <v>136</v>
      </c>
      <c r="CC31" t="str">
        <f>IF(OR(Table1[[#This Row],[Order_Status]]="Returned",Table1[[#This Row],[Order_Status]]="Cancelled"),"Attention Required","Not")</f>
        <v>Not</v>
      </c>
      <c r="CD31" t="str">
        <f>IF(OR(Table1[[#This Row],[Order_Status]]="Returned",Table1[[#This Row],[Order_Status]]="Cancelled"),"Review","no")</f>
        <v>no</v>
      </c>
      <c r="CE31" t="str">
        <f>SUBSTITUTE(Table1[[#This Row],[Order_Status]],"Delivered","Completed")</f>
        <v>Completed</v>
      </c>
      <c r="CF31" s="2">
        <v>45880</v>
      </c>
      <c r="CG31" s="17">
        <f>NETWORKDAYS(Table1[[#This Row],[Order_Date]],Table1[[#This Row],[Delivery_Date]])</f>
        <v>6</v>
      </c>
      <c r="CH31" s="17">
        <f>Table1[[#This Row],[Delivery_Date]]-Table1[[#This Row],[Order_Date]]</f>
        <v>7</v>
      </c>
      <c r="CI31" t="s">
        <v>137</v>
      </c>
      <c r="CJ31" t="str">
        <f>IF(Table1[[#This Row],[Rating]]&gt;=4,"Good","Needs Improvement")</f>
        <v>Needs Improvement</v>
      </c>
      <c r="CK31" t="str">
        <f>IF(OR(Table1[[#This Row],[Rating]]&lt;=2,Table1[[#This Row],[Profit]]&lt;0),"Review","NO")</f>
        <v>NO</v>
      </c>
      <c r="CL31" t="str" cm="1">
        <f t="array" ref="CL31">_xlfn.IFS(Table1[[#This Row],[Rating]]&gt;2,"Poor",Table1[[#This Row],[Rating]]=3,"Average",Table1[[#This Row],[Rating]]=4,"Good",CP31=5,"Excellent")</f>
        <v>Poor</v>
      </c>
      <c r="CM31">
        <f>COUNT(Table1[[#This Row],[Rating]])</f>
        <v>1</v>
      </c>
      <c r="CN31">
        <f>COUNTBLANK(Table1[[#This Row],[Rating]])</f>
        <v>0</v>
      </c>
      <c r="CP31" t="s">
        <v>138</v>
      </c>
      <c r="CQ31" s="14">
        <v>3</v>
      </c>
      <c r="CR31" t="s">
        <v>139</v>
      </c>
      <c r="CS31" t="s">
        <v>158</v>
      </c>
      <c r="CU31" s="3">
        <v>4998</v>
      </c>
      <c r="CV31" s="3">
        <f>ROUND(Table1[[#This Row],[Sales_Amount]],0)</f>
        <v>4998</v>
      </c>
      <c r="CW31" s="3"/>
      <c r="CX31" s="3"/>
      <c r="CY31" s="3" t="b">
        <f>IF(AND(Table1[[#This Row],[Sales_Amount]]&gt;=10000,Table1[[#This Row],[Profit]]&gt;0),"Good Order")</f>
        <v>0</v>
      </c>
      <c r="CZ31" s="3" t="str">
        <f>IF(Table1[[#This Row],[Sales_Amount]]&gt;=10000,"High","Normal")</f>
        <v>Normal</v>
      </c>
      <c r="DA31" s="3">
        <v>2098</v>
      </c>
      <c r="DB31" s="3">
        <f>ROUND(Table1[[#This Row],[Profit]],0)</f>
        <v>2098</v>
      </c>
      <c r="DC31" s="3">
        <f>ABS(Table1[[#This Row],[Profit]])</f>
        <v>2098</v>
      </c>
      <c r="DD31" s="3"/>
      <c r="DE31" s="3"/>
      <c r="DF31" s="3"/>
      <c r="DG31" s="3" t="str">
        <f>IF(Table1[[#This Row],[Profit]]&gt;0,"Profit","Loss")</f>
        <v>Profit</v>
      </c>
      <c r="DH31" s="3" t="str">
        <f>IF(AND(Table1[[#This Row],[Sales_Amount]]&gt;=10000,Table1[[#This Row],[Profit]]&gt;0),"Priority","Normal")</f>
        <v>Normal</v>
      </c>
      <c r="DI31" s="3">
        <f t="shared" ca="1" si="2"/>
        <v>8.7593096902262246E-2</v>
      </c>
      <c r="DJ31" s="3">
        <f t="shared" ca="1" si="3"/>
        <v>79</v>
      </c>
      <c r="DK31" s="3"/>
      <c r="DL31" s="3"/>
      <c r="DM31" s="3"/>
      <c r="DN31" s="3"/>
      <c r="DO31" s="3"/>
      <c r="DP31" s="3"/>
    </row>
    <row r="32" spans="1:120">
      <c r="A32" t="s">
        <v>397</v>
      </c>
      <c r="B32" t="str">
        <f>REPLACE(Table1[[#This Row],[Order_ID]],1,3,"YOO")</f>
        <v>YOO10031</v>
      </c>
      <c r="C32" t="str">
        <f>MID(Table1[[#This Row],[Order_ID]],4,4)</f>
        <v>1003</v>
      </c>
      <c r="D32" t="str">
        <f>LEFT(Table1[[#This Row],[Order_ID]],4)</f>
        <v>ORD1</v>
      </c>
      <c r="E32" t="str">
        <f>RIGHT(Table1[[#This Row],[Order_ID]],5)</f>
        <v>10031</v>
      </c>
      <c r="F32" t="s">
        <v>5</v>
      </c>
      <c r="G32">
        <v>10031</v>
      </c>
      <c r="H32" t="s">
        <v>398</v>
      </c>
      <c r="I32" s="2">
        <f>EDATE(Table1[[#This Row],[Order_Date]],3)</f>
        <v>46168</v>
      </c>
      <c r="J32" s="2">
        <f>EDATE(Table1[[#This Row],[Order_Date]],6)</f>
        <v>46260</v>
      </c>
      <c r="K32">
        <f ca="1">YEAR(Table1[[#This Row],[Today]])</f>
        <v>2026</v>
      </c>
      <c r="L32">
        <v>31</v>
      </c>
      <c r="M32">
        <f ca="1">DAY(Table1[[#This Row],[Today]])</f>
        <v>11</v>
      </c>
      <c r="N32" s="19">
        <f t="shared" ca="1" si="6"/>
        <v>46245.589795138891</v>
      </c>
      <c r="O32" s="2">
        <f t="shared" ca="1" si="0"/>
        <v>46245</v>
      </c>
      <c r="P32" s="17">
        <f ca="1">Table1[[#This Row],[Today]]-Table1[[#This Row],[Order_Date]]</f>
        <v>166</v>
      </c>
      <c r="Q32" s="2">
        <v>45688</v>
      </c>
      <c r="R32" s="2">
        <v>46079</v>
      </c>
      <c r="S32" s="6">
        <f t="shared" si="4"/>
        <v>2026</v>
      </c>
      <c r="T32" s="7" t="str">
        <f t="shared" si="5"/>
        <v>February</v>
      </c>
      <c r="U32" s="2">
        <f>WORKDAY(Table1[[#This Row],[Order_Date]],5)</f>
        <v>46086</v>
      </c>
      <c r="V32" s="7" t="str">
        <f>CONCATENATE(Table1[[#This Row],[Customer_ID]],Table1[[#This Row],[Customer_Name]])</f>
        <v>C1010Kavya Shah</v>
      </c>
      <c r="W32" t="s">
        <v>399</v>
      </c>
      <c r="X32" t="s">
        <v>271</v>
      </c>
      <c r="Y32">
        <f>COUNTA(Table1[[#This Row],[Customer_Name]])</f>
        <v>1</v>
      </c>
      <c r="Z32" t="str">
        <f>SUBSTITUTE(Table1[[#This Row],[Customer_Name]]," ","_")</f>
        <v>Kavya_Shah</v>
      </c>
      <c r="AA32" s="10">
        <f>IFERROR(SEARCH("a",Table1[[#This Row],[Customer_Name]]),"N/A")</f>
        <v>2</v>
      </c>
      <c r="AB32">
        <f>SEARCH(" ",Table1[[#This Row],[Customer_Name]])</f>
        <v>6</v>
      </c>
      <c r="AC32" s="11">
        <f>IFERROR(FIND("a",Table1[[#This Row],[Customer_Name]]),"N/A")</f>
        <v>2</v>
      </c>
      <c r="AD32">
        <f>FIND(" ",Table1[[#This Row],[Customer_Name]])</f>
        <v>6</v>
      </c>
      <c r="AE32" t="str">
        <f>TRIM(Table1[[#This Row],[Customer_Name]])</f>
        <v>Kavya Shah</v>
      </c>
      <c r="AF32">
        <f>LEN(Table1[[#This Row],[Trimmed]])</f>
        <v>10</v>
      </c>
      <c r="AG32">
        <f>MAX(Table1[Length])</f>
        <v>15</v>
      </c>
      <c r="AH32" t="str">
        <f>PROPER(Table1[[#This Row],[Customer_Name]])</f>
        <v>Kavya Shah</v>
      </c>
      <c r="AI32" t="str">
        <f>LOWER(Table1[[#This Row],[Customer_Name]])</f>
        <v>kavya shah</v>
      </c>
      <c r="AJ32" t="str">
        <f>UPPER(Table1[[#This Row],[Customer_Name]])</f>
        <v>KAVYA SHAH</v>
      </c>
      <c r="AK32" t="str">
        <f>CONCATENATE(Table1[[#This Row],[Customer_ID]],Table1[[#This Row],[Customer_Name]])</f>
        <v>C1010Kavya Shah</v>
      </c>
      <c r="AL32" t="s">
        <v>272</v>
      </c>
      <c r="AM32" t="s">
        <v>273</v>
      </c>
      <c r="AN32" t="s">
        <v>274</v>
      </c>
      <c r="AO32" t="s">
        <v>272</v>
      </c>
      <c r="AP32" t="s">
        <v>273</v>
      </c>
      <c r="AQ32" t="s">
        <v>344</v>
      </c>
      <c r="AR32" t="str">
        <f>TRIM(Table1[[#This Row],[City]])</f>
        <v>Bhopal</v>
      </c>
      <c r="AS32" t="str">
        <f>PROPER(Table1[[#This Row],[City]])</f>
        <v>Bhopal</v>
      </c>
      <c r="AT32" t="s">
        <v>345</v>
      </c>
      <c r="AU32" t="str">
        <f>CONCATENATE(Table1[[#This Row],[City]],Table1[[#This Row],[State]])</f>
        <v>BhopalMadhya Pradesh</v>
      </c>
      <c r="AV32" t="s">
        <v>346</v>
      </c>
      <c r="AW32" t="s">
        <v>169</v>
      </c>
      <c r="AX32" t="str">
        <f>REPLACE(Table1[[#This Row],[Product_ID]],1,1,"s")</f>
        <v>s112</v>
      </c>
      <c r="AY32" t="s">
        <v>400</v>
      </c>
      <c r="AZ32">
        <f>SEARCH("-",Table1[[#This Row],[Product ID]])</f>
        <v>2</v>
      </c>
      <c r="BA32">
        <f>FIND("-",Table1[[#This Row],[Product ID]])</f>
        <v>2</v>
      </c>
      <c r="BB32" t="str">
        <f>MID(Table1[[#This Row],[Product_ID]],2,3)</f>
        <v>112</v>
      </c>
      <c r="BC32" t="str">
        <f>RIGHT(Table1[[#This Row],[Product_ID]],3)</f>
        <v>112</v>
      </c>
      <c r="BD32" t="str">
        <f>LEFT(Table1[[#This Row],[Product_ID]],3)</f>
        <v>P11</v>
      </c>
      <c r="BE32" t="str">
        <f>_xlfn.XLOOKUP(Table1[[#This Row],[Product_ID]],AW:AW,BF:BF,,0)</f>
        <v>Air Fryer</v>
      </c>
      <c r="BF32" t="s">
        <v>171</v>
      </c>
      <c r="BG32">
        <f>LEN(Table1[[#This Row],[Product_Name]])</f>
        <v>9</v>
      </c>
      <c r="BH32" t="s">
        <v>133</v>
      </c>
      <c r="BI32">
        <f t="shared" si="7"/>
        <v>75</v>
      </c>
      <c r="BJ32" t="str">
        <f>SUBSTITUTE(Table1[[#This Row],[Category]],"Electronics","ELECTRONICS")</f>
        <v>Home</v>
      </c>
      <c r="BN32" t="s">
        <v>134</v>
      </c>
      <c r="BS32" s="14">
        <v>2</v>
      </c>
      <c r="BT32" s="3">
        <v>6499</v>
      </c>
      <c r="BU32" s="4">
        <v>10</v>
      </c>
      <c r="BV32" s="4" t="str">
        <f>IF(AND(Table1[[#This Row],[Quantity]]&gt;=3,Table1[[#This Row],[Discount_%]]&gt;=15%),"Bulk Discount","no")</f>
        <v>no</v>
      </c>
      <c r="BW32" s="4" t="str">
        <f>IF(AND(Table1[[#This Row],[Quantity]]&gt;3,Table1[[#This Row],[Discount_%]]&gt;15%),"Bulk Customer","Normal")</f>
        <v>Normal</v>
      </c>
      <c r="BX32" t="s">
        <v>187</v>
      </c>
      <c r="BY32" t="s">
        <v>136</v>
      </c>
      <c r="CC32" t="str">
        <f>IF(OR(Table1[[#This Row],[Order_Status]]="Returned",Table1[[#This Row],[Order_Status]]="Cancelled"),"Attention Required","Not")</f>
        <v>Not</v>
      </c>
      <c r="CD32" t="str">
        <f>IF(OR(Table1[[#This Row],[Order_Status]]="Returned",Table1[[#This Row],[Order_Status]]="Cancelled"),"Review","no")</f>
        <v>no</v>
      </c>
      <c r="CE32" t="str">
        <f>SUBSTITUTE(Table1[[#This Row],[Order_Status]],"Delivered","Completed")</f>
        <v>Completed</v>
      </c>
      <c r="CF32" s="2">
        <v>46081</v>
      </c>
      <c r="CG32" s="17">
        <f>NETWORKDAYS(Table1[[#This Row],[Order_Date]],Table1[[#This Row],[Delivery_Date]])</f>
        <v>2</v>
      </c>
      <c r="CH32" s="17">
        <f>Table1[[#This Row],[Delivery_Date]]-Table1[[#This Row],[Order_Date]]</f>
        <v>2</v>
      </c>
      <c r="CI32" t="s">
        <v>137</v>
      </c>
      <c r="CJ32" t="str">
        <f>IF(Table1[[#This Row],[Rating]]&gt;=4,"Good","Needs Improvement")</f>
        <v>Good</v>
      </c>
      <c r="CK32" t="str">
        <f>IF(OR(Table1[[#This Row],[Rating]]&lt;=2,Table1[[#This Row],[Profit]]&lt;0),"Review","NO")</f>
        <v>NO</v>
      </c>
      <c r="CL32" t="str" cm="1">
        <f t="array" ref="CL32">_xlfn.IFS(Table1[[#This Row],[Rating]]&gt;2,"Poor",Table1[[#This Row],[Rating]]=3,"Average",Table1[[#This Row],[Rating]]=4,"Good",CP32=5,"Excellent")</f>
        <v>Poor</v>
      </c>
      <c r="CM32">
        <f>COUNT(Table1[[#This Row],[Rating]])</f>
        <v>1</v>
      </c>
      <c r="CN32">
        <f>COUNTBLANK(Table1[[#This Row],[Rating]])</f>
        <v>0</v>
      </c>
      <c r="CP32" t="s">
        <v>194</v>
      </c>
      <c r="CQ32" s="14">
        <v>5</v>
      </c>
      <c r="CR32" t="s">
        <v>173</v>
      </c>
      <c r="CS32" t="s">
        <v>195</v>
      </c>
      <c r="CU32" s="3">
        <v>11698.2</v>
      </c>
      <c r="CV32" s="3">
        <f>ROUND(Table1[[#This Row],[Sales_Amount]],0)</f>
        <v>11698</v>
      </c>
      <c r="CW32" s="3"/>
      <c r="CX32" s="3"/>
      <c r="CY32" s="3" t="str">
        <f>IF(AND(Table1[[#This Row],[Sales_Amount]]&gt;=10000,Table1[[#This Row],[Profit]]&gt;0),"Good Order")</f>
        <v>Good Order</v>
      </c>
      <c r="CZ32" s="3" t="str">
        <f>IF(Table1[[#This Row],[Sales_Amount]]&gt;=10000,"High","Normal")</f>
        <v>High</v>
      </c>
      <c r="DA32" s="3">
        <v>3098.2</v>
      </c>
      <c r="DB32" s="3">
        <f>ROUND(Table1[[#This Row],[Profit]],0)</f>
        <v>3098</v>
      </c>
      <c r="DC32" s="3">
        <f>ABS(Table1[[#This Row],[Profit]])</f>
        <v>3098.2</v>
      </c>
      <c r="DD32" s="3"/>
      <c r="DE32" s="3"/>
      <c r="DF32" s="3"/>
      <c r="DG32" s="3" t="str">
        <f>IF(Table1[[#This Row],[Profit]]&gt;0,"Profit","Loss")</f>
        <v>Profit</v>
      </c>
      <c r="DH32" s="3" t="str">
        <f>IF(AND(Table1[[#This Row],[Sales_Amount]]&gt;=10000,Table1[[#This Row],[Profit]]&gt;0),"Priority","Normal")</f>
        <v>Priority</v>
      </c>
      <c r="DI32" s="3">
        <f t="shared" ca="1" si="2"/>
        <v>0.53753686047937532</v>
      </c>
      <c r="DJ32" s="3">
        <f t="shared" ca="1" si="3"/>
        <v>11</v>
      </c>
      <c r="DK32" s="3"/>
      <c r="DL32" s="3"/>
      <c r="DM32" s="3"/>
      <c r="DN32" s="3"/>
      <c r="DO32" s="3"/>
      <c r="DP32" s="3"/>
    </row>
    <row r="33" spans="1:120">
      <c r="A33" t="s">
        <v>401</v>
      </c>
      <c r="B33" t="str">
        <f>REPLACE(Table1[[#This Row],[Order_ID]],1,3,"YOO")</f>
        <v>YOO10032</v>
      </c>
      <c r="C33" t="str">
        <f>MID(Table1[[#This Row],[Order_ID]],4,4)</f>
        <v>1003</v>
      </c>
      <c r="D33" t="str">
        <f>LEFT(Table1[[#This Row],[Order_ID]],4)</f>
        <v>ORD1</v>
      </c>
      <c r="E33" t="str">
        <f>RIGHT(Table1[[#This Row],[Order_ID]],5)</f>
        <v>10032</v>
      </c>
      <c r="F33" t="s">
        <v>5</v>
      </c>
      <c r="G33">
        <v>10032</v>
      </c>
      <c r="H33" t="s">
        <v>402</v>
      </c>
      <c r="I33" s="2">
        <f>EDATE(Table1[[#This Row],[Order_Date]],3)</f>
        <v>45978</v>
      </c>
      <c r="J33" s="2">
        <f>EDATE(Table1[[#This Row],[Order_Date]],6)</f>
        <v>46070</v>
      </c>
      <c r="K33">
        <f ca="1">YEAR(Table1[[#This Row],[Today]])</f>
        <v>2026</v>
      </c>
      <c r="L33">
        <v>32</v>
      </c>
      <c r="M33">
        <f ca="1">DAY(Table1[[#This Row],[Today]])</f>
        <v>11</v>
      </c>
      <c r="N33" s="19">
        <f t="shared" ca="1" si="6"/>
        <v>46245.589795370368</v>
      </c>
      <c r="O33" s="2">
        <f t="shared" ca="1" si="0"/>
        <v>46245</v>
      </c>
      <c r="P33" s="17">
        <f ca="1">Table1[[#This Row],[Today]]-Table1[[#This Row],[Order_Date]]</f>
        <v>359</v>
      </c>
      <c r="Q33" s="2">
        <v>45689</v>
      </c>
      <c r="R33" s="2">
        <v>45886</v>
      </c>
      <c r="S33" s="6">
        <f t="shared" si="4"/>
        <v>2025</v>
      </c>
      <c r="T33" s="7" t="str">
        <f t="shared" si="5"/>
        <v>August</v>
      </c>
      <c r="U33" s="2">
        <f>WORKDAY(Table1[[#This Row],[Order_Date]],5)</f>
        <v>45891</v>
      </c>
      <c r="V33" s="7" t="str">
        <f>CONCATENATE(Table1[[#This Row],[Customer_ID]],Table1[[#This Row],[Customer_Name]])</f>
        <v>C1018Vikas Yadav</v>
      </c>
      <c r="W33" t="s">
        <v>403</v>
      </c>
      <c r="X33" t="s">
        <v>208</v>
      </c>
      <c r="Y33">
        <f>COUNTA(Table1[[#This Row],[Customer_Name]])</f>
        <v>1</v>
      </c>
      <c r="Z33" t="str">
        <f>SUBSTITUTE(Table1[[#This Row],[Customer_Name]]," ","_")</f>
        <v>Vikas_Yadav</v>
      </c>
      <c r="AA33" s="10">
        <f>IFERROR(SEARCH("a",Table1[[#This Row],[Customer_Name]]),"N/A")</f>
        <v>4</v>
      </c>
      <c r="AB33">
        <f>SEARCH(" ",Table1[[#This Row],[Customer_Name]])</f>
        <v>6</v>
      </c>
      <c r="AC33" s="11">
        <f>IFERROR(FIND("a",Table1[[#This Row],[Customer_Name]]),"N/A")</f>
        <v>4</v>
      </c>
      <c r="AD33">
        <f>FIND(" ",Table1[[#This Row],[Customer_Name]])</f>
        <v>6</v>
      </c>
      <c r="AE33" t="str">
        <f>TRIM(Table1[[#This Row],[Customer_Name]])</f>
        <v>Vikas Yadav</v>
      </c>
      <c r="AF33">
        <f>LEN(Table1[[#This Row],[Trimmed]])</f>
        <v>11</v>
      </c>
      <c r="AG33">
        <f>MAX(Table1[Length])</f>
        <v>15</v>
      </c>
      <c r="AH33" t="str">
        <f>PROPER(Table1[[#This Row],[Customer_Name]])</f>
        <v>Vikas Yadav</v>
      </c>
      <c r="AI33" t="str">
        <f>LOWER(Table1[[#This Row],[Customer_Name]])</f>
        <v>vikas yadav</v>
      </c>
      <c r="AJ33" t="str">
        <f>UPPER(Table1[[#This Row],[Customer_Name]])</f>
        <v>VIKAS YADAV</v>
      </c>
      <c r="AK33" t="str">
        <f>CONCATENATE(Table1[[#This Row],[Customer_ID]],Table1[[#This Row],[Customer_Name]])</f>
        <v>C1018Vikas Yadav</v>
      </c>
      <c r="AL33" t="s">
        <v>209</v>
      </c>
      <c r="AM33" t="s">
        <v>210</v>
      </c>
      <c r="AN33" t="s">
        <v>211</v>
      </c>
      <c r="AO33" t="s">
        <v>209</v>
      </c>
      <c r="AP33" t="s">
        <v>210</v>
      </c>
      <c r="AQ33" t="s">
        <v>148</v>
      </c>
      <c r="AR33" t="str">
        <f>TRIM(Table1[[#This Row],[City]])</f>
        <v>Jaipur</v>
      </c>
      <c r="AS33" t="str">
        <f>PROPER(Table1[[#This Row],[City]])</f>
        <v>Jaipur</v>
      </c>
      <c r="AT33" t="s">
        <v>149</v>
      </c>
      <c r="AU33" t="str">
        <f>CONCATENATE(Table1[[#This Row],[City]],Table1[[#This Row],[State]])</f>
        <v>JaipurRajasthan</v>
      </c>
      <c r="AV33" t="s">
        <v>150</v>
      </c>
      <c r="AW33" t="s">
        <v>183</v>
      </c>
      <c r="AX33" t="str">
        <f>REPLACE(Table1[[#This Row],[Product_ID]],1,1,"s")</f>
        <v>s105</v>
      </c>
      <c r="AY33" t="s">
        <v>404</v>
      </c>
      <c r="AZ33">
        <f>SEARCH("-",Table1[[#This Row],[Product ID]])</f>
        <v>2</v>
      </c>
      <c r="BA33">
        <f>FIND("-",Table1[[#This Row],[Product ID]])</f>
        <v>2</v>
      </c>
      <c r="BB33" t="str">
        <f>MID(Table1[[#This Row],[Product_ID]],2,3)</f>
        <v>105</v>
      </c>
      <c r="BC33" t="str">
        <f>RIGHT(Table1[[#This Row],[Product_ID]],3)</f>
        <v>105</v>
      </c>
      <c r="BD33" t="str">
        <f>LEFT(Table1[[#This Row],[Product_ID]],3)</f>
        <v>P10</v>
      </c>
      <c r="BE33" t="str">
        <f>_xlfn.XLOOKUP(Table1[[#This Row],[Product_ID]],AW:AW,BF:BF,,0)</f>
        <v>Bluetooth Speaker</v>
      </c>
      <c r="BF33" t="s">
        <v>185</v>
      </c>
      <c r="BG33">
        <f>LEN(Table1[[#This Row],[Product_Name]])</f>
        <v>17</v>
      </c>
      <c r="BH33" t="s">
        <v>154</v>
      </c>
      <c r="BI33">
        <f t="shared" si="7"/>
        <v>75</v>
      </c>
      <c r="BJ33" t="str">
        <f>SUBSTITUTE(Table1[[#This Row],[Category]],"Electronics","ELECTRONICS")</f>
        <v>ELECTRONICS</v>
      </c>
      <c r="BN33" t="s">
        <v>186</v>
      </c>
      <c r="BS33" s="14">
        <v>1</v>
      </c>
      <c r="BT33" s="3">
        <v>2999</v>
      </c>
      <c r="BU33" s="4">
        <v>10</v>
      </c>
      <c r="BV33" s="4" t="str">
        <f>IF(AND(Table1[[#This Row],[Quantity]]&gt;=3,Table1[[#This Row],[Discount_%]]&gt;=15%),"Bulk Discount","no")</f>
        <v>no</v>
      </c>
      <c r="BW33" s="4" t="str">
        <f>IF(AND(Table1[[#This Row],[Quantity]]&gt;3,Table1[[#This Row],[Discount_%]]&gt;15%),"Bulk Customer","Normal")</f>
        <v>Normal</v>
      </c>
      <c r="BX33" t="s">
        <v>192</v>
      </c>
      <c r="BY33" t="s">
        <v>136</v>
      </c>
      <c r="CC33" t="str">
        <f>IF(OR(Table1[[#This Row],[Order_Status]]="Returned",Table1[[#This Row],[Order_Status]]="Cancelled"),"Attention Required","Not")</f>
        <v>Not</v>
      </c>
      <c r="CD33" t="str">
        <f>IF(OR(Table1[[#This Row],[Order_Status]]="Returned",Table1[[#This Row],[Order_Status]]="Cancelled"),"Review","no")</f>
        <v>no</v>
      </c>
      <c r="CE33" t="str">
        <f>SUBSTITUTE(Table1[[#This Row],[Order_Status]],"Delivered","Completed")</f>
        <v>Completed</v>
      </c>
      <c r="CF33" s="2">
        <v>45892</v>
      </c>
      <c r="CG33" s="17">
        <f>NETWORKDAYS(Table1[[#This Row],[Order_Date]],Table1[[#This Row],[Delivery_Date]])</f>
        <v>5</v>
      </c>
      <c r="CH33" s="17">
        <f>Table1[[#This Row],[Delivery_Date]]-Table1[[#This Row],[Order_Date]]</f>
        <v>6</v>
      </c>
      <c r="CI33" t="s">
        <v>137</v>
      </c>
      <c r="CJ33" t="str">
        <f>IF(Table1[[#This Row],[Rating]]&gt;=4,"Good","Needs Improvement")</f>
        <v>Good</v>
      </c>
      <c r="CK33" t="str">
        <f>IF(OR(Table1[[#This Row],[Rating]]&lt;=2,Table1[[#This Row],[Profit]]&lt;0),"Review","NO")</f>
        <v>NO</v>
      </c>
      <c r="CL33" t="str" cm="1">
        <f t="array" ref="CL33">_xlfn.IFS(Table1[[#This Row],[Rating]]&gt;2,"Poor",Table1[[#This Row],[Rating]]=3,"Average",Table1[[#This Row],[Rating]]=4,"Good",CP33=5,"Excellent")</f>
        <v>Poor</v>
      </c>
      <c r="CM33">
        <f>COUNT(Table1[[#This Row],[Rating]])</f>
        <v>1</v>
      </c>
      <c r="CN33">
        <f>COUNTBLANK(Table1[[#This Row],[Rating]])</f>
        <v>0</v>
      </c>
      <c r="CQ33" s="14">
        <v>4</v>
      </c>
      <c r="CR33" t="s">
        <v>204</v>
      </c>
      <c r="CS33" t="s">
        <v>267</v>
      </c>
      <c r="CU33" s="3">
        <v>2699.1</v>
      </c>
      <c r="CV33" s="3">
        <f>ROUND(Table1[[#This Row],[Sales_Amount]],0)</f>
        <v>2699</v>
      </c>
      <c r="CW33" s="3"/>
      <c r="CX33" s="3"/>
      <c r="CY33" s="3" t="b">
        <f>IF(AND(Table1[[#This Row],[Sales_Amount]]&gt;=10000,Table1[[#This Row],[Profit]]&gt;0),"Good Order")</f>
        <v>0</v>
      </c>
      <c r="CZ33" s="3" t="str">
        <f>IF(Table1[[#This Row],[Sales_Amount]]&gt;=10000,"High","Normal")</f>
        <v>Normal</v>
      </c>
      <c r="DA33" s="3">
        <v>949.1</v>
      </c>
      <c r="DB33" s="3">
        <f>ROUND(Table1[[#This Row],[Profit]],0)</f>
        <v>949</v>
      </c>
      <c r="DC33" s="3">
        <f>ABS(Table1[[#This Row],[Profit]])</f>
        <v>949.1</v>
      </c>
      <c r="DD33" s="3"/>
      <c r="DE33" s="3"/>
      <c r="DF33" s="3"/>
      <c r="DG33" s="3" t="str">
        <f>IF(Table1[[#This Row],[Profit]]&gt;0,"Profit","Loss")</f>
        <v>Profit</v>
      </c>
      <c r="DH33" s="3" t="str">
        <f>IF(AND(Table1[[#This Row],[Sales_Amount]]&gt;=10000,Table1[[#This Row],[Profit]]&gt;0),"Priority","Normal")</f>
        <v>Normal</v>
      </c>
      <c r="DI33" s="3">
        <f t="shared" ca="1" si="2"/>
        <v>0.12425555725560089</v>
      </c>
      <c r="DJ33" s="3">
        <f t="shared" ca="1" si="3"/>
        <v>82</v>
      </c>
      <c r="DK33" s="3"/>
      <c r="DL33" s="3"/>
      <c r="DM33" s="3"/>
      <c r="DN33" s="3"/>
      <c r="DO33" s="3"/>
      <c r="DP33" s="3"/>
    </row>
    <row r="34" spans="1:120">
      <c r="A34" t="s">
        <v>405</v>
      </c>
      <c r="B34" t="str">
        <f>REPLACE(Table1[[#This Row],[Order_ID]],1,3,"YOO")</f>
        <v>YOO10033</v>
      </c>
      <c r="C34" t="str">
        <f>MID(Table1[[#This Row],[Order_ID]],4,4)</f>
        <v>1003</v>
      </c>
      <c r="D34" t="str">
        <f>LEFT(Table1[[#This Row],[Order_ID]],4)</f>
        <v>ORD1</v>
      </c>
      <c r="E34" t="str">
        <f>RIGHT(Table1[[#This Row],[Order_ID]],5)</f>
        <v>10033</v>
      </c>
      <c r="F34" t="s">
        <v>5</v>
      </c>
      <c r="G34">
        <v>10033</v>
      </c>
      <c r="H34" t="s">
        <v>406</v>
      </c>
      <c r="I34" s="2">
        <f>EDATE(Table1[[#This Row],[Order_Date]],3)</f>
        <v>46087</v>
      </c>
      <c r="J34" s="2">
        <f>EDATE(Table1[[#This Row],[Order_Date]],6)</f>
        <v>46179</v>
      </c>
      <c r="K34">
        <f ca="1">YEAR(Table1[[#This Row],[Today]])</f>
        <v>2026</v>
      </c>
      <c r="L34">
        <v>33</v>
      </c>
      <c r="M34">
        <f ca="1">DAY(Table1[[#This Row],[Today]])</f>
        <v>11</v>
      </c>
      <c r="N34" s="19">
        <f t="shared" ca="1" si="6"/>
        <v>46245.589795370368</v>
      </c>
      <c r="O34" s="2">
        <f t="shared" ca="1" si="0"/>
        <v>46245</v>
      </c>
      <c r="P34" s="17">
        <f ca="1">Table1[[#This Row],[Today]]-Table1[[#This Row],[Order_Date]]</f>
        <v>248</v>
      </c>
      <c r="Q34" s="2">
        <v>45690</v>
      </c>
      <c r="R34" s="2">
        <v>45997</v>
      </c>
      <c r="S34" s="6">
        <f t="shared" si="4"/>
        <v>2025</v>
      </c>
      <c r="T34" s="7" t="str">
        <f t="shared" si="5"/>
        <v>December</v>
      </c>
      <c r="U34" s="2">
        <f>WORKDAY(Table1[[#This Row],[Order_Date]],5)</f>
        <v>46003</v>
      </c>
      <c r="V34" s="7" t="str">
        <f>CONCATENATE(Table1[[#This Row],[Customer_ID]],Table1[[#This Row],[Customer_Name]])</f>
        <v>C1010Neha Gupta</v>
      </c>
      <c r="W34" t="s">
        <v>399</v>
      </c>
      <c r="X34" t="s">
        <v>229</v>
      </c>
      <c r="Y34">
        <f>COUNTA(Table1[[#This Row],[Customer_Name]])</f>
        <v>1</v>
      </c>
      <c r="Z34" t="str">
        <f>SUBSTITUTE(Table1[[#This Row],[Customer_Name]]," ","_")</f>
        <v>Neha_Gupta</v>
      </c>
      <c r="AA34" s="10">
        <f>IFERROR(SEARCH("a",Table1[[#This Row],[Customer_Name]]),"N/A")</f>
        <v>4</v>
      </c>
      <c r="AB34">
        <f>SEARCH(" ",Table1[[#This Row],[Customer_Name]])</f>
        <v>5</v>
      </c>
      <c r="AC34" s="11">
        <f>IFERROR(FIND("a",Table1[[#This Row],[Customer_Name]]),"N/A")</f>
        <v>4</v>
      </c>
      <c r="AD34">
        <f>FIND(" ",Table1[[#This Row],[Customer_Name]])</f>
        <v>5</v>
      </c>
      <c r="AE34" t="str">
        <f>TRIM(Table1[[#This Row],[Customer_Name]])</f>
        <v>Neha Gupta</v>
      </c>
      <c r="AF34">
        <f>LEN(Table1[[#This Row],[Trimmed]])</f>
        <v>10</v>
      </c>
      <c r="AG34">
        <f>MAX(Table1[Length])</f>
        <v>15</v>
      </c>
      <c r="AH34" t="str">
        <f>PROPER(Table1[[#This Row],[Customer_Name]])</f>
        <v>Neha Gupta</v>
      </c>
      <c r="AI34" t="str">
        <f>LOWER(Table1[[#This Row],[Customer_Name]])</f>
        <v>neha gupta</v>
      </c>
      <c r="AJ34" t="str">
        <f>UPPER(Table1[[#This Row],[Customer_Name]])</f>
        <v>NEHA GUPTA</v>
      </c>
      <c r="AK34" t="str">
        <f>CONCATENATE(Table1[[#This Row],[Customer_ID]],Table1[[#This Row],[Customer_Name]])</f>
        <v>C1010Neha Gupta</v>
      </c>
      <c r="AL34" t="s">
        <v>230</v>
      </c>
      <c r="AM34" t="s">
        <v>231</v>
      </c>
      <c r="AN34" t="s">
        <v>232</v>
      </c>
      <c r="AO34" t="s">
        <v>230</v>
      </c>
      <c r="AP34" t="s">
        <v>231</v>
      </c>
      <c r="AQ34" t="s">
        <v>304</v>
      </c>
      <c r="AR34" t="str">
        <f>TRIM(Table1[[#This Row],[City]])</f>
        <v>Chennai</v>
      </c>
      <c r="AS34" t="str">
        <f>PROPER(Table1[[#This Row],[City]])</f>
        <v>Chennai</v>
      </c>
      <c r="AT34" t="s">
        <v>305</v>
      </c>
      <c r="AU34" t="str">
        <f>CONCATENATE(Table1[[#This Row],[City]],Table1[[#This Row],[State]])</f>
        <v>ChennaiTamil Nadu</v>
      </c>
      <c r="AV34" t="s">
        <v>168</v>
      </c>
      <c r="AW34" t="s">
        <v>130</v>
      </c>
      <c r="AX34" t="str">
        <f>REPLACE(Table1[[#This Row],[Product_ID]],1,1,"s")</f>
        <v>s111</v>
      </c>
      <c r="AY34" t="s">
        <v>407</v>
      </c>
      <c r="AZ34">
        <f>SEARCH("-",Table1[[#This Row],[Product ID]])</f>
        <v>2</v>
      </c>
      <c r="BA34">
        <f>FIND("-",Table1[[#This Row],[Product ID]])</f>
        <v>2</v>
      </c>
      <c r="BB34" t="str">
        <f>MID(Table1[[#This Row],[Product_ID]],2,3)</f>
        <v>111</v>
      </c>
      <c r="BC34" t="str">
        <f>RIGHT(Table1[[#This Row],[Product_ID]],3)</f>
        <v>111</v>
      </c>
      <c r="BD34" t="str">
        <f>LEFT(Table1[[#This Row],[Product_ID]],3)</f>
        <v>P11</v>
      </c>
      <c r="BE34" t="str">
        <f>_xlfn.XLOOKUP(Table1[[#This Row],[Product_ID]],AW:AW,BF:BF,,0)</f>
        <v>Coffee Maker</v>
      </c>
      <c r="BF34" t="s">
        <v>132</v>
      </c>
      <c r="BG34">
        <f>LEN(Table1[[#This Row],[Product_Name]])</f>
        <v>12</v>
      </c>
      <c r="BH34" t="s">
        <v>133</v>
      </c>
      <c r="BI34">
        <f t="shared" si="7"/>
        <v>75</v>
      </c>
      <c r="BJ34" t="str">
        <f>SUBSTITUTE(Table1[[#This Row],[Category]],"Electronics","ELECTRONICS")</f>
        <v>Home</v>
      </c>
      <c r="BN34" t="s">
        <v>134</v>
      </c>
      <c r="BS34" s="14">
        <v>1</v>
      </c>
      <c r="BT34" s="3">
        <v>3999</v>
      </c>
      <c r="BU34" s="4">
        <v>0</v>
      </c>
      <c r="BV34" s="4" t="str">
        <f>IF(AND(Table1[[#This Row],[Quantity]]&gt;=3,Table1[[#This Row],[Discount_%]]&gt;=15%),"Bulk Discount","no")</f>
        <v>no</v>
      </c>
      <c r="BW34" s="4" t="str">
        <f>IF(AND(Table1[[#This Row],[Quantity]]&gt;3,Table1[[#This Row],[Discount_%]]&gt;15%),"Bulk Customer","Normal")</f>
        <v>Normal</v>
      </c>
      <c r="BX34" t="s">
        <v>135</v>
      </c>
      <c r="BY34" t="s">
        <v>136</v>
      </c>
      <c r="CC34" t="str">
        <f>IF(OR(Table1[[#This Row],[Order_Status]]="Returned",Table1[[#This Row],[Order_Status]]="Cancelled"),"Attention Required","Not")</f>
        <v>Not</v>
      </c>
      <c r="CD34" t="str">
        <f>IF(OR(Table1[[#This Row],[Order_Status]]="Returned",Table1[[#This Row],[Order_Status]]="Cancelled"),"Review","no")</f>
        <v>no</v>
      </c>
      <c r="CE34" t="str">
        <f>SUBSTITUTE(Table1[[#This Row],[Order_Status]],"Delivered","Completed")</f>
        <v>Completed</v>
      </c>
      <c r="CF34" s="2">
        <v>46000</v>
      </c>
      <c r="CG34" s="17">
        <f>NETWORKDAYS(Table1[[#This Row],[Order_Date]],Table1[[#This Row],[Delivery_Date]])</f>
        <v>2</v>
      </c>
      <c r="CH34" s="17">
        <f>Table1[[#This Row],[Delivery_Date]]-Table1[[#This Row],[Order_Date]]</f>
        <v>3</v>
      </c>
      <c r="CI34" t="s">
        <v>137</v>
      </c>
      <c r="CJ34" t="str">
        <f>IF(Table1[[#This Row],[Rating]]&gt;=4,"Good","Needs Improvement")</f>
        <v>Good</v>
      </c>
      <c r="CK34" t="str">
        <f>IF(OR(Table1[[#This Row],[Rating]]&lt;=2,Table1[[#This Row],[Profit]]&lt;0),"Review","NO")</f>
        <v>NO</v>
      </c>
      <c r="CL34" t="str" cm="1">
        <f t="array" ref="CL34">_xlfn.IFS(Table1[[#This Row],[Rating]]&gt;2,"Poor",Table1[[#This Row],[Rating]]=3,"Average",Table1[[#This Row],[Rating]]=4,"Good",CP34=5,"Excellent")</f>
        <v>Poor</v>
      </c>
      <c r="CM34">
        <f>COUNT(Table1[[#This Row],[Rating]])</f>
        <v>1</v>
      </c>
      <c r="CN34">
        <f>COUNTBLANK(Table1[[#This Row],[Rating]])</f>
        <v>0</v>
      </c>
      <c r="CP34" t="s">
        <v>138</v>
      </c>
      <c r="CQ34" s="14">
        <v>4</v>
      </c>
      <c r="CR34" t="s">
        <v>173</v>
      </c>
      <c r="CS34" t="s">
        <v>213</v>
      </c>
      <c r="CU34" s="3">
        <v>3999</v>
      </c>
      <c r="CV34" s="3">
        <f>ROUND(Table1[[#This Row],[Sales_Amount]],0)</f>
        <v>3999</v>
      </c>
      <c r="CW34" s="3"/>
      <c r="CX34" s="3"/>
      <c r="CY34" s="3" t="b">
        <f>IF(AND(Table1[[#This Row],[Sales_Amount]]&gt;=10000,Table1[[#This Row],[Profit]]&gt;0),"Good Order")</f>
        <v>0</v>
      </c>
      <c r="CZ34" s="3" t="str">
        <f>IF(Table1[[#This Row],[Sales_Amount]]&gt;=10000,"High","Normal")</f>
        <v>Normal</v>
      </c>
      <c r="DA34" s="3">
        <v>1499</v>
      </c>
      <c r="DB34" s="3">
        <f>ROUND(Table1[[#This Row],[Profit]],0)</f>
        <v>1499</v>
      </c>
      <c r="DC34" s="3">
        <f>ABS(Table1[[#This Row],[Profit]])</f>
        <v>1499</v>
      </c>
      <c r="DD34" s="3"/>
      <c r="DE34" s="3"/>
      <c r="DF34" s="3"/>
      <c r="DG34" s="3" t="str">
        <f>IF(Table1[[#This Row],[Profit]]&gt;0,"Profit","Loss")</f>
        <v>Profit</v>
      </c>
      <c r="DH34" s="3" t="str">
        <f>IF(AND(Table1[[#This Row],[Sales_Amount]]&gt;=10000,Table1[[#This Row],[Profit]]&gt;0),"Priority","Normal")</f>
        <v>Normal</v>
      </c>
      <c r="DI34" s="3">
        <f t="shared" ca="1" si="2"/>
        <v>0.8744505130224407</v>
      </c>
      <c r="DJ34" s="3">
        <f t="shared" ca="1" si="3"/>
        <v>80</v>
      </c>
      <c r="DK34" s="3"/>
      <c r="DL34" s="3"/>
      <c r="DM34" s="3"/>
      <c r="DN34" s="3"/>
      <c r="DO34" s="3"/>
      <c r="DP34" s="3"/>
    </row>
    <row r="35" spans="1:120">
      <c r="A35" t="s">
        <v>408</v>
      </c>
      <c r="B35" t="str">
        <f>REPLACE(Table1[[#This Row],[Order_ID]],1,3,"YOO")</f>
        <v>YOO10034</v>
      </c>
      <c r="C35" t="str">
        <f>MID(Table1[[#This Row],[Order_ID]],4,4)</f>
        <v>1003</v>
      </c>
      <c r="D35" t="str">
        <f>LEFT(Table1[[#This Row],[Order_ID]],4)</f>
        <v>ORD1</v>
      </c>
      <c r="E35" t="str">
        <f>RIGHT(Table1[[#This Row],[Order_ID]],5)</f>
        <v>10034</v>
      </c>
      <c r="F35" t="s">
        <v>5</v>
      </c>
      <c r="G35">
        <v>10034</v>
      </c>
      <c r="H35" t="s">
        <v>409</v>
      </c>
      <c r="I35" s="2">
        <f>EDATE(Table1[[#This Row],[Order_Date]],3)</f>
        <v>46196</v>
      </c>
      <c r="J35" s="2">
        <f>EDATE(Table1[[#This Row],[Order_Date]],6)</f>
        <v>46288</v>
      </c>
      <c r="K35">
        <f ca="1">YEAR(Table1[[#This Row],[Today]])</f>
        <v>2026</v>
      </c>
      <c r="L35">
        <v>34</v>
      </c>
      <c r="M35">
        <f ca="1">DAY(Table1[[#This Row],[Today]])</f>
        <v>11</v>
      </c>
      <c r="N35" s="19">
        <f t="shared" ca="1" si="6"/>
        <v>46245.589795138891</v>
      </c>
      <c r="O35" s="2">
        <f t="shared" ca="1" si="0"/>
        <v>46245</v>
      </c>
      <c r="P35" s="17">
        <f ca="1">Table1[[#This Row],[Today]]-Table1[[#This Row],[Order_Date]]</f>
        <v>141</v>
      </c>
      <c r="Q35" s="2">
        <v>45691</v>
      </c>
      <c r="R35" s="2">
        <v>46104</v>
      </c>
      <c r="S35" s="6">
        <f t="shared" si="4"/>
        <v>2026</v>
      </c>
      <c r="T35" s="7" t="str">
        <f t="shared" si="5"/>
        <v>March</v>
      </c>
      <c r="U35" s="2">
        <f>WORKDAY(Table1[[#This Row],[Order_Date]],5)</f>
        <v>46111</v>
      </c>
      <c r="V35" s="7" t="str">
        <f>CONCATENATE(Table1[[#This Row],[Customer_ID]],Table1[[#This Row],[Customer_Name]])</f>
        <v>C1012Isha Kapoor</v>
      </c>
      <c r="W35" t="s">
        <v>410</v>
      </c>
      <c r="X35" t="s">
        <v>411</v>
      </c>
      <c r="Y35">
        <f>COUNTA(Table1[[#This Row],[Customer_Name]])</f>
        <v>1</v>
      </c>
      <c r="Z35" t="str">
        <f>SUBSTITUTE(Table1[[#This Row],[Customer_Name]]," ","_")</f>
        <v>Isha_Kapoor</v>
      </c>
      <c r="AA35" s="10">
        <f>IFERROR(SEARCH("a",Table1[[#This Row],[Customer_Name]]),"N/A")</f>
        <v>4</v>
      </c>
      <c r="AB35">
        <f>SEARCH(" ",Table1[[#This Row],[Customer_Name]])</f>
        <v>5</v>
      </c>
      <c r="AC35" s="11">
        <f>IFERROR(FIND("a",Table1[[#This Row],[Customer_Name]]),"N/A")</f>
        <v>4</v>
      </c>
      <c r="AD35">
        <f>FIND(" ",Table1[[#This Row],[Customer_Name]])</f>
        <v>5</v>
      </c>
      <c r="AE35" t="str">
        <f>TRIM(Table1[[#This Row],[Customer_Name]])</f>
        <v>Isha Kapoor</v>
      </c>
      <c r="AF35">
        <f>LEN(Table1[[#This Row],[Trimmed]])</f>
        <v>11</v>
      </c>
      <c r="AG35">
        <f>MAX(Table1[Length])</f>
        <v>15</v>
      </c>
      <c r="AH35" t="str">
        <f>PROPER(Table1[[#This Row],[Customer_Name]])</f>
        <v>Isha Kapoor</v>
      </c>
      <c r="AI35" t="str">
        <f>LOWER(Table1[[#This Row],[Customer_Name]])</f>
        <v>isha kapoor</v>
      </c>
      <c r="AJ35" t="str">
        <f>UPPER(Table1[[#This Row],[Customer_Name]])</f>
        <v>ISHA KAPOOR</v>
      </c>
      <c r="AK35" t="str">
        <f>CONCATENATE(Table1[[#This Row],[Customer_ID]],Table1[[#This Row],[Customer_Name]])</f>
        <v>C1012Isha Kapoor</v>
      </c>
      <c r="AL35" t="s">
        <v>412</v>
      </c>
      <c r="AM35" t="s">
        <v>413</v>
      </c>
      <c r="AN35" t="s">
        <v>414</v>
      </c>
      <c r="AO35" t="s">
        <v>412</v>
      </c>
      <c r="AP35" t="s">
        <v>413</v>
      </c>
      <c r="AQ35" t="s">
        <v>344</v>
      </c>
      <c r="AR35" t="str">
        <f>TRIM(Table1[[#This Row],[City]])</f>
        <v>Bhopal</v>
      </c>
      <c r="AS35" t="str">
        <f>PROPER(Table1[[#This Row],[City]])</f>
        <v>Bhopal</v>
      </c>
      <c r="AT35" t="s">
        <v>345</v>
      </c>
      <c r="AU35" t="str">
        <f>CONCATENATE(Table1[[#This Row],[City]],Table1[[#This Row],[State]])</f>
        <v>BhopalMadhya Pradesh</v>
      </c>
      <c r="AV35" t="s">
        <v>346</v>
      </c>
      <c r="AW35" t="s">
        <v>250</v>
      </c>
      <c r="AX35" t="str">
        <f>REPLACE(Table1[[#This Row],[Product_ID]],1,1,"s")</f>
        <v>s113</v>
      </c>
      <c r="AY35" t="s">
        <v>415</v>
      </c>
      <c r="AZ35">
        <f>SEARCH("-",Table1[[#This Row],[Product ID]])</f>
        <v>2</v>
      </c>
      <c r="BA35">
        <f>FIND("-",Table1[[#This Row],[Product ID]])</f>
        <v>2</v>
      </c>
      <c r="BB35" t="str">
        <f>MID(Table1[[#This Row],[Product_ID]],2,3)</f>
        <v>113</v>
      </c>
      <c r="BC35" t="str">
        <f>RIGHT(Table1[[#This Row],[Product_ID]],3)</f>
        <v>113</v>
      </c>
      <c r="BD35" t="str">
        <f>LEFT(Table1[[#This Row],[Product_ID]],3)</f>
        <v>P11</v>
      </c>
      <c r="BE35" t="str">
        <f>_xlfn.XLOOKUP(Table1[[#This Row],[Product_ID]],AW:AW,BF:BF,,0)</f>
        <v>Desk Lamp</v>
      </c>
      <c r="BF35" t="s">
        <v>252</v>
      </c>
      <c r="BG35">
        <f>LEN(Table1[[#This Row],[Product_Name]])</f>
        <v>9</v>
      </c>
      <c r="BH35" t="s">
        <v>133</v>
      </c>
      <c r="BI35">
        <f t="shared" si="7"/>
        <v>75</v>
      </c>
      <c r="BJ35" t="str">
        <f>SUBSTITUTE(Table1[[#This Row],[Category]],"Electronics","ELECTRONICS")</f>
        <v>Home</v>
      </c>
      <c r="BN35" t="s">
        <v>253</v>
      </c>
      <c r="BS35" s="14">
        <v>5</v>
      </c>
      <c r="BT35" s="3">
        <v>1299</v>
      </c>
      <c r="BU35" s="4">
        <v>0</v>
      </c>
      <c r="BV35" s="4" t="str">
        <f>IF(AND(Table1[[#This Row],[Quantity]]&gt;=3,Table1[[#This Row],[Discount_%]]&gt;=15%),"Bulk Discount","no")</f>
        <v>no</v>
      </c>
      <c r="BW35" s="4" t="str">
        <f>IF(AND(Table1[[#This Row],[Quantity]]&gt;3,Table1[[#This Row],[Discount_%]]&gt;15%),"Bulk Customer","Normal")</f>
        <v>Normal</v>
      </c>
      <c r="BX35" t="s">
        <v>172</v>
      </c>
      <c r="BY35" t="s">
        <v>136</v>
      </c>
      <c r="CC35" t="str">
        <f>IF(OR(Table1[[#This Row],[Order_Status]]="Returned",Table1[[#This Row],[Order_Status]]="Cancelled"),"Attention Required","Not")</f>
        <v>Not</v>
      </c>
      <c r="CD35" t="str">
        <f>IF(OR(Table1[[#This Row],[Order_Status]]="Returned",Table1[[#This Row],[Order_Status]]="Cancelled"),"Review","no")</f>
        <v>no</v>
      </c>
      <c r="CE35" t="str">
        <f>SUBSTITUTE(Table1[[#This Row],[Order_Status]],"Delivered","Completed")</f>
        <v>Completed</v>
      </c>
      <c r="CF35" s="2">
        <v>46108</v>
      </c>
      <c r="CG35" s="17">
        <f>NETWORKDAYS(Table1[[#This Row],[Order_Date]],Table1[[#This Row],[Delivery_Date]])</f>
        <v>5</v>
      </c>
      <c r="CH35" s="17">
        <f>Table1[[#This Row],[Delivery_Date]]-Table1[[#This Row],[Order_Date]]</f>
        <v>4</v>
      </c>
      <c r="CI35" t="s">
        <v>137</v>
      </c>
      <c r="CJ35" t="str">
        <f>IF(Table1[[#This Row],[Rating]]&gt;=4,"Good","Needs Improvement")</f>
        <v>Good</v>
      </c>
      <c r="CK35" t="str">
        <f>IF(OR(Table1[[#This Row],[Rating]]&lt;=2,Table1[[#This Row],[Profit]]&lt;0),"Review","NO")</f>
        <v>NO</v>
      </c>
      <c r="CL35" t="str" cm="1">
        <f t="array" ref="CL35">_xlfn.IFS(Table1[[#This Row],[Rating]]&gt;2,"Poor",Table1[[#This Row],[Rating]]=3,"Average",Table1[[#This Row],[Rating]]=4,"Good",CP35=5,"Excellent")</f>
        <v>Poor</v>
      </c>
      <c r="CM35">
        <f>COUNT(Table1[[#This Row],[Rating]])</f>
        <v>1</v>
      </c>
      <c r="CN35">
        <f>COUNTBLANK(Table1[[#This Row],[Rating]])</f>
        <v>0</v>
      </c>
      <c r="CP35" t="s">
        <v>266</v>
      </c>
      <c r="CQ35" s="14">
        <v>4</v>
      </c>
      <c r="CR35" t="s">
        <v>204</v>
      </c>
      <c r="CS35" t="s">
        <v>213</v>
      </c>
      <c r="CU35" s="3">
        <v>6495</v>
      </c>
      <c r="CV35" s="3">
        <f>ROUND(Table1[[#This Row],[Sales_Amount]],0)</f>
        <v>6495</v>
      </c>
      <c r="CW35" s="3"/>
      <c r="CX35" s="3"/>
      <c r="CY35" s="3" t="b">
        <f>IF(AND(Table1[[#This Row],[Sales_Amount]]&gt;=10000,Table1[[#This Row],[Profit]]&gt;0),"Good Order")</f>
        <v>0</v>
      </c>
      <c r="CZ35" s="3" t="str">
        <f>IF(Table1[[#This Row],[Sales_Amount]]&gt;=10000,"High","Normal")</f>
        <v>Normal</v>
      </c>
      <c r="DA35" s="3">
        <v>3245</v>
      </c>
      <c r="DB35" s="3">
        <f>ROUND(Table1[[#This Row],[Profit]],0)</f>
        <v>3245</v>
      </c>
      <c r="DC35" s="3">
        <f>ABS(Table1[[#This Row],[Profit]])</f>
        <v>3245</v>
      </c>
      <c r="DD35" s="3"/>
      <c r="DE35" s="3"/>
      <c r="DF35" s="3"/>
      <c r="DG35" s="3" t="str">
        <f>IF(Table1[[#This Row],[Profit]]&gt;0,"Profit","Loss")</f>
        <v>Profit</v>
      </c>
      <c r="DH35" s="3" t="str">
        <f>IF(AND(Table1[[#This Row],[Sales_Amount]]&gt;=10000,Table1[[#This Row],[Profit]]&gt;0),"Priority","Normal")</f>
        <v>Normal</v>
      </c>
      <c r="DI35" s="3">
        <f t="shared" ca="1" si="2"/>
        <v>0.6022483143497559</v>
      </c>
      <c r="DJ35" s="3">
        <f t="shared" ca="1" si="3"/>
        <v>4</v>
      </c>
      <c r="DK35" s="3"/>
      <c r="DL35" s="3"/>
      <c r="DM35" s="3"/>
      <c r="DN35" s="3"/>
      <c r="DO35" s="3"/>
      <c r="DP35" s="3"/>
    </row>
    <row r="36" spans="1:120">
      <c r="A36" t="s">
        <v>416</v>
      </c>
      <c r="B36" t="str">
        <f>REPLACE(Table1[[#This Row],[Order_ID]],1,3,"YOO")</f>
        <v>YOO10035</v>
      </c>
      <c r="C36" t="str">
        <f>MID(Table1[[#This Row],[Order_ID]],4,4)</f>
        <v>1003</v>
      </c>
      <c r="D36" t="str">
        <f>LEFT(Table1[[#This Row],[Order_ID]],4)</f>
        <v>ORD1</v>
      </c>
      <c r="E36" t="str">
        <f>RIGHT(Table1[[#This Row],[Order_ID]],5)</f>
        <v>10035</v>
      </c>
      <c r="F36" t="s">
        <v>5</v>
      </c>
      <c r="G36">
        <v>10035</v>
      </c>
      <c r="H36" t="s">
        <v>417</v>
      </c>
      <c r="I36" s="2">
        <f>EDATE(Table1[[#This Row],[Order_Date]],3)</f>
        <v>45951</v>
      </c>
      <c r="J36" s="2">
        <f>EDATE(Table1[[#This Row],[Order_Date]],6)</f>
        <v>46043</v>
      </c>
      <c r="K36">
        <f ca="1">YEAR(Table1[[#This Row],[Today]])</f>
        <v>2026</v>
      </c>
      <c r="L36">
        <v>35</v>
      </c>
      <c r="M36">
        <f ca="1">DAY(Table1[[#This Row],[Today]])</f>
        <v>11</v>
      </c>
      <c r="N36" s="19">
        <f t="shared" ca="1" si="6"/>
        <v>46245.589795370368</v>
      </c>
      <c r="O36" s="2">
        <f t="shared" ca="1" si="0"/>
        <v>46245</v>
      </c>
      <c r="P36" s="17">
        <f ca="1">Table1[[#This Row],[Today]]-Table1[[#This Row],[Order_Date]]</f>
        <v>386</v>
      </c>
      <c r="Q36" s="2">
        <v>45692</v>
      </c>
      <c r="R36" s="2">
        <v>45859</v>
      </c>
      <c r="S36" s="6">
        <f t="shared" si="4"/>
        <v>2025</v>
      </c>
      <c r="T36" s="7" t="str">
        <f t="shared" si="5"/>
        <v>July</v>
      </c>
      <c r="U36" s="2">
        <f>WORKDAY(Table1[[#This Row],[Order_Date]],5)</f>
        <v>45866</v>
      </c>
      <c r="V36" s="7" t="str">
        <f>CONCATENATE(Table1[[#This Row],[Customer_ID]],Table1[[#This Row],[Customer_Name]])</f>
        <v>C1032Pooja Jain</v>
      </c>
      <c r="W36" t="s">
        <v>418</v>
      </c>
      <c r="X36" t="s">
        <v>419</v>
      </c>
      <c r="Y36">
        <f>COUNTA(Table1[[#This Row],[Customer_Name]])</f>
        <v>1</v>
      </c>
      <c r="Z36" t="str">
        <f>SUBSTITUTE(Table1[[#This Row],[Customer_Name]]," ","_")</f>
        <v>Pooja_Jain</v>
      </c>
      <c r="AA36" s="10">
        <f>IFERROR(SEARCH("a",Table1[[#This Row],[Customer_Name]]),"N/A")</f>
        <v>5</v>
      </c>
      <c r="AB36">
        <f>SEARCH(" ",Table1[[#This Row],[Customer_Name]])</f>
        <v>6</v>
      </c>
      <c r="AC36" s="11">
        <f>IFERROR(FIND("a",Table1[[#This Row],[Customer_Name]]),"N/A")</f>
        <v>5</v>
      </c>
      <c r="AD36">
        <f>FIND(" ",Table1[[#This Row],[Customer_Name]])</f>
        <v>6</v>
      </c>
      <c r="AE36" t="str">
        <f>TRIM(Table1[[#This Row],[Customer_Name]])</f>
        <v>Pooja Jain</v>
      </c>
      <c r="AF36">
        <f>LEN(Table1[[#This Row],[Trimmed]])</f>
        <v>10</v>
      </c>
      <c r="AG36">
        <f>MAX(Table1[Length])</f>
        <v>15</v>
      </c>
      <c r="AH36" t="str">
        <f>PROPER(Table1[[#This Row],[Customer_Name]])</f>
        <v>Pooja Jain</v>
      </c>
      <c r="AI36" t="str">
        <f>LOWER(Table1[[#This Row],[Customer_Name]])</f>
        <v>pooja jain</v>
      </c>
      <c r="AJ36" t="str">
        <f>UPPER(Table1[[#This Row],[Customer_Name]])</f>
        <v>POOJA JAIN</v>
      </c>
      <c r="AK36" t="str">
        <f>CONCATENATE(Table1[[#This Row],[Customer_ID]],Table1[[#This Row],[Customer_Name]])</f>
        <v>C1032Pooja Jain</v>
      </c>
      <c r="AL36" t="s">
        <v>420</v>
      </c>
      <c r="AM36" t="s">
        <v>421</v>
      </c>
      <c r="AN36" t="s">
        <v>422</v>
      </c>
      <c r="AO36" t="s">
        <v>420</v>
      </c>
      <c r="AP36" t="s">
        <v>421</v>
      </c>
      <c r="AQ36" t="s">
        <v>423</v>
      </c>
      <c r="AR36" t="str">
        <f>TRIM(Table1[[#This Row],[City]])</f>
        <v>Ahmedabad</v>
      </c>
      <c r="AS36" t="str">
        <f>PROPER(Table1[[#This Row],[City]])</f>
        <v>Ahmedabad</v>
      </c>
      <c r="AT36" t="s">
        <v>424</v>
      </c>
      <c r="AU36" t="str">
        <f>CONCATENATE(Table1[[#This Row],[City]],Table1[[#This Row],[State]])</f>
        <v>AhmedabadGujarat</v>
      </c>
      <c r="AV36" t="s">
        <v>129</v>
      </c>
      <c r="AW36" t="s">
        <v>169</v>
      </c>
      <c r="AX36" t="str">
        <f>REPLACE(Table1[[#This Row],[Product_ID]],1,1,"s")</f>
        <v>s112</v>
      </c>
      <c r="AY36" t="s">
        <v>425</v>
      </c>
      <c r="AZ36">
        <f>SEARCH("-",Table1[[#This Row],[Product ID]])</f>
        <v>2</v>
      </c>
      <c r="BA36">
        <f>FIND("-",Table1[[#This Row],[Product ID]])</f>
        <v>2</v>
      </c>
      <c r="BB36" t="str">
        <f>MID(Table1[[#This Row],[Product_ID]],2,3)</f>
        <v>112</v>
      </c>
      <c r="BC36" t="str">
        <f>RIGHT(Table1[[#This Row],[Product_ID]],3)</f>
        <v>112</v>
      </c>
      <c r="BD36" t="str">
        <f>LEFT(Table1[[#This Row],[Product_ID]],3)</f>
        <v>P11</v>
      </c>
      <c r="BE36" t="str">
        <f>_xlfn.XLOOKUP(Table1[[#This Row],[Product_ID]],AW:AW,BF:BF,,0)</f>
        <v>Air Fryer</v>
      </c>
      <c r="BF36" t="s">
        <v>171</v>
      </c>
      <c r="BG36">
        <f>LEN(Table1[[#This Row],[Product_Name]])</f>
        <v>9</v>
      </c>
      <c r="BH36" t="s">
        <v>133</v>
      </c>
      <c r="BI36">
        <f t="shared" si="7"/>
        <v>75</v>
      </c>
      <c r="BJ36" t="str">
        <f>SUBSTITUTE(Table1[[#This Row],[Category]],"Electronics","ELECTRONICS")</f>
        <v>Home</v>
      </c>
      <c r="BN36" t="s">
        <v>134</v>
      </c>
      <c r="BS36" s="14">
        <v>3</v>
      </c>
      <c r="BT36" s="3">
        <v>6499</v>
      </c>
      <c r="BU36" s="4">
        <v>20</v>
      </c>
      <c r="BV36" s="4" t="str">
        <f>IF(AND(Table1[[#This Row],[Quantity]]&gt;=3,Table1[[#This Row],[Discount_%]]&gt;=15%),"Bulk Discount","no")</f>
        <v>Bulk Discount</v>
      </c>
      <c r="BW36" s="4" t="str">
        <f>IF(AND(Table1[[#This Row],[Quantity]]&gt;3,Table1[[#This Row],[Discount_%]]&gt;15%),"Bulk Customer","Normal")</f>
        <v>Normal</v>
      </c>
      <c r="BX36" t="s">
        <v>135</v>
      </c>
      <c r="BY36" t="s">
        <v>136</v>
      </c>
      <c r="CC36" t="str">
        <f>IF(OR(Table1[[#This Row],[Order_Status]]="Returned",Table1[[#This Row],[Order_Status]]="Cancelled"),"Attention Required","Not")</f>
        <v>Not</v>
      </c>
      <c r="CD36" t="str">
        <f>IF(OR(Table1[[#This Row],[Order_Status]]="Returned",Table1[[#This Row],[Order_Status]]="Cancelled"),"Review","no")</f>
        <v>no</v>
      </c>
      <c r="CE36" t="str">
        <f>SUBSTITUTE(Table1[[#This Row],[Order_Status]],"Delivered","Completed")</f>
        <v>Completed</v>
      </c>
      <c r="CF36" s="2">
        <v>45865</v>
      </c>
      <c r="CG36" s="17">
        <f>NETWORKDAYS(Table1[[#This Row],[Order_Date]],Table1[[#This Row],[Delivery_Date]])</f>
        <v>5</v>
      </c>
      <c r="CH36" s="17">
        <f>Table1[[#This Row],[Delivery_Date]]-Table1[[#This Row],[Order_Date]]</f>
        <v>6</v>
      </c>
      <c r="CI36" t="s">
        <v>137</v>
      </c>
      <c r="CJ36" t="str">
        <f>IF(Table1[[#This Row],[Rating]]&gt;=4,"Good","Needs Improvement")</f>
        <v>Good</v>
      </c>
      <c r="CK36" t="str">
        <f>IF(OR(Table1[[#This Row],[Rating]]&lt;=2,Table1[[#This Row],[Profit]]&lt;0),"Review","NO")</f>
        <v>NO</v>
      </c>
      <c r="CL36" t="str" cm="1">
        <f t="array" ref="CL36">_xlfn.IFS(Table1[[#This Row],[Rating]]&gt;2,"Poor",Table1[[#This Row],[Rating]]=3,"Average",Table1[[#This Row],[Rating]]=4,"Good",CP36=5,"Excellent")</f>
        <v>Poor</v>
      </c>
      <c r="CM36">
        <f>COUNT(Table1[[#This Row],[Rating]])</f>
        <v>1</v>
      </c>
      <c r="CN36">
        <f>COUNTBLANK(Table1[[#This Row],[Rating]])</f>
        <v>0</v>
      </c>
      <c r="CP36" t="s">
        <v>157</v>
      </c>
      <c r="CQ36" s="14">
        <v>5</v>
      </c>
      <c r="CR36" t="s">
        <v>204</v>
      </c>
      <c r="CS36" t="s">
        <v>267</v>
      </c>
      <c r="CU36" s="3">
        <v>15597.6</v>
      </c>
      <c r="CV36" s="3">
        <f>ROUND(Table1[[#This Row],[Sales_Amount]],0)</f>
        <v>15598</v>
      </c>
      <c r="CW36" s="3"/>
      <c r="CX36" s="3"/>
      <c r="CY36" s="3" t="str">
        <f>IF(AND(Table1[[#This Row],[Sales_Amount]]&gt;=10000,Table1[[#This Row],[Profit]]&gt;0),"Good Order")</f>
        <v>Good Order</v>
      </c>
      <c r="CZ36" s="3" t="str">
        <f>IF(Table1[[#This Row],[Sales_Amount]]&gt;=10000,"High","Normal")</f>
        <v>High</v>
      </c>
      <c r="DA36" s="3">
        <v>2697.6</v>
      </c>
      <c r="DB36" s="3">
        <f>ROUND(Table1[[#This Row],[Profit]],0)</f>
        <v>2698</v>
      </c>
      <c r="DC36" s="3">
        <f>ABS(Table1[[#This Row],[Profit]])</f>
        <v>2697.6</v>
      </c>
      <c r="DD36" s="3"/>
      <c r="DE36" s="3"/>
      <c r="DF36" s="3"/>
      <c r="DG36" s="3" t="str">
        <f>IF(Table1[[#This Row],[Profit]]&gt;0,"Profit","Loss")</f>
        <v>Profit</v>
      </c>
      <c r="DH36" s="3" t="str">
        <f>IF(AND(Table1[[#This Row],[Sales_Amount]]&gt;=10000,Table1[[#This Row],[Profit]]&gt;0),"Priority","Normal")</f>
        <v>Priority</v>
      </c>
      <c r="DI36" s="3">
        <f t="shared" ca="1" si="2"/>
        <v>0.46502445392332747</v>
      </c>
      <c r="DJ36" s="3">
        <f t="shared" ca="1" si="3"/>
        <v>68</v>
      </c>
      <c r="DK36" s="3"/>
      <c r="DL36" s="3"/>
      <c r="DM36" s="3"/>
      <c r="DN36" s="3"/>
      <c r="DO36" s="3"/>
      <c r="DP36" s="3"/>
    </row>
    <row r="37" spans="1:120">
      <c r="A37" t="s">
        <v>426</v>
      </c>
      <c r="B37" t="str">
        <f>REPLACE(Table1[[#This Row],[Order_ID]],1,3,"YOO")</f>
        <v>YOO10036</v>
      </c>
      <c r="C37" t="str">
        <f>MID(Table1[[#This Row],[Order_ID]],4,4)</f>
        <v>1003</v>
      </c>
      <c r="D37" t="str">
        <f>LEFT(Table1[[#This Row],[Order_ID]],4)</f>
        <v>ORD1</v>
      </c>
      <c r="E37" t="str">
        <f>RIGHT(Table1[[#This Row],[Order_ID]],5)</f>
        <v>10036</v>
      </c>
      <c r="F37" t="s">
        <v>5</v>
      </c>
      <c r="G37">
        <v>10036</v>
      </c>
      <c r="H37" t="s">
        <v>427</v>
      </c>
      <c r="I37" s="2">
        <f>EDATE(Table1[[#This Row],[Order_Date]],3)</f>
        <v>46052</v>
      </c>
      <c r="J37" s="2">
        <f>EDATE(Table1[[#This Row],[Order_Date]],6)</f>
        <v>46142</v>
      </c>
      <c r="K37">
        <f ca="1">YEAR(Table1[[#This Row],[Today]])</f>
        <v>2026</v>
      </c>
      <c r="L37">
        <v>36</v>
      </c>
      <c r="M37">
        <f ca="1">DAY(Table1[[#This Row],[Today]])</f>
        <v>11</v>
      </c>
      <c r="N37" s="19">
        <f t="shared" ca="1" si="6"/>
        <v>46245.589795370368</v>
      </c>
      <c r="O37" s="2">
        <f t="shared" ca="1" si="0"/>
        <v>46245</v>
      </c>
      <c r="P37" s="17">
        <f ca="1">Table1[[#This Row],[Today]]-Table1[[#This Row],[Order_Date]]</f>
        <v>285</v>
      </c>
      <c r="Q37" s="2">
        <v>45693</v>
      </c>
      <c r="R37" s="2">
        <v>45960</v>
      </c>
      <c r="S37" s="6">
        <f t="shared" si="4"/>
        <v>2025</v>
      </c>
      <c r="T37" s="7" t="str">
        <f t="shared" si="5"/>
        <v>October</v>
      </c>
      <c r="U37" s="2">
        <f>WORKDAY(Table1[[#This Row],[Order_Date]],5)</f>
        <v>45967</v>
      </c>
      <c r="V37" s="7" t="str">
        <f>CONCATENATE(Table1[[#This Row],[Customer_ID]],Table1[[#This Row],[Customer_Name]])</f>
        <v>C1045Meera Nair</v>
      </c>
      <c r="W37" t="s">
        <v>428</v>
      </c>
      <c r="X37" t="s">
        <v>429</v>
      </c>
      <c r="Y37">
        <f>COUNTA(Table1[[#This Row],[Customer_Name]])</f>
        <v>1</v>
      </c>
      <c r="Z37" t="str">
        <f>SUBSTITUTE(Table1[[#This Row],[Customer_Name]]," ","_")</f>
        <v>Meera_Nair</v>
      </c>
      <c r="AA37" s="10">
        <f>IFERROR(SEARCH("a",Table1[[#This Row],[Customer_Name]]),"N/A")</f>
        <v>5</v>
      </c>
      <c r="AB37">
        <f>SEARCH(" ",Table1[[#This Row],[Customer_Name]])</f>
        <v>6</v>
      </c>
      <c r="AC37" s="11">
        <f>IFERROR(FIND("a",Table1[[#This Row],[Customer_Name]]),"N/A")</f>
        <v>5</v>
      </c>
      <c r="AD37">
        <f>FIND(" ",Table1[[#This Row],[Customer_Name]])</f>
        <v>6</v>
      </c>
      <c r="AE37" t="str">
        <f>TRIM(Table1[[#This Row],[Customer_Name]])</f>
        <v>Meera Nair</v>
      </c>
      <c r="AF37">
        <f>LEN(Table1[[#This Row],[Trimmed]])</f>
        <v>10</v>
      </c>
      <c r="AG37">
        <f>MAX(Table1[Length])</f>
        <v>15</v>
      </c>
      <c r="AH37" t="str">
        <f>PROPER(Table1[[#This Row],[Customer_Name]])</f>
        <v>Meera Nair</v>
      </c>
      <c r="AI37" t="str">
        <f>LOWER(Table1[[#This Row],[Customer_Name]])</f>
        <v>meera nair</v>
      </c>
      <c r="AJ37" t="str">
        <f>UPPER(Table1[[#This Row],[Customer_Name]])</f>
        <v>MEERA NAIR</v>
      </c>
      <c r="AK37" t="str">
        <f>CONCATENATE(Table1[[#This Row],[Customer_ID]],Table1[[#This Row],[Customer_Name]])</f>
        <v>C1045Meera Nair</v>
      </c>
      <c r="AL37" t="s">
        <v>430</v>
      </c>
      <c r="AM37" t="s">
        <v>431</v>
      </c>
      <c r="AN37" t="s">
        <v>432</v>
      </c>
      <c r="AO37" t="s">
        <v>430</v>
      </c>
      <c r="AP37" t="s">
        <v>431</v>
      </c>
      <c r="AQ37" t="s">
        <v>166</v>
      </c>
      <c r="AR37" t="str">
        <f>TRIM(Table1[[#This Row],[City]])</f>
        <v>Bengaluru</v>
      </c>
      <c r="AS37" t="str">
        <f>PROPER(Table1[[#This Row],[City]])</f>
        <v>Bengaluru</v>
      </c>
      <c r="AT37" t="s">
        <v>167</v>
      </c>
      <c r="AU37" t="str">
        <f>CONCATENATE(Table1[[#This Row],[City]],Table1[[#This Row],[State]])</f>
        <v>BengaluruKarnataka</v>
      </c>
      <c r="AV37" t="s">
        <v>168</v>
      </c>
      <c r="AW37" t="s">
        <v>221</v>
      </c>
      <c r="AX37" t="str">
        <f>REPLACE(Table1[[#This Row],[Product_ID]],1,1,"s")</f>
        <v>s106</v>
      </c>
      <c r="AY37" t="s">
        <v>433</v>
      </c>
      <c r="AZ37">
        <f>SEARCH("-",Table1[[#This Row],[Product ID]])</f>
        <v>2</v>
      </c>
      <c r="BA37">
        <f>FIND("-",Table1[[#This Row],[Product ID]])</f>
        <v>2</v>
      </c>
      <c r="BB37" t="str">
        <f>MID(Table1[[#This Row],[Product_ID]],2,3)</f>
        <v>106</v>
      </c>
      <c r="BC37" t="str">
        <f>RIGHT(Table1[[#This Row],[Product_ID]],3)</f>
        <v>106</v>
      </c>
      <c r="BD37" t="str">
        <f>LEFT(Table1[[#This Row],[Product_ID]],3)</f>
        <v>P10</v>
      </c>
      <c r="BE37" t="str">
        <f>_xlfn.XLOOKUP(Table1[[#This Row],[Product_ID]],AW:AW,BF:BF,,0)</f>
        <v>Running Shoes</v>
      </c>
      <c r="BF37" t="s">
        <v>223</v>
      </c>
      <c r="BG37">
        <f>LEN(Table1[[#This Row],[Product_Name]])</f>
        <v>13</v>
      </c>
      <c r="BH37" t="s">
        <v>224</v>
      </c>
      <c r="BI37">
        <f t="shared" si="7"/>
        <v>75</v>
      </c>
      <c r="BJ37" t="str">
        <f>SUBSTITUTE(Table1[[#This Row],[Category]],"Electronics","ELECTRONICS")</f>
        <v>Fashion</v>
      </c>
      <c r="BN37" t="s">
        <v>225</v>
      </c>
      <c r="BS37" s="14">
        <v>5</v>
      </c>
      <c r="BT37" s="3">
        <v>3499</v>
      </c>
      <c r="BU37" s="4">
        <v>5</v>
      </c>
      <c r="BV37" s="4" t="str">
        <f>IF(AND(Table1[[#This Row],[Quantity]]&gt;=3,Table1[[#This Row],[Discount_%]]&gt;=15%),"Bulk Discount","no")</f>
        <v>Bulk Discount</v>
      </c>
      <c r="BW37" s="4" t="str">
        <f>IF(AND(Table1[[#This Row],[Quantity]]&gt;3,Table1[[#This Row],[Discount_%]]&gt;15%),"Bulk Customer","Normal")</f>
        <v>Bulk Customer</v>
      </c>
      <c r="BX37" t="s">
        <v>135</v>
      </c>
      <c r="BY37" t="s">
        <v>136</v>
      </c>
      <c r="CC37" t="str">
        <f>IF(OR(Table1[[#This Row],[Order_Status]]="Returned",Table1[[#This Row],[Order_Status]]="Cancelled"),"Attention Required","Not")</f>
        <v>Not</v>
      </c>
      <c r="CD37" t="str">
        <f>IF(OR(Table1[[#This Row],[Order_Status]]="Returned",Table1[[#This Row],[Order_Status]]="Cancelled"),"Review","no")</f>
        <v>no</v>
      </c>
      <c r="CE37" t="str">
        <f>SUBSTITUTE(Table1[[#This Row],[Order_Status]],"Delivered","Completed")</f>
        <v>Completed</v>
      </c>
      <c r="CF37" s="2">
        <v>45967</v>
      </c>
      <c r="CG37" s="17">
        <f>NETWORKDAYS(Table1[[#This Row],[Order_Date]],Table1[[#This Row],[Delivery_Date]])</f>
        <v>6</v>
      </c>
      <c r="CH37" s="17">
        <f>Table1[[#This Row],[Delivery_Date]]-Table1[[#This Row],[Order_Date]]</f>
        <v>7</v>
      </c>
      <c r="CI37" t="s">
        <v>137</v>
      </c>
      <c r="CJ37" t="str">
        <f>IF(Table1[[#This Row],[Rating]]&gt;=4,"Good","Needs Improvement")</f>
        <v>Good</v>
      </c>
      <c r="CK37" t="str">
        <f>IF(OR(Table1[[#This Row],[Rating]]&lt;=2,Table1[[#This Row],[Profit]]&lt;0),"Review","NO")</f>
        <v>NO</v>
      </c>
      <c r="CL37" t="str" cm="1">
        <f t="array" ref="CL37">_xlfn.IFS(Table1[[#This Row],[Rating]]&gt;2,"Poor",Table1[[#This Row],[Rating]]=3,"Average",Table1[[#This Row],[Rating]]=4,"Good",CP37=5,"Excellent")</f>
        <v>Poor</v>
      </c>
      <c r="CM37">
        <f>COUNT(Table1[[#This Row],[Rating]])</f>
        <v>1</v>
      </c>
      <c r="CN37">
        <f>COUNTBLANK(Table1[[#This Row],[Rating]])</f>
        <v>0</v>
      </c>
      <c r="CP37" t="s">
        <v>157</v>
      </c>
      <c r="CQ37" s="14">
        <v>5</v>
      </c>
      <c r="CR37" t="s">
        <v>173</v>
      </c>
      <c r="CS37" t="s">
        <v>174</v>
      </c>
      <c r="CU37" s="3">
        <v>16620.25</v>
      </c>
      <c r="CV37" s="3">
        <f>ROUND(Table1[[#This Row],[Sales_Amount]],0)</f>
        <v>16620</v>
      </c>
      <c r="CW37" s="3"/>
      <c r="CX37" s="3"/>
      <c r="CY37" s="3" t="str">
        <f>IF(AND(Table1[[#This Row],[Sales_Amount]]&gt;=10000,Table1[[#This Row],[Profit]]&gt;0),"Good Order")</f>
        <v>Good Order</v>
      </c>
      <c r="CZ37" s="3" t="str">
        <f>IF(Table1[[#This Row],[Sales_Amount]]&gt;=10000,"High","Normal")</f>
        <v>High</v>
      </c>
      <c r="DA37" s="3">
        <v>7120.25</v>
      </c>
      <c r="DB37" s="3">
        <f>ROUND(Table1[[#This Row],[Profit]],0)</f>
        <v>7120</v>
      </c>
      <c r="DC37" s="3">
        <f>ABS(Table1[[#This Row],[Profit]])</f>
        <v>7120.25</v>
      </c>
      <c r="DD37" s="3"/>
      <c r="DE37" s="3"/>
      <c r="DF37" s="3"/>
      <c r="DG37" s="3" t="str">
        <f>IF(Table1[[#This Row],[Profit]]&gt;0,"Profit","Loss")</f>
        <v>Profit</v>
      </c>
      <c r="DH37" s="3" t="str">
        <f>IF(AND(Table1[[#This Row],[Sales_Amount]]&gt;=10000,Table1[[#This Row],[Profit]]&gt;0),"Priority","Normal")</f>
        <v>Priority</v>
      </c>
      <c r="DI37" s="3">
        <f t="shared" ca="1" si="2"/>
        <v>0.65973233839945822</v>
      </c>
      <c r="DJ37" s="3">
        <f t="shared" ca="1" si="3"/>
        <v>91</v>
      </c>
      <c r="DK37" s="3"/>
      <c r="DL37" s="3"/>
      <c r="DM37" s="3"/>
      <c r="DN37" s="3"/>
      <c r="DO37" s="3"/>
      <c r="DP37" s="3"/>
    </row>
    <row r="38" spans="1:120">
      <c r="A38" t="s">
        <v>434</v>
      </c>
      <c r="B38" t="str">
        <f>REPLACE(Table1[[#This Row],[Order_ID]],1,3,"YOO")</f>
        <v>YOO10037</v>
      </c>
      <c r="C38" t="str">
        <f>MID(Table1[[#This Row],[Order_ID]],4,4)</f>
        <v>1003</v>
      </c>
      <c r="D38" t="str">
        <f>LEFT(Table1[[#This Row],[Order_ID]],4)</f>
        <v>ORD1</v>
      </c>
      <c r="E38" t="str">
        <f>RIGHT(Table1[[#This Row],[Order_ID]],5)</f>
        <v>10037</v>
      </c>
      <c r="F38" t="s">
        <v>5</v>
      </c>
      <c r="G38">
        <v>10037</v>
      </c>
      <c r="H38" t="s">
        <v>435</v>
      </c>
      <c r="I38" s="2">
        <f>EDATE(Table1[[#This Row],[Order_Date]],3)</f>
        <v>46061</v>
      </c>
      <c r="J38" s="2">
        <f>EDATE(Table1[[#This Row],[Order_Date]],6)</f>
        <v>46150</v>
      </c>
      <c r="K38">
        <f ca="1">YEAR(Table1[[#This Row],[Today]])</f>
        <v>2026</v>
      </c>
      <c r="L38">
        <v>37</v>
      </c>
      <c r="M38">
        <f ca="1">DAY(Table1[[#This Row],[Today]])</f>
        <v>11</v>
      </c>
      <c r="N38" s="19">
        <f t="shared" ca="1" si="6"/>
        <v>46245.589795138891</v>
      </c>
      <c r="O38" s="2">
        <f t="shared" ca="1" si="0"/>
        <v>46245</v>
      </c>
      <c r="P38" s="17">
        <f ca="1">Table1[[#This Row],[Today]]-Table1[[#This Row],[Order_Date]]</f>
        <v>276</v>
      </c>
      <c r="Q38" s="2">
        <v>45694</v>
      </c>
      <c r="R38" s="2">
        <v>45969</v>
      </c>
      <c r="S38" s="6">
        <f t="shared" si="4"/>
        <v>2025</v>
      </c>
      <c r="T38" s="7" t="str">
        <f t="shared" si="5"/>
        <v>November</v>
      </c>
      <c r="U38" s="2">
        <f>WORKDAY(Table1[[#This Row],[Order_Date]],5)</f>
        <v>45975</v>
      </c>
      <c r="V38" s="7" t="str">
        <f>CONCATENATE(Table1[[#This Row],[Customer_ID]],Table1[[#This Row],[Customer_Name]])</f>
        <v>C1114Nitin Soni</v>
      </c>
      <c r="W38" t="s">
        <v>436</v>
      </c>
      <c r="X38" t="s">
        <v>144</v>
      </c>
      <c r="Y38">
        <f>COUNTA(Table1[[#This Row],[Customer_Name]])</f>
        <v>1</v>
      </c>
      <c r="Z38" t="str">
        <f>SUBSTITUTE(Table1[[#This Row],[Customer_Name]]," ","_")</f>
        <v>Nitin_Soni</v>
      </c>
      <c r="AA38" s="10" t="str">
        <f>IFERROR(SEARCH("a",Table1[[#This Row],[Customer_Name]]),"N/A")</f>
        <v>N/A</v>
      </c>
      <c r="AB38">
        <f>SEARCH(" ",Table1[[#This Row],[Customer_Name]])</f>
        <v>6</v>
      </c>
      <c r="AC38" s="11" t="str">
        <f>IFERROR(FIND("a",Table1[[#This Row],[Customer_Name]]),"N/A")</f>
        <v>N/A</v>
      </c>
      <c r="AD38">
        <f>FIND(" ",Table1[[#This Row],[Customer_Name]])</f>
        <v>6</v>
      </c>
      <c r="AE38" t="str">
        <f>TRIM(Table1[[#This Row],[Customer_Name]])</f>
        <v>Nitin Soni</v>
      </c>
      <c r="AF38">
        <f>LEN(Table1[[#This Row],[Trimmed]])</f>
        <v>10</v>
      </c>
      <c r="AG38">
        <f>MAX(Table1[Length])</f>
        <v>15</v>
      </c>
      <c r="AH38" t="str">
        <f>PROPER(Table1[[#This Row],[Customer_Name]])</f>
        <v>Nitin Soni</v>
      </c>
      <c r="AI38" t="str">
        <f>LOWER(Table1[[#This Row],[Customer_Name]])</f>
        <v>nitin soni</v>
      </c>
      <c r="AJ38" t="str">
        <f>UPPER(Table1[[#This Row],[Customer_Name]])</f>
        <v>NITIN SONI</v>
      </c>
      <c r="AK38" t="str">
        <f>CONCATENATE(Table1[[#This Row],[Customer_ID]],Table1[[#This Row],[Customer_Name]])</f>
        <v>C1114Nitin Soni</v>
      </c>
      <c r="AL38" t="s">
        <v>145</v>
      </c>
      <c r="AM38" t="s">
        <v>146</v>
      </c>
      <c r="AN38" t="s">
        <v>147</v>
      </c>
      <c r="AO38" t="s">
        <v>145</v>
      </c>
      <c r="AP38" t="s">
        <v>146</v>
      </c>
      <c r="AQ38" t="s">
        <v>182</v>
      </c>
      <c r="AR38" t="str">
        <f>TRIM(Table1[[#This Row],[City]])</f>
        <v>Mumbai</v>
      </c>
      <c r="AS38" t="str">
        <f>PROPER(Table1[[#This Row],[City]])</f>
        <v>Mumbai</v>
      </c>
      <c r="AT38" t="s">
        <v>128</v>
      </c>
      <c r="AU38" t="str">
        <f>CONCATENATE(Table1[[#This Row],[City]],Table1[[#This Row],[State]])</f>
        <v>MumbaiMaharashtra</v>
      </c>
      <c r="AV38" t="s">
        <v>129</v>
      </c>
      <c r="AW38" t="s">
        <v>261</v>
      </c>
      <c r="AX38" t="str">
        <f>REPLACE(Table1[[#This Row],[Product_ID]],1,1,"s")</f>
        <v>s114</v>
      </c>
      <c r="AY38" t="s">
        <v>437</v>
      </c>
      <c r="AZ38">
        <f>SEARCH("-",Table1[[#This Row],[Product ID]])</f>
        <v>2</v>
      </c>
      <c r="BA38">
        <f>FIND("-",Table1[[#This Row],[Product ID]])</f>
        <v>2</v>
      </c>
      <c r="BB38" t="str">
        <f>MID(Table1[[#This Row],[Product_ID]],2,3)</f>
        <v>114</v>
      </c>
      <c r="BC38" t="str">
        <f>RIGHT(Table1[[#This Row],[Product_ID]],3)</f>
        <v>114</v>
      </c>
      <c r="BD38" t="str">
        <f>LEFT(Table1[[#This Row],[Product_ID]],3)</f>
        <v>P11</v>
      </c>
      <c r="BE38" t="str">
        <f>_xlfn.XLOOKUP(Table1[[#This Row],[Product_ID]],AW:AW,BF:BF,,0)</f>
        <v>Yoga Mat</v>
      </c>
      <c r="BF38" t="s">
        <v>263</v>
      </c>
      <c r="BG38">
        <f>LEN(Table1[[#This Row],[Product_Name]])</f>
        <v>8</v>
      </c>
      <c r="BH38" t="s">
        <v>264</v>
      </c>
      <c r="BI38">
        <f t="shared" si="7"/>
        <v>75</v>
      </c>
      <c r="BJ38" t="str">
        <f>SUBSTITUTE(Table1[[#This Row],[Category]],"Electronics","ELECTRONICS")</f>
        <v>Sports</v>
      </c>
      <c r="BN38" t="s">
        <v>265</v>
      </c>
      <c r="BS38" s="14">
        <v>3</v>
      </c>
      <c r="BT38" s="3">
        <v>999</v>
      </c>
      <c r="BU38" s="4">
        <v>10</v>
      </c>
      <c r="BV38" s="4" t="str">
        <f>IF(AND(Table1[[#This Row],[Quantity]]&gt;=3,Table1[[#This Row],[Discount_%]]&gt;=15%),"Bulk Discount","no")</f>
        <v>Bulk Discount</v>
      </c>
      <c r="BW38" s="4" t="str">
        <f>IF(AND(Table1[[#This Row],[Quantity]]&gt;3,Table1[[#This Row],[Discount_%]]&gt;15%),"Bulk Customer","Normal")</f>
        <v>Normal</v>
      </c>
      <c r="BX38" t="s">
        <v>187</v>
      </c>
      <c r="BY38" t="s">
        <v>136</v>
      </c>
      <c r="CC38" t="str">
        <f>IF(OR(Table1[[#This Row],[Order_Status]]="Returned",Table1[[#This Row],[Order_Status]]="Cancelled"),"Attention Required","Not")</f>
        <v>Not</v>
      </c>
      <c r="CD38" t="str">
        <f>IF(OR(Table1[[#This Row],[Order_Status]]="Returned",Table1[[#This Row],[Order_Status]]="Cancelled"),"Review","no")</f>
        <v>no</v>
      </c>
      <c r="CE38" t="str">
        <f>SUBSTITUTE(Table1[[#This Row],[Order_Status]],"Delivered","Completed")</f>
        <v>Completed</v>
      </c>
      <c r="CF38" s="2">
        <v>45975</v>
      </c>
      <c r="CG38" s="17">
        <f>NETWORKDAYS(Table1[[#This Row],[Order_Date]],Table1[[#This Row],[Delivery_Date]])</f>
        <v>5</v>
      </c>
      <c r="CH38" s="17">
        <f>Table1[[#This Row],[Delivery_Date]]-Table1[[#This Row],[Order_Date]]</f>
        <v>6</v>
      </c>
      <c r="CI38" t="s">
        <v>137</v>
      </c>
      <c r="CJ38" t="str">
        <f>IF(Table1[[#This Row],[Rating]]&gt;=4,"Good","Needs Improvement")</f>
        <v>Needs Improvement</v>
      </c>
      <c r="CK38" t="str">
        <f>IF(OR(Table1[[#This Row],[Rating]]&lt;=2,Table1[[#This Row],[Profit]]&lt;0),"Review","NO")</f>
        <v>Review</v>
      </c>
      <c r="CL38" t="e" cm="1">
        <f t="array" ref="CL38">_xlfn.IFS(Table1[[#This Row],[Rating]]&gt;2,"Poor",Table1[[#This Row],[Rating]]=3,"Average",Table1[[#This Row],[Rating]]=4,"Good",CP38=5,"Excellent")</f>
        <v>#N/A</v>
      </c>
      <c r="CM38">
        <f>COUNT(Table1[[#This Row],[Rating]])</f>
        <v>0</v>
      </c>
      <c r="CN38">
        <f>COUNTBLANK(Table1[[#This Row],[Rating]])</f>
        <v>1</v>
      </c>
      <c r="CP38" t="s">
        <v>266</v>
      </c>
      <c r="CR38" t="s">
        <v>173</v>
      </c>
      <c r="CS38" t="s">
        <v>213</v>
      </c>
      <c r="CU38" s="3">
        <v>2697.3</v>
      </c>
      <c r="CV38" s="3">
        <f>ROUND(Table1[[#This Row],[Sales_Amount]],0)</f>
        <v>2697</v>
      </c>
      <c r="CW38" s="3"/>
      <c r="CX38" s="3"/>
      <c r="CY38" s="3" t="b">
        <f>IF(AND(Table1[[#This Row],[Sales_Amount]]&gt;=10000,Table1[[#This Row],[Profit]]&gt;0),"Good Order")</f>
        <v>0</v>
      </c>
      <c r="CZ38" s="3" t="str">
        <f>IF(Table1[[#This Row],[Sales_Amount]]&gt;=10000,"High","Normal")</f>
        <v>Normal</v>
      </c>
      <c r="DA38" s="3">
        <v>1347.3</v>
      </c>
      <c r="DB38" s="3">
        <f>ROUND(Table1[[#This Row],[Profit]],0)</f>
        <v>1347</v>
      </c>
      <c r="DC38" s="3">
        <f>ABS(Table1[[#This Row],[Profit]])</f>
        <v>1347.3</v>
      </c>
      <c r="DD38" s="3"/>
      <c r="DE38" s="3"/>
      <c r="DF38" s="3"/>
      <c r="DG38" s="3" t="str">
        <f>IF(Table1[[#This Row],[Profit]]&gt;0,"Profit","Loss")</f>
        <v>Profit</v>
      </c>
      <c r="DH38" s="3" t="str">
        <f>IF(AND(Table1[[#This Row],[Sales_Amount]]&gt;=10000,Table1[[#This Row],[Profit]]&gt;0),"Priority","Normal")</f>
        <v>Normal</v>
      </c>
      <c r="DI38" s="3">
        <f t="shared" ca="1" si="2"/>
        <v>0.45228801929717799</v>
      </c>
      <c r="DJ38" s="3">
        <f t="shared" ca="1" si="3"/>
        <v>87</v>
      </c>
      <c r="DK38" s="3"/>
      <c r="DL38" s="3"/>
      <c r="DM38" s="3"/>
      <c r="DN38" s="3"/>
      <c r="DO38" s="3"/>
      <c r="DP38" s="3"/>
    </row>
    <row r="39" spans="1:120">
      <c r="A39" t="s">
        <v>438</v>
      </c>
      <c r="B39" t="str">
        <f>REPLACE(Table1[[#This Row],[Order_ID]],1,3,"YOO")</f>
        <v>YOO10038</v>
      </c>
      <c r="C39" t="str">
        <f>MID(Table1[[#This Row],[Order_ID]],4,4)</f>
        <v>1003</v>
      </c>
      <c r="D39" t="str">
        <f>LEFT(Table1[[#This Row],[Order_ID]],4)</f>
        <v>ORD1</v>
      </c>
      <c r="E39" t="str">
        <f>RIGHT(Table1[[#This Row],[Order_ID]],5)</f>
        <v>10038</v>
      </c>
      <c r="F39" t="s">
        <v>5</v>
      </c>
      <c r="G39">
        <v>10038</v>
      </c>
      <c r="H39" t="s">
        <v>439</v>
      </c>
      <c r="I39" s="2">
        <f>EDATE(Table1[[#This Row],[Order_Date]],3)</f>
        <v>45836</v>
      </c>
      <c r="J39" s="2">
        <f>EDATE(Table1[[#This Row],[Order_Date]],6)</f>
        <v>45928</v>
      </c>
      <c r="K39">
        <f ca="1">YEAR(Table1[[#This Row],[Today]])</f>
        <v>2026</v>
      </c>
      <c r="L39">
        <v>38</v>
      </c>
      <c r="M39">
        <f ca="1">DAY(Table1[[#This Row],[Today]])</f>
        <v>11</v>
      </c>
      <c r="N39" s="19">
        <f t="shared" ca="1" si="6"/>
        <v>46245.589795370368</v>
      </c>
      <c r="O39" s="2">
        <f t="shared" ca="1" si="0"/>
        <v>46245</v>
      </c>
      <c r="P39" s="17">
        <f ca="1">Table1[[#This Row],[Today]]-Table1[[#This Row],[Order_Date]]</f>
        <v>501</v>
      </c>
      <c r="Q39" s="2">
        <v>45695</v>
      </c>
      <c r="R39" s="2">
        <v>45744</v>
      </c>
      <c r="S39" s="6">
        <f t="shared" si="4"/>
        <v>2025</v>
      </c>
      <c r="T39" s="7" t="str">
        <f t="shared" si="5"/>
        <v>March</v>
      </c>
      <c r="U39" s="2">
        <f>WORKDAY(Table1[[#This Row],[Order_Date]],5)</f>
        <v>45751</v>
      </c>
      <c r="V39" s="7" t="str">
        <f>CONCATENATE(Table1[[#This Row],[Customer_ID]],Table1[[#This Row],[Customer_Name]])</f>
        <v>C1058Karan Patel</v>
      </c>
      <c r="W39" t="s">
        <v>440</v>
      </c>
      <c r="X39" t="s">
        <v>280</v>
      </c>
      <c r="Y39">
        <f>COUNTA(Table1[[#This Row],[Customer_Name]])</f>
        <v>1</v>
      </c>
      <c r="Z39" t="str">
        <f>SUBSTITUTE(Table1[[#This Row],[Customer_Name]]," ","_")</f>
        <v>Karan_Patel</v>
      </c>
      <c r="AA39" s="10">
        <f>IFERROR(SEARCH("a",Table1[[#This Row],[Customer_Name]]),"N/A")</f>
        <v>2</v>
      </c>
      <c r="AB39">
        <f>SEARCH(" ",Table1[[#This Row],[Customer_Name]])</f>
        <v>6</v>
      </c>
      <c r="AC39" s="11">
        <f>IFERROR(FIND("a",Table1[[#This Row],[Customer_Name]]),"N/A")</f>
        <v>2</v>
      </c>
      <c r="AD39">
        <f>FIND(" ",Table1[[#This Row],[Customer_Name]])</f>
        <v>6</v>
      </c>
      <c r="AE39" t="str">
        <f>TRIM(Table1[[#This Row],[Customer_Name]])</f>
        <v>Karan Patel</v>
      </c>
      <c r="AF39">
        <f>LEN(Table1[[#This Row],[Trimmed]])</f>
        <v>11</v>
      </c>
      <c r="AG39">
        <f>MAX(Table1[Length])</f>
        <v>15</v>
      </c>
      <c r="AH39" t="str">
        <f>PROPER(Table1[[#This Row],[Customer_Name]])</f>
        <v>Karan Patel</v>
      </c>
      <c r="AI39" t="str">
        <f>LOWER(Table1[[#This Row],[Customer_Name]])</f>
        <v>karan patel</v>
      </c>
      <c r="AJ39" t="str">
        <f>UPPER(Table1[[#This Row],[Customer_Name]])</f>
        <v>KARAN PATEL</v>
      </c>
      <c r="AK39" t="str">
        <f>CONCATENATE(Table1[[#This Row],[Customer_ID]],Table1[[#This Row],[Customer_Name]])</f>
        <v>C1058Karan Patel</v>
      </c>
      <c r="AL39" t="s">
        <v>281</v>
      </c>
      <c r="AM39" t="s">
        <v>282</v>
      </c>
      <c r="AN39" t="s">
        <v>283</v>
      </c>
      <c r="AO39" t="s">
        <v>281</v>
      </c>
      <c r="AP39" t="s">
        <v>282</v>
      </c>
      <c r="AQ39" t="s">
        <v>199</v>
      </c>
      <c r="AR39" t="str">
        <f>TRIM(Table1[[#This Row],[City]])</f>
        <v>Lucknow</v>
      </c>
      <c r="AS39" t="str">
        <f>PROPER(Table1[[#This Row],[City]])</f>
        <v>Lucknow</v>
      </c>
      <c r="AT39" t="s">
        <v>200</v>
      </c>
      <c r="AU39" t="str">
        <f>CONCATENATE(Table1[[#This Row],[City]],Table1[[#This Row],[State]])</f>
        <v>LucknowUttar Pradesh</v>
      </c>
      <c r="AV39" t="s">
        <v>150</v>
      </c>
      <c r="AW39" t="s">
        <v>319</v>
      </c>
      <c r="AX39" t="str">
        <f>REPLACE(Table1[[#This Row],[Product_ID]],1,1,"s")</f>
        <v>s103</v>
      </c>
      <c r="AY39" t="s">
        <v>441</v>
      </c>
      <c r="AZ39">
        <f>SEARCH("-",Table1[[#This Row],[Product ID]])</f>
        <v>2</v>
      </c>
      <c r="BA39">
        <f>FIND("-",Table1[[#This Row],[Product ID]])</f>
        <v>2</v>
      </c>
      <c r="BB39" t="str">
        <f>MID(Table1[[#This Row],[Product_ID]],2,3)</f>
        <v>103</v>
      </c>
      <c r="BC39" t="str">
        <f>RIGHT(Table1[[#This Row],[Product_ID]],3)</f>
        <v>103</v>
      </c>
      <c r="BD39" t="str">
        <f>LEFT(Table1[[#This Row],[Product_ID]],3)</f>
        <v>P10</v>
      </c>
      <c r="BE39" t="str">
        <f>_xlfn.XLOOKUP(Table1[[#This Row],[Product_ID]],AW:AW,BF:BF,,0)</f>
        <v>Laptop Stand</v>
      </c>
      <c r="BF39" t="s">
        <v>321</v>
      </c>
      <c r="BG39">
        <f>LEN(Table1[[#This Row],[Product_Name]])</f>
        <v>12</v>
      </c>
      <c r="BH39" t="s">
        <v>154</v>
      </c>
      <c r="BI39">
        <f t="shared" si="7"/>
        <v>75</v>
      </c>
      <c r="BJ39" t="str">
        <f>SUBSTITUTE(Table1[[#This Row],[Category]],"Electronics","ELECTRONICS")</f>
        <v>ELECTRONICS</v>
      </c>
      <c r="BN39" t="s">
        <v>155</v>
      </c>
      <c r="BS39" s="14">
        <v>3</v>
      </c>
      <c r="BT39" s="3">
        <v>1599</v>
      </c>
      <c r="BU39" s="4">
        <v>15</v>
      </c>
      <c r="BV39" s="4" t="str">
        <f>IF(AND(Table1[[#This Row],[Quantity]]&gt;=3,Table1[[#This Row],[Discount_%]]&gt;=15%),"Bulk Discount","no")</f>
        <v>Bulk Discount</v>
      </c>
      <c r="BW39" s="4" t="str">
        <f>IF(AND(Table1[[#This Row],[Quantity]]&gt;3,Table1[[#This Row],[Discount_%]]&gt;15%),"Bulk Customer","Normal")</f>
        <v>Normal</v>
      </c>
      <c r="BX39" t="s">
        <v>187</v>
      </c>
      <c r="BY39" t="s">
        <v>136</v>
      </c>
      <c r="CC39" t="str">
        <f>IF(OR(Table1[[#This Row],[Order_Status]]="Returned",Table1[[#This Row],[Order_Status]]="Cancelled"),"Attention Required","Not")</f>
        <v>Not</v>
      </c>
      <c r="CD39" t="str">
        <f>IF(OR(Table1[[#This Row],[Order_Status]]="Returned",Table1[[#This Row],[Order_Status]]="Cancelled"),"Review","no")</f>
        <v>no</v>
      </c>
      <c r="CE39" t="str">
        <f>SUBSTITUTE(Table1[[#This Row],[Order_Status]],"Delivered","Completed")</f>
        <v>Completed</v>
      </c>
      <c r="CF39" s="2">
        <v>45748</v>
      </c>
      <c r="CG39" s="17">
        <f>NETWORKDAYS(Table1[[#This Row],[Order_Date]],Table1[[#This Row],[Delivery_Date]])</f>
        <v>3</v>
      </c>
      <c r="CH39" s="17">
        <f>Table1[[#This Row],[Delivery_Date]]-Table1[[#This Row],[Order_Date]]</f>
        <v>4</v>
      </c>
      <c r="CI39" t="s">
        <v>137</v>
      </c>
      <c r="CJ39" t="str">
        <f>IF(Table1[[#This Row],[Rating]]&gt;=4,"Good","Needs Improvement")</f>
        <v>Good</v>
      </c>
      <c r="CK39" t="str">
        <f>IF(OR(Table1[[#This Row],[Rating]]&lt;=2,Table1[[#This Row],[Profit]]&lt;0),"Review","NO")</f>
        <v>NO</v>
      </c>
      <c r="CL39" t="str" cm="1">
        <f t="array" ref="CL39">_xlfn.IFS(Table1[[#This Row],[Rating]]&gt;2,"Poor",Table1[[#This Row],[Rating]]=3,"Average",Table1[[#This Row],[Rating]]=4,"Good",CP39=5,"Excellent")</f>
        <v>Poor</v>
      </c>
      <c r="CM39">
        <f>COUNT(Table1[[#This Row],[Rating]])</f>
        <v>1</v>
      </c>
      <c r="CN39">
        <f>COUNTBLANK(Table1[[#This Row],[Rating]])</f>
        <v>0</v>
      </c>
      <c r="CP39" t="s">
        <v>331</v>
      </c>
      <c r="CQ39" s="14">
        <v>4</v>
      </c>
      <c r="CR39" t="s">
        <v>139</v>
      </c>
      <c r="CS39" t="s">
        <v>158</v>
      </c>
      <c r="CU39" s="3">
        <v>4077.45</v>
      </c>
      <c r="CV39" s="3">
        <f>ROUND(Table1[[#This Row],[Sales_Amount]],0)</f>
        <v>4077</v>
      </c>
      <c r="CW39" s="3"/>
      <c r="CX39" s="3"/>
      <c r="CY39" s="3" t="b">
        <f>IF(AND(Table1[[#This Row],[Sales_Amount]]&gt;=10000,Table1[[#This Row],[Profit]]&gt;0),"Good Order")</f>
        <v>0</v>
      </c>
      <c r="CZ39" s="3" t="str">
        <f>IF(Table1[[#This Row],[Sales_Amount]]&gt;=10000,"High","Normal")</f>
        <v>Normal</v>
      </c>
      <c r="DA39" s="3">
        <v>1377.45</v>
      </c>
      <c r="DB39" s="3">
        <f>ROUND(Table1[[#This Row],[Profit]],0)</f>
        <v>1377</v>
      </c>
      <c r="DC39" s="3">
        <f>ABS(Table1[[#This Row],[Profit]])</f>
        <v>1377.45</v>
      </c>
      <c r="DD39" s="3"/>
      <c r="DE39" s="3"/>
      <c r="DF39" s="3"/>
      <c r="DG39" s="3" t="str">
        <f>IF(Table1[[#This Row],[Profit]]&gt;0,"Profit","Loss")</f>
        <v>Profit</v>
      </c>
      <c r="DH39" s="3" t="str">
        <f>IF(AND(Table1[[#This Row],[Sales_Amount]]&gt;=10000,Table1[[#This Row],[Profit]]&gt;0),"Priority","Normal")</f>
        <v>Normal</v>
      </c>
      <c r="DI39" s="3">
        <f t="shared" ca="1" si="2"/>
        <v>0.52545482545374667</v>
      </c>
      <c r="DJ39" s="3">
        <f t="shared" ca="1" si="3"/>
        <v>79</v>
      </c>
      <c r="DK39" s="3"/>
      <c r="DL39" s="3"/>
      <c r="DM39" s="3"/>
      <c r="DN39" s="3"/>
      <c r="DO39" s="3"/>
      <c r="DP39" s="3"/>
    </row>
    <row r="40" spans="1:120">
      <c r="A40" t="s">
        <v>442</v>
      </c>
      <c r="B40" t="str">
        <f>REPLACE(Table1[[#This Row],[Order_ID]],1,3,"YOO")</f>
        <v>YOO10039</v>
      </c>
      <c r="C40" t="str">
        <f>MID(Table1[[#This Row],[Order_ID]],4,4)</f>
        <v>1003</v>
      </c>
      <c r="D40" t="str">
        <f>LEFT(Table1[[#This Row],[Order_ID]],4)</f>
        <v>ORD1</v>
      </c>
      <c r="E40" t="str">
        <f>RIGHT(Table1[[#This Row],[Order_ID]],5)</f>
        <v>10039</v>
      </c>
      <c r="F40" t="s">
        <v>5</v>
      </c>
      <c r="G40">
        <v>10039</v>
      </c>
      <c r="H40" t="s">
        <v>443</v>
      </c>
      <c r="I40" s="2">
        <f>EDATE(Table1[[#This Row],[Order_Date]],3)</f>
        <v>45824</v>
      </c>
      <c r="J40" s="2">
        <f>EDATE(Table1[[#This Row],[Order_Date]],6)</f>
        <v>45916</v>
      </c>
      <c r="K40">
        <f ca="1">YEAR(Table1[[#This Row],[Today]])</f>
        <v>2026</v>
      </c>
      <c r="L40">
        <v>39</v>
      </c>
      <c r="M40">
        <f ca="1">DAY(Table1[[#This Row],[Today]])</f>
        <v>11</v>
      </c>
      <c r="N40" s="19">
        <f t="shared" ca="1" si="6"/>
        <v>46245.589795370368</v>
      </c>
      <c r="O40" s="2">
        <f t="shared" ca="1" si="0"/>
        <v>46245</v>
      </c>
      <c r="P40" s="17">
        <f ca="1">Table1[[#This Row],[Today]]-Table1[[#This Row],[Order_Date]]</f>
        <v>513</v>
      </c>
      <c r="Q40" s="2">
        <v>45696</v>
      </c>
      <c r="R40" s="2">
        <v>45732</v>
      </c>
      <c r="S40" s="6">
        <f t="shared" si="4"/>
        <v>2025</v>
      </c>
      <c r="T40" s="7" t="str">
        <f t="shared" si="5"/>
        <v>March</v>
      </c>
      <c r="U40" s="2">
        <f>WORKDAY(Table1[[#This Row],[Order_Date]],5)</f>
        <v>45737</v>
      </c>
      <c r="V40" s="7" t="str">
        <f>CONCATENATE(Table1[[#This Row],[Customer_ID]],Table1[[#This Row],[Customer_Name]])</f>
        <v xml:space="preserve">C1127  mohit khan  </v>
      </c>
      <c r="W40" t="s">
        <v>444</v>
      </c>
      <c r="X40" t="s">
        <v>445</v>
      </c>
      <c r="Y40">
        <f>COUNTA(Table1[[#This Row],[Customer_Name]])</f>
        <v>1</v>
      </c>
      <c r="Z40" t="str">
        <f>SUBSTITUTE(Table1[[#This Row],[Customer_Name]]," ","_")</f>
        <v>__mohit_khan__</v>
      </c>
      <c r="AA40" s="10">
        <f>IFERROR(SEARCH("a",Table1[[#This Row],[Customer_Name]]),"N/A")</f>
        <v>11</v>
      </c>
      <c r="AB40">
        <f>SEARCH(" ",Table1[[#This Row],[Customer_Name]])</f>
        <v>1</v>
      </c>
      <c r="AC40" s="11">
        <f>IFERROR(FIND("a",Table1[[#This Row],[Customer_Name]]),"N/A")</f>
        <v>11</v>
      </c>
      <c r="AD40">
        <f>FIND(" ",Table1[[#This Row],[Customer_Name]])</f>
        <v>1</v>
      </c>
      <c r="AE40" t="str">
        <f>TRIM(Table1[[#This Row],[Customer_Name]])</f>
        <v>mohit khan</v>
      </c>
      <c r="AF40">
        <f>LEN(Table1[[#This Row],[Trimmed]])</f>
        <v>10</v>
      </c>
      <c r="AG40">
        <f>MAX(Table1[Length])</f>
        <v>15</v>
      </c>
      <c r="AH40" t="str">
        <f>PROPER(Table1[[#This Row],[Customer_Name]])</f>
        <v xml:space="preserve">  Mohit Khan  </v>
      </c>
      <c r="AI40" t="str">
        <f>LOWER(Table1[[#This Row],[Customer_Name]])</f>
        <v xml:space="preserve">  mohit khan  </v>
      </c>
      <c r="AJ40" t="str">
        <f>UPPER(Table1[[#This Row],[Customer_Name]])</f>
        <v xml:space="preserve">  MOHIT KHAN  </v>
      </c>
      <c r="AK40" t="str">
        <f>CONCATENATE(Table1[[#This Row],[Customer_ID]],Table1[[#This Row],[Customer_Name]])</f>
        <v xml:space="preserve">C1127  mohit khan  </v>
      </c>
      <c r="AL40" t="s">
        <v>446</v>
      </c>
      <c r="AM40" t="s">
        <v>447</v>
      </c>
      <c r="AN40" t="s">
        <v>165</v>
      </c>
      <c r="AO40" t="s">
        <v>446</v>
      </c>
      <c r="AP40" t="s">
        <v>447</v>
      </c>
      <c r="AQ40" t="s">
        <v>233</v>
      </c>
      <c r="AR40" t="str">
        <f>TRIM(Table1[[#This Row],[City]])</f>
        <v>Kolkata</v>
      </c>
      <c r="AS40" t="str">
        <f>PROPER(Table1[[#This Row],[City]])</f>
        <v>Kolkata</v>
      </c>
      <c r="AT40" t="s">
        <v>234</v>
      </c>
      <c r="AU40" t="str">
        <f>CONCATENATE(Table1[[#This Row],[City]],Table1[[#This Row],[State]])</f>
        <v>KolkataWest Bengal</v>
      </c>
      <c r="AV40" t="s">
        <v>235</v>
      </c>
      <c r="AW40" t="s">
        <v>370</v>
      </c>
      <c r="AX40" t="str">
        <f>REPLACE(Table1[[#This Row],[Product_ID]],1,1,"s")</f>
        <v>s108</v>
      </c>
      <c r="AY40" t="s">
        <v>448</v>
      </c>
      <c r="AZ40">
        <f>SEARCH("-",Table1[[#This Row],[Product ID]])</f>
        <v>2</v>
      </c>
      <c r="BA40">
        <f>FIND("-",Table1[[#This Row],[Product ID]])</f>
        <v>2</v>
      </c>
      <c r="BB40" t="str">
        <f>MID(Table1[[#This Row],[Product_ID]],2,3)</f>
        <v>108</v>
      </c>
      <c r="BC40" t="str">
        <f>RIGHT(Table1[[#This Row],[Product_ID]],3)</f>
        <v>108</v>
      </c>
      <c r="BD40" t="str">
        <f>LEFT(Table1[[#This Row],[Product_ID]],3)</f>
        <v>P10</v>
      </c>
      <c r="BE40" t="str">
        <f>_xlfn.XLOOKUP(Table1[[#This Row],[Product_ID]],AW:AW,BF:BF,,0)</f>
        <v>Hoodie</v>
      </c>
      <c r="BF40" t="s">
        <v>372</v>
      </c>
      <c r="BG40">
        <f>LEN(Table1[[#This Row],[Product_Name]])</f>
        <v>6</v>
      </c>
      <c r="BH40" t="s">
        <v>224</v>
      </c>
      <c r="BI40">
        <f t="shared" si="7"/>
        <v>75</v>
      </c>
      <c r="BJ40" t="str">
        <f>SUBSTITUTE(Table1[[#This Row],[Category]],"Electronics","ELECTRONICS")</f>
        <v>Fashion</v>
      </c>
      <c r="BN40" t="s">
        <v>373</v>
      </c>
      <c r="BS40" s="14">
        <v>4</v>
      </c>
      <c r="BT40" s="3">
        <v>1999</v>
      </c>
      <c r="BU40" s="4">
        <v>20</v>
      </c>
      <c r="BV40" s="4" t="str">
        <f>IF(AND(Table1[[#This Row],[Quantity]]&gt;=3,Table1[[#This Row],[Discount_%]]&gt;=15%),"Bulk Discount","no")</f>
        <v>Bulk Discount</v>
      </c>
      <c r="BW40" s="4" t="str">
        <f>IF(AND(Table1[[#This Row],[Quantity]]&gt;3,Table1[[#This Row],[Discount_%]]&gt;15%),"Bulk Customer","Normal")</f>
        <v>Bulk Customer</v>
      </c>
      <c r="BX40" t="s">
        <v>187</v>
      </c>
      <c r="BY40" t="s">
        <v>374</v>
      </c>
      <c r="CC40" t="str">
        <f>IF(OR(Table1[[#This Row],[Order_Status]]="Returned",Table1[[#This Row],[Order_Status]]="Cancelled"),"Attention Required","Not")</f>
        <v>Attention Required</v>
      </c>
      <c r="CD40" t="str">
        <f>IF(OR(Table1[[#This Row],[Order_Status]]="Returned",Table1[[#This Row],[Order_Status]]="Cancelled"),"Review","no")</f>
        <v>Review</v>
      </c>
      <c r="CE40" t="str">
        <f>SUBSTITUTE(Table1[[#This Row],[Order_Status]],"Delivered","Completed")</f>
        <v>Returned</v>
      </c>
      <c r="CF40" s="2">
        <v>45736</v>
      </c>
      <c r="CG40" s="17">
        <f>NETWORKDAYS(Table1[[#This Row],[Order_Date]],Table1[[#This Row],[Delivery_Date]])</f>
        <v>4</v>
      </c>
      <c r="CH40" s="17">
        <f>Table1[[#This Row],[Delivery_Date]]-Table1[[#This Row],[Order_Date]]</f>
        <v>4</v>
      </c>
      <c r="CI40" t="s">
        <v>375</v>
      </c>
      <c r="CJ40" t="str">
        <f>IF(Table1[[#This Row],[Rating]]&gt;=4,"Good","Needs Improvement")</f>
        <v>Good</v>
      </c>
      <c r="CK40" t="str">
        <f>IF(OR(Table1[[#This Row],[Rating]]&lt;=2,Table1[[#This Row],[Profit]]&lt;0),"Review","NO")</f>
        <v>NO</v>
      </c>
      <c r="CL40" t="str" cm="1">
        <f t="array" ref="CL40">_xlfn.IFS(Table1[[#This Row],[Rating]]&gt;2,"Poor",Table1[[#This Row],[Rating]]=3,"Average",Table1[[#This Row],[Rating]]=4,"Good",CP40=5,"Excellent")</f>
        <v>Poor</v>
      </c>
      <c r="CM40">
        <f>COUNT(Table1[[#This Row],[Rating]])</f>
        <v>1</v>
      </c>
      <c r="CN40">
        <f>COUNTBLANK(Table1[[#This Row],[Rating]])</f>
        <v>0</v>
      </c>
      <c r="CP40" t="s">
        <v>194</v>
      </c>
      <c r="CQ40" s="14">
        <v>5</v>
      </c>
      <c r="CR40" t="s">
        <v>204</v>
      </c>
      <c r="CS40" t="s">
        <v>213</v>
      </c>
      <c r="CU40" s="3">
        <v>6396.8</v>
      </c>
      <c r="CV40" s="3">
        <f>ROUND(Table1[[#This Row],[Sales_Amount]],0)</f>
        <v>6397</v>
      </c>
      <c r="CW40" s="3"/>
      <c r="CX40" s="3"/>
      <c r="CY40" s="3" t="b">
        <f>IF(AND(Table1[[#This Row],[Sales_Amount]]&gt;=10000,Table1[[#This Row],[Profit]]&gt;0),"Good Order")</f>
        <v>0</v>
      </c>
      <c r="CZ40" s="3" t="str">
        <f>IF(Table1[[#This Row],[Sales_Amount]]&gt;=10000,"High","Normal")</f>
        <v>Normal</v>
      </c>
      <c r="DA40" s="3">
        <v>2196.8000000000002</v>
      </c>
      <c r="DB40" s="3">
        <f>ROUND(Table1[[#This Row],[Profit]],0)</f>
        <v>2197</v>
      </c>
      <c r="DC40" s="3">
        <f>ABS(Table1[[#This Row],[Profit]])</f>
        <v>2196.8000000000002</v>
      </c>
      <c r="DD40" s="3"/>
      <c r="DE40" s="3"/>
      <c r="DF40" s="3"/>
      <c r="DG40" s="3" t="str">
        <f>IF(Table1[[#This Row],[Profit]]&gt;0,"Profit","Loss")</f>
        <v>Profit</v>
      </c>
      <c r="DH40" s="3" t="str">
        <f>IF(AND(Table1[[#This Row],[Sales_Amount]]&gt;=10000,Table1[[#This Row],[Profit]]&gt;0),"Priority","Normal")</f>
        <v>Normal</v>
      </c>
      <c r="DI40" s="3">
        <f t="shared" ca="1" si="2"/>
        <v>0.52457193788457546</v>
      </c>
      <c r="DJ40" s="3">
        <f t="shared" ca="1" si="3"/>
        <v>67</v>
      </c>
      <c r="DK40" s="3"/>
      <c r="DL40" s="3"/>
      <c r="DM40" s="3"/>
      <c r="DN40" s="3"/>
      <c r="DO40" s="3"/>
      <c r="DP40" s="3"/>
    </row>
    <row r="41" spans="1:120">
      <c r="A41" t="s">
        <v>449</v>
      </c>
      <c r="B41" t="str">
        <f>REPLACE(Table1[[#This Row],[Order_ID]],1,3,"YOO")</f>
        <v>YOO10040</v>
      </c>
      <c r="C41" t="str">
        <f>MID(Table1[[#This Row],[Order_ID]],4,4)</f>
        <v>1004</v>
      </c>
      <c r="D41" t="str">
        <f>LEFT(Table1[[#This Row],[Order_ID]],4)</f>
        <v>ORD1</v>
      </c>
      <c r="E41" t="str">
        <f>RIGHT(Table1[[#This Row],[Order_ID]],5)</f>
        <v>10040</v>
      </c>
      <c r="F41" t="s">
        <v>5</v>
      </c>
      <c r="G41">
        <v>10040</v>
      </c>
      <c r="H41" t="s">
        <v>450</v>
      </c>
      <c r="I41" s="2">
        <f>EDATE(Table1[[#This Row],[Order_Date]],3)</f>
        <v>46185</v>
      </c>
      <c r="J41" s="2">
        <f>EDATE(Table1[[#This Row],[Order_Date]],6)</f>
        <v>46277</v>
      </c>
      <c r="K41">
        <f ca="1">YEAR(Table1[[#This Row],[Today]])</f>
        <v>2026</v>
      </c>
      <c r="L41">
        <v>40</v>
      </c>
      <c r="M41">
        <f ca="1">DAY(Table1[[#This Row],[Today]])</f>
        <v>11</v>
      </c>
      <c r="N41" s="19">
        <f t="shared" ca="1" si="6"/>
        <v>46245.589795138891</v>
      </c>
      <c r="O41" s="2">
        <f t="shared" ca="1" si="0"/>
        <v>46245</v>
      </c>
      <c r="P41" s="17">
        <f ca="1">Table1[[#This Row],[Today]]-Table1[[#This Row],[Order_Date]]</f>
        <v>152</v>
      </c>
      <c r="Q41" s="2">
        <v>45697</v>
      </c>
      <c r="R41" s="2">
        <v>46093</v>
      </c>
      <c r="S41" s="6">
        <f t="shared" si="4"/>
        <v>2026</v>
      </c>
      <c r="T41" s="7" t="str">
        <f t="shared" si="5"/>
        <v>March</v>
      </c>
      <c r="U41" s="2">
        <f>WORKDAY(Table1[[#This Row],[Order_Date]],5)</f>
        <v>46100</v>
      </c>
      <c r="V41" s="7" t="str">
        <f>CONCATENATE(Table1[[#This Row],[Customer_ID]],Table1[[#This Row],[Customer_Name]])</f>
        <v xml:space="preserve">C1143  anjali joshi  </v>
      </c>
      <c r="W41" t="s">
        <v>451</v>
      </c>
      <c r="X41" t="s">
        <v>452</v>
      </c>
      <c r="Y41">
        <f>COUNTA(Table1[[#This Row],[Customer_Name]])</f>
        <v>1</v>
      </c>
      <c r="Z41" t="str">
        <f>SUBSTITUTE(Table1[[#This Row],[Customer_Name]]," ","_")</f>
        <v>__anjali_joshi__</v>
      </c>
      <c r="AA41" s="10">
        <f>IFERROR(SEARCH("a",Table1[[#This Row],[Customer_Name]]),"N/A")</f>
        <v>3</v>
      </c>
      <c r="AB41">
        <f>SEARCH(" ",Table1[[#This Row],[Customer_Name]])</f>
        <v>1</v>
      </c>
      <c r="AC41" s="11">
        <f>IFERROR(FIND("a",Table1[[#This Row],[Customer_Name]]),"N/A")</f>
        <v>3</v>
      </c>
      <c r="AD41">
        <f>FIND(" ",Table1[[#This Row],[Customer_Name]])</f>
        <v>1</v>
      </c>
      <c r="AE41" t="str">
        <f>TRIM(Table1[[#This Row],[Customer_Name]])</f>
        <v>anjali joshi</v>
      </c>
      <c r="AF41">
        <f>LEN(Table1[[#This Row],[Trimmed]])</f>
        <v>12</v>
      </c>
      <c r="AG41">
        <f>MAX(Table1[Length])</f>
        <v>15</v>
      </c>
      <c r="AH41" t="str">
        <f>PROPER(Table1[[#This Row],[Customer_Name]])</f>
        <v xml:space="preserve">  Anjali Joshi  </v>
      </c>
      <c r="AI41" t="str">
        <f>LOWER(Table1[[#This Row],[Customer_Name]])</f>
        <v xml:space="preserve">  anjali joshi  </v>
      </c>
      <c r="AJ41" t="str">
        <f>UPPER(Table1[[#This Row],[Customer_Name]])</f>
        <v xml:space="preserve">  ANJALI JOSHI  </v>
      </c>
      <c r="AK41" t="str">
        <f>CONCATENATE(Table1[[#This Row],[Customer_ID]],Table1[[#This Row],[Customer_Name]])</f>
        <v xml:space="preserve">C1143  anjali joshi  </v>
      </c>
      <c r="AL41" t="s">
        <v>453</v>
      </c>
      <c r="AM41" t="s">
        <v>454</v>
      </c>
      <c r="AN41" t="s">
        <v>313</v>
      </c>
      <c r="AO41" t="s">
        <v>453</v>
      </c>
      <c r="AP41" t="s">
        <v>454</v>
      </c>
      <c r="AQ41" t="s">
        <v>127</v>
      </c>
      <c r="AR41" t="str">
        <f>TRIM(Table1[[#This Row],[City]])</f>
        <v>Pune</v>
      </c>
      <c r="AS41" t="str">
        <f>PROPER(Table1[[#This Row],[City]])</f>
        <v>Pune</v>
      </c>
      <c r="AT41" t="s">
        <v>128</v>
      </c>
      <c r="AU41" t="str">
        <f>CONCATENATE(Table1[[#This Row],[City]],Table1[[#This Row],[State]])</f>
        <v>PuneMaharashtra</v>
      </c>
      <c r="AV41" t="s">
        <v>129</v>
      </c>
      <c r="AW41" t="s">
        <v>275</v>
      </c>
      <c r="AX41" t="str">
        <f>REPLACE(Table1[[#This Row],[Product_ID]],1,1,"s")</f>
        <v>s101</v>
      </c>
      <c r="AY41" t="s">
        <v>455</v>
      </c>
      <c r="AZ41">
        <f>SEARCH("-",Table1[[#This Row],[Product ID]])</f>
        <v>2</v>
      </c>
      <c r="BA41">
        <f>FIND("-",Table1[[#This Row],[Product ID]])</f>
        <v>2</v>
      </c>
      <c r="BB41" t="str">
        <f>MID(Table1[[#This Row],[Product_ID]],2,3)</f>
        <v>101</v>
      </c>
      <c r="BC41" t="str">
        <f>RIGHT(Table1[[#This Row],[Product_ID]],3)</f>
        <v>101</v>
      </c>
      <c r="BD41" t="str">
        <f>LEFT(Table1[[#This Row],[Product_ID]],3)</f>
        <v>P10</v>
      </c>
      <c r="BE41" t="str">
        <f>_xlfn.XLOOKUP(Table1[[#This Row],[Product_ID]],AW:AW,BF:BF,,0)</f>
        <v>Wireless Mouse</v>
      </c>
      <c r="BF41" t="s">
        <v>277</v>
      </c>
      <c r="BG41">
        <f>LEN(Table1[[#This Row],[Product_Name]])</f>
        <v>14</v>
      </c>
      <c r="BH41" t="s">
        <v>154</v>
      </c>
      <c r="BI41">
        <f t="shared" si="7"/>
        <v>75</v>
      </c>
      <c r="BJ41" t="str">
        <f>SUBSTITUTE(Table1[[#This Row],[Category]],"Electronics","ELECTRONICS")</f>
        <v>ELECTRONICS</v>
      </c>
      <c r="BN41" t="s">
        <v>155</v>
      </c>
      <c r="BS41" s="14">
        <v>2</v>
      </c>
      <c r="BT41" s="3">
        <v>799</v>
      </c>
      <c r="BU41" s="4">
        <v>5</v>
      </c>
      <c r="BV41" s="4" t="str">
        <f>IF(AND(Table1[[#This Row],[Quantity]]&gt;=3,Table1[[#This Row],[Discount_%]]&gt;=15%),"Bulk Discount","no")</f>
        <v>no</v>
      </c>
      <c r="BW41" s="4" t="str">
        <f>IF(AND(Table1[[#This Row],[Quantity]]&gt;3,Table1[[#This Row],[Discount_%]]&gt;15%),"Bulk Customer","Normal")</f>
        <v>Normal</v>
      </c>
      <c r="BX41" t="s">
        <v>172</v>
      </c>
      <c r="BY41" t="s">
        <v>193</v>
      </c>
      <c r="CC41" t="str">
        <f>IF(OR(Table1[[#This Row],[Order_Status]]="Returned",Table1[[#This Row],[Order_Status]]="Cancelled"),"Attention Required","Not")</f>
        <v>Not</v>
      </c>
      <c r="CD41" t="str">
        <f>IF(OR(Table1[[#This Row],[Order_Status]]="Returned",Table1[[#This Row],[Order_Status]]="Cancelled"),"Review","no")</f>
        <v>no</v>
      </c>
      <c r="CE41" t="str">
        <f>SUBSTITUTE(Table1[[#This Row],[Order_Status]],"Delivered","Completed")</f>
        <v>Shipped</v>
      </c>
      <c r="CF41" s="2">
        <v>46101</v>
      </c>
      <c r="CG41" s="17">
        <f>NETWORKDAYS(Table1[[#This Row],[Order_Date]],Table1[[#This Row],[Delivery_Date]])</f>
        <v>7</v>
      </c>
      <c r="CH41" s="17">
        <f>Table1[[#This Row],[Delivery_Date]]-Table1[[#This Row],[Order_Date]]</f>
        <v>8</v>
      </c>
      <c r="CI41" t="s">
        <v>137</v>
      </c>
      <c r="CJ41" t="str">
        <f>IF(Table1[[#This Row],[Rating]]&gt;=4,"Good","Needs Improvement")</f>
        <v>Needs Improvement</v>
      </c>
      <c r="CK41" t="str">
        <f>IF(OR(Table1[[#This Row],[Rating]]&lt;=2,Table1[[#This Row],[Profit]]&lt;0),"Review","NO")</f>
        <v>Review</v>
      </c>
      <c r="CL41" t="e" cm="1">
        <f t="array" ref="CL41">_xlfn.IFS(Table1[[#This Row],[Rating]]&gt;2,"Poor",Table1[[#This Row],[Rating]]=3,"Average",Table1[[#This Row],[Rating]]=4,"Good",CP41=5,"Excellent")</f>
        <v>#N/A</v>
      </c>
      <c r="CM41">
        <f>COUNT(Table1[[#This Row],[Rating]])</f>
        <v>1</v>
      </c>
      <c r="CN41">
        <f>COUNTBLANK(Table1[[#This Row],[Rating]])</f>
        <v>0</v>
      </c>
      <c r="CP41" t="s">
        <v>138</v>
      </c>
      <c r="CQ41" s="14">
        <v>1</v>
      </c>
      <c r="CR41" t="s">
        <v>139</v>
      </c>
      <c r="CS41" t="s">
        <v>267</v>
      </c>
      <c r="CU41" s="3">
        <v>1518.1</v>
      </c>
      <c r="CV41" s="3">
        <f>ROUND(Table1[[#This Row],[Sales_Amount]],0)</f>
        <v>1518</v>
      </c>
      <c r="CW41" s="3"/>
      <c r="CX41" s="3"/>
      <c r="CY41" s="3" t="b">
        <f>IF(AND(Table1[[#This Row],[Sales_Amount]]&gt;=10000,Table1[[#This Row],[Profit]]&gt;0),"Good Order")</f>
        <v>0</v>
      </c>
      <c r="CZ41" s="3" t="str">
        <f>IF(Table1[[#This Row],[Sales_Amount]]&gt;=10000,"High","Normal")</f>
        <v>Normal</v>
      </c>
      <c r="DA41" s="3">
        <v>678.1</v>
      </c>
      <c r="DB41" s="3">
        <f>ROUND(Table1[[#This Row],[Profit]],0)</f>
        <v>678</v>
      </c>
      <c r="DC41" s="3">
        <f>ABS(Table1[[#This Row],[Profit]])</f>
        <v>678.1</v>
      </c>
      <c r="DD41" s="3"/>
      <c r="DE41" s="3"/>
      <c r="DF41" s="3"/>
      <c r="DG41" s="3" t="str">
        <f>IF(Table1[[#This Row],[Profit]]&gt;0,"Profit","Loss")</f>
        <v>Profit</v>
      </c>
      <c r="DH41" s="3" t="str">
        <f>IF(AND(Table1[[#This Row],[Sales_Amount]]&gt;=10000,Table1[[#This Row],[Profit]]&gt;0),"Priority","Normal")</f>
        <v>Normal</v>
      </c>
      <c r="DI41" s="3">
        <f t="shared" ca="1" si="2"/>
        <v>0.46439961715238809</v>
      </c>
      <c r="DJ41" s="3">
        <f t="shared" ca="1" si="3"/>
        <v>96</v>
      </c>
      <c r="DK41" s="3"/>
      <c r="DL41" s="3"/>
      <c r="DM41" s="3"/>
      <c r="DN41" s="3"/>
      <c r="DO41" s="3"/>
      <c r="DP41" s="3"/>
    </row>
    <row r="42" spans="1:120">
      <c r="A42" t="s">
        <v>456</v>
      </c>
      <c r="B42" t="str">
        <f>REPLACE(Table1[[#This Row],[Order_ID]],1,3,"YOO")</f>
        <v>YOO10041</v>
      </c>
      <c r="C42" t="str">
        <f>MID(Table1[[#This Row],[Order_ID]],4,4)</f>
        <v>1004</v>
      </c>
      <c r="D42" t="str">
        <f>LEFT(Table1[[#This Row],[Order_ID]],4)</f>
        <v>ORD1</v>
      </c>
      <c r="E42" t="str">
        <f>RIGHT(Table1[[#This Row],[Order_ID]],5)</f>
        <v>10041</v>
      </c>
      <c r="F42" t="s">
        <v>5</v>
      </c>
      <c r="G42">
        <v>10041</v>
      </c>
      <c r="H42" t="s">
        <v>457</v>
      </c>
      <c r="I42" s="2">
        <f>EDATE(Table1[[#This Row],[Order_Date]],3)</f>
        <v>46322</v>
      </c>
      <c r="J42" s="2">
        <f>EDATE(Table1[[#This Row],[Order_Date]],6)</f>
        <v>46414</v>
      </c>
      <c r="K42">
        <f ca="1">YEAR(Table1[[#This Row],[Today]])</f>
        <v>2026</v>
      </c>
      <c r="L42">
        <v>41</v>
      </c>
      <c r="M42">
        <f ca="1">DAY(Table1[[#This Row],[Today]])</f>
        <v>11</v>
      </c>
      <c r="N42" s="19">
        <f t="shared" ca="1" si="6"/>
        <v>46245.589795370368</v>
      </c>
      <c r="O42" s="2">
        <f t="shared" ca="1" si="0"/>
        <v>46245</v>
      </c>
      <c r="P42" s="17">
        <f ca="1">Table1[[#This Row],[Today]]-Table1[[#This Row],[Order_Date]]</f>
        <v>15</v>
      </c>
      <c r="Q42" s="2">
        <v>45698</v>
      </c>
      <c r="R42" s="2">
        <v>46230</v>
      </c>
      <c r="S42" s="6">
        <f t="shared" si="4"/>
        <v>2026</v>
      </c>
      <c r="T42" s="7" t="str">
        <f t="shared" si="5"/>
        <v>July</v>
      </c>
      <c r="U42" s="2">
        <f>WORKDAY(Table1[[#This Row],[Order_Date]],5)</f>
        <v>46237</v>
      </c>
      <c r="V42" s="7" t="str">
        <f>CONCATENATE(Table1[[#This Row],[Customer_ID]],Table1[[#This Row],[Customer_Name]])</f>
        <v>C1141Nitin Soni</v>
      </c>
      <c r="W42" t="s">
        <v>317</v>
      </c>
      <c r="X42" t="s">
        <v>144</v>
      </c>
      <c r="Y42">
        <f>COUNTA(Table1[[#This Row],[Customer_Name]])</f>
        <v>1</v>
      </c>
      <c r="Z42" t="str">
        <f>SUBSTITUTE(Table1[[#This Row],[Customer_Name]]," ","_")</f>
        <v>Nitin_Soni</v>
      </c>
      <c r="AA42" s="10" t="str">
        <f>IFERROR(SEARCH("a",Table1[[#This Row],[Customer_Name]]),"N/A")</f>
        <v>N/A</v>
      </c>
      <c r="AB42">
        <f>SEARCH(" ",Table1[[#This Row],[Customer_Name]])</f>
        <v>6</v>
      </c>
      <c r="AC42" s="11" t="str">
        <f>IFERROR(FIND("a",Table1[[#This Row],[Customer_Name]]),"N/A")</f>
        <v>N/A</v>
      </c>
      <c r="AD42">
        <f>FIND(" ",Table1[[#This Row],[Customer_Name]])</f>
        <v>6</v>
      </c>
      <c r="AE42" t="str">
        <f>TRIM(Table1[[#This Row],[Customer_Name]])</f>
        <v>Nitin Soni</v>
      </c>
      <c r="AF42">
        <f>LEN(Table1[[#This Row],[Trimmed]])</f>
        <v>10</v>
      </c>
      <c r="AG42">
        <f>MAX(Table1[Length])</f>
        <v>15</v>
      </c>
      <c r="AH42" t="str">
        <f>PROPER(Table1[[#This Row],[Customer_Name]])</f>
        <v>Nitin Soni</v>
      </c>
      <c r="AI42" t="str">
        <f>LOWER(Table1[[#This Row],[Customer_Name]])</f>
        <v>nitin soni</v>
      </c>
      <c r="AJ42" t="str">
        <f>UPPER(Table1[[#This Row],[Customer_Name]])</f>
        <v>NITIN SONI</v>
      </c>
      <c r="AK42" t="str">
        <f>CONCATENATE(Table1[[#This Row],[Customer_ID]],Table1[[#This Row],[Customer_Name]])</f>
        <v>C1141Nitin Soni</v>
      </c>
      <c r="AL42" t="s">
        <v>145</v>
      </c>
      <c r="AM42" t="s">
        <v>146</v>
      </c>
      <c r="AN42" t="s">
        <v>147</v>
      </c>
      <c r="AO42" t="s">
        <v>145</v>
      </c>
      <c r="AP42" t="s">
        <v>146</v>
      </c>
      <c r="AQ42" t="s">
        <v>304</v>
      </c>
      <c r="AR42" t="str">
        <f>TRIM(Table1[[#This Row],[City]])</f>
        <v>Chennai</v>
      </c>
      <c r="AS42" t="str">
        <f>PROPER(Table1[[#This Row],[City]])</f>
        <v>Chennai</v>
      </c>
      <c r="AT42" t="s">
        <v>305</v>
      </c>
      <c r="AU42" t="str">
        <f>CONCATENATE(Table1[[#This Row],[City]],Table1[[#This Row],[State]])</f>
        <v>ChennaiTamil Nadu</v>
      </c>
      <c r="AV42" t="s">
        <v>168</v>
      </c>
      <c r="AW42" t="s">
        <v>130</v>
      </c>
      <c r="AX42" t="str">
        <f>REPLACE(Table1[[#This Row],[Product_ID]],1,1,"s")</f>
        <v>s111</v>
      </c>
      <c r="AY42" t="s">
        <v>458</v>
      </c>
      <c r="AZ42">
        <f>SEARCH("-",Table1[[#This Row],[Product ID]])</f>
        <v>2</v>
      </c>
      <c r="BA42">
        <f>FIND("-",Table1[[#This Row],[Product ID]])</f>
        <v>2</v>
      </c>
      <c r="BB42" t="str">
        <f>MID(Table1[[#This Row],[Product_ID]],2,3)</f>
        <v>111</v>
      </c>
      <c r="BC42" t="str">
        <f>RIGHT(Table1[[#This Row],[Product_ID]],3)</f>
        <v>111</v>
      </c>
      <c r="BD42" t="str">
        <f>LEFT(Table1[[#This Row],[Product_ID]],3)</f>
        <v>P11</v>
      </c>
      <c r="BE42" t="str">
        <f>_xlfn.XLOOKUP(Table1[[#This Row],[Product_ID]],AW:AW,BF:BF,,0)</f>
        <v>Coffee Maker</v>
      </c>
      <c r="BF42" t="s">
        <v>132</v>
      </c>
      <c r="BG42">
        <f>LEN(Table1[[#This Row],[Product_Name]])</f>
        <v>12</v>
      </c>
      <c r="BH42" t="s">
        <v>133</v>
      </c>
      <c r="BI42">
        <f t="shared" si="7"/>
        <v>75</v>
      </c>
      <c r="BJ42" t="str">
        <f>SUBSTITUTE(Table1[[#This Row],[Category]],"Electronics","ELECTRONICS")</f>
        <v>Home</v>
      </c>
      <c r="BN42" t="s">
        <v>134</v>
      </c>
      <c r="BS42" s="14">
        <v>5</v>
      </c>
      <c r="BT42" s="3">
        <v>3999</v>
      </c>
      <c r="BU42" s="4">
        <v>15</v>
      </c>
      <c r="BV42" s="4" t="str">
        <f>IF(AND(Table1[[#This Row],[Quantity]]&gt;=3,Table1[[#This Row],[Discount_%]]&gt;=15%),"Bulk Discount","no")</f>
        <v>Bulk Discount</v>
      </c>
      <c r="BW42" s="4" t="str">
        <f>IF(AND(Table1[[#This Row],[Quantity]]&gt;3,Table1[[#This Row],[Discount_%]]&gt;15%),"Bulk Customer","Normal")</f>
        <v>Bulk Customer</v>
      </c>
      <c r="BX42" t="s">
        <v>187</v>
      </c>
      <c r="BY42" t="s">
        <v>193</v>
      </c>
      <c r="CC42" t="str">
        <f>IF(OR(Table1[[#This Row],[Order_Status]]="Returned",Table1[[#This Row],[Order_Status]]="Cancelled"),"Attention Required","Not")</f>
        <v>Not</v>
      </c>
      <c r="CD42" t="str">
        <f>IF(OR(Table1[[#This Row],[Order_Status]]="Returned",Table1[[#This Row],[Order_Status]]="Cancelled"),"Review","no")</f>
        <v>no</v>
      </c>
      <c r="CE42" t="str">
        <f>SUBSTITUTE(Table1[[#This Row],[Order_Status]],"Delivered","Completed")</f>
        <v>Shipped</v>
      </c>
      <c r="CF42" s="2">
        <v>46238</v>
      </c>
      <c r="CG42" s="17">
        <f>NETWORKDAYS(Table1[[#This Row],[Order_Date]],Table1[[#This Row],[Delivery_Date]])</f>
        <v>7</v>
      </c>
      <c r="CH42" s="17">
        <f>Table1[[#This Row],[Delivery_Date]]-Table1[[#This Row],[Order_Date]]</f>
        <v>8</v>
      </c>
      <c r="CI42" t="s">
        <v>137</v>
      </c>
      <c r="CJ42" t="str">
        <f>IF(Table1[[#This Row],[Rating]]&gt;=4,"Good","Needs Improvement")</f>
        <v>Good</v>
      </c>
      <c r="CK42" t="str">
        <f>IF(OR(Table1[[#This Row],[Rating]]&lt;=2,Table1[[#This Row],[Profit]]&lt;0),"Review","NO")</f>
        <v>NO</v>
      </c>
      <c r="CL42" t="str" cm="1">
        <f t="array" ref="CL42">_xlfn.IFS(Table1[[#This Row],[Rating]]&gt;2,"Poor",Table1[[#This Row],[Rating]]=3,"Average",Table1[[#This Row],[Rating]]=4,"Good",CP42=5,"Excellent")</f>
        <v>Poor</v>
      </c>
      <c r="CM42">
        <f>COUNT(Table1[[#This Row],[Rating]])</f>
        <v>1</v>
      </c>
      <c r="CN42">
        <f>COUNTBLANK(Table1[[#This Row],[Rating]])</f>
        <v>0</v>
      </c>
      <c r="CQ42" s="14">
        <v>5</v>
      </c>
      <c r="CR42" t="s">
        <v>173</v>
      </c>
      <c r="CS42" t="s">
        <v>267</v>
      </c>
      <c r="CU42" s="3">
        <v>16995.75</v>
      </c>
      <c r="CV42" s="3">
        <f>ROUND(Table1[[#This Row],[Sales_Amount]],0)</f>
        <v>16996</v>
      </c>
      <c r="CW42" s="3"/>
      <c r="CX42" s="3"/>
      <c r="CY42" s="3" t="str">
        <f>IF(AND(Table1[[#This Row],[Sales_Amount]]&gt;=10000,Table1[[#This Row],[Profit]]&gt;0),"Good Order")</f>
        <v>Good Order</v>
      </c>
      <c r="CZ42" s="3" t="str">
        <f>IF(Table1[[#This Row],[Sales_Amount]]&gt;=10000,"High","Normal")</f>
        <v>High</v>
      </c>
      <c r="DA42" s="3">
        <v>4495.75</v>
      </c>
      <c r="DB42" s="3">
        <f>ROUND(Table1[[#This Row],[Profit]],0)</f>
        <v>4496</v>
      </c>
      <c r="DC42" s="3">
        <f>ABS(Table1[[#This Row],[Profit]])</f>
        <v>4495.75</v>
      </c>
      <c r="DD42" s="3"/>
      <c r="DE42" s="3"/>
      <c r="DF42" s="3"/>
      <c r="DG42" s="3" t="str">
        <f>IF(Table1[[#This Row],[Profit]]&gt;0,"Profit","Loss")</f>
        <v>Profit</v>
      </c>
      <c r="DH42" s="3" t="str">
        <f>IF(AND(Table1[[#This Row],[Sales_Amount]]&gt;=10000,Table1[[#This Row],[Profit]]&gt;0),"Priority","Normal")</f>
        <v>Priority</v>
      </c>
      <c r="DI42" s="3">
        <f t="shared" ca="1" si="2"/>
        <v>0.81904458037962469</v>
      </c>
      <c r="DJ42" s="3">
        <f t="shared" ca="1" si="3"/>
        <v>58</v>
      </c>
      <c r="DK42" s="3"/>
      <c r="DL42" s="3"/>
      <c r="DM42" s="3"/>
      <c r="DN42" s="3"/>
      <c r="DO42" s="3"/>
      <c r="DP42" s="3"/>
    </row>
    <row r="43" spans="1:120">
      <c r="A43" t="s">
        <v>459</v>
      </c>
      <c r="B43" t="str">
        <f>REPLACE(Table1[[#This Row],[Order_ID]],1,3,"YOO")</f>
        <v>YOO10042</v>
      </c>
      <c r="C43" t="str">
        <f>MID(Table1[[#This Row],[Order_ID]],4,4)</f>
        <v>1004</v>
      </c>
      <c r="D43" t="str">
        <f>LEFT(Table1[[#This Row],[Order_ID]],4)</f>
        <v>ORD1</v>
      </c>
      <c r="E43" t="str">
        <f>RIGHT(Table1[[#This Row],[Order_ID]],5)</f>
        <v>10042</v>
      </c>
      <c r="F43" t="s">
        <v>5</v>
      </c>
      <c r="G43">
        <v>10042</v>
      </c>
      <c r="H43" t="s">
        <v>460</v>
      </c>
      <c r="I43" s="2">
        <f>EDATE(Table1[[#This Row],[Order_Date]],3)</f>
        <v>46033</v>
      </c>
      <c r="J43" s="2">
        <f>EDATE(Table1[[#This Row],[Order_Date]],6)</f>
        <v>46123</v>
      </c>
      <c r="K43">
        <f ca="1">YEAR(Table1[[#This Row],[Today]])</f>
        <v>2026</v>
      </c>
      <c r="L43">
        <v>42</v>
      </c>
      <c r="M43">
        <f ca="1">DAY(Table1[[#This Row],[Today]])</f>
        <v>11</v>
      </c>
      <c r="N43" s="19">
        <f t="shared" ca="1" si="6"/>
        <v>46245.589795370368</v>
      </c>
      <c r="O43" s="2">
        <f t="shared" ca="1" si="0"/>
        <v>46245</v>
      </c>
      <c r="P43" s="17">
        <f ca="1">Table1[[#This Row],[Today]]-Table1[[#This Row],[Order_Date]]</f>
        <v>304</v>
      </c>
      <c r="Q43" s="2">
        <v>45699</v>
      </c>
      <c r="R43" s="2">
        <v>45941</v>
      </c>
      <c r="S43" s="6">
        <f t="shared" si="4"/>
        <v>2025</v>
      </c>
      <c r="T43" s="7" t="str">
        <f t="shared" si="5"/>
        <v>October</v>
      </c>
      <c r="U43" s="2">
        <f>WORKDAY(Table1[[#This Row],[Order_Date]],5)</f>
        <v>45947</v>
      </c>
      <c r="V43" s="7" t="str">
        <f>CONCATENATE(Table1[[#This Row],[Customer_ID]],Table1[[#This Row],[Customer_Name]])</f>
        <v xml:space="preserve">C1113  aman singh  </v>
      </c>
      <c r="W43" t="s">
        <v>461</v>
      </c>
      <c r="X43" t="s">
        <v>462</v>
      </c>
      <c r="Y43">
        <f>COUNTA(Table1[[#This Row],[Customer_Name]])</f>
        <v>1</v>
      </c>
      <c r="Z43" t="str">
        <f>SUBSTITUTE(Table1[[#This Row],[Customer_Name]]," ","_")</f>
        <v>__aman_singh__</v>
      </c>
      <c r="AA43" s="10">
        <f>IFERROR(SEARCH("a",Table1[[#This Row],[Customer_Name]]),"N/A")</f>
        <v>3</v>
      </c>
      <c r="AB43">
        <f>SEARCH(" ",Table1[[#This Row],[Customer_Name]])</f>
        <v>1</v>
      </c>
      <c r="AC43" s="11">
        <f>IFERROR(FIND("a",Table1[[#This Row],[Customer_Name]]),"N/A")</f>
        <v>3</v>
      </c>
      <c r="AD43">
        <f>FIND(" ",Table1[[#This Row],[Customer_Name]])</f>
        <v>1</v>
      </c>
      <c r="AE43" t="str">
        <f>TRIM(Table1[[#This Row],[Customer_Name]])</f>
        <v>aman singh</v>
      </c>
      <c r="AF43">
        <f>LEN(Table1[[#This Row],[Trimmed]])</f>
        <v>10</v>
      </c>
      <c r="AG43">
        <f>MAX(Table1[Length])</f>
        <v>15</v>
      </c>
      <c r="AH43" t="str">
        <f>PROPER(Table1[[#This Row],[Customer_Name]])</f>
        <v xml:space="preserve">  Aman Singh  </v>
      </c>
      <c r="AI43" t="str">
        <f>LOWER(Table1[[#This Row],[Customer_Name]])</f>
        <v xml:space="preserve">  aman singh  </v>
      </c>
      <c r="AJ43" t="str">
        <f>UPPER(Table1[[#This Row],[Customer_Name]])</f>
        <v xml:space="preserve">  AMAN SINGH  </v>
      </c>
      <c r="AK43" t="str">
        <f>CONCATENATE(Table1[[#This Row],[Customer_ID]],Table1[[#This Row],[Customer_Name]])</f>
        <v xml:space="preserve">C1113  aman singh  </v>
      </c>
      <c r="AL43" t="s">
        <v>463</v>
      </c>
      <c r="AM43" t="s">
        <v>464</v>
      </c>
      <c r="AN43" t="s">
        <v>126</v>
      </c>
      <c r="AO43" t="s">
        <v>463</v>
      </c>
      <c r="AP43" t="s">
        <v>464</v>
      </c>
      <c r="AQ43" t="s">
        <v>148</v>
      </c>
      <c r="AR43" t="str">
        <f>TRIM(Table1[[#This Row],[City]])</f>
        <v>Jaipur</v>
      </c>
      <c r="AS43" t="str">
        <f>PROPER(Table1[[#This Row],[City]])</f>
        <v>Jaipur</v>
      </c>
      <c r="AT43" t="s">
        <v>149</v>
      </c>
      <c r="AU43" t="str">
        <f>CONCATENATE(Table1[[#This Row],[City]],Table1[[#This Row],[State]])</f>
        <v>JaipurRajasthan</v>
      </c>
      <c r="AV43" t="s">
        <v>150</v>
      </c>
      <c r="AW43" t="s">
        <v>183</v>
      </c>
      <c r="AX43" t="str">
        <f>REPLACE(Table1[[#This Row],[Product_ID]],1,1,"s")</f>
        <v>s105</v>
      </c>
      <c r="AY43" t="s">
        <v>465</v>
      </c>
      <c r="AZ43">
        <f>SEARCH("-",Table1[[#This Row],[Product ID]])</f>
        <v>2</v>
      </c>
      <c r="BA43">
        <f>FIND("-",Table1[[#This Row],[Product ID]])</f>
        <v>2</v>
      </c>
      <c r="BB43" t="str">
        <f>MID(Table1[[#This Row],[Product_ID]],2,3)</f>
        <v>105</v>
      </c>
      <c r="BC43" t="str">
        <f>RIGHT(Table1[[#This Row],[Product_ID]],3)</f>
        <v>105</v>
      </c>
      <c r="BD43" t="str">
        <f>LEFT(Table1[[#This Row],[Product_ID]],3)</f>
        <v>P10</v>
      </c>
      <c r="BE43" t="str">
        <f>_xlfn.XLOOKUP(Table1[[#This Row],[Product_ID]],AW:AW,BF:BF,,0)</f>
        <v>Bluetooth Speaker</v>
      </c>
      <c r="BF43" t="s">
        <v>185</v>
      </c>
      <c r="BG43">
        <f>LEN(Table1[[#This Row],[Product_Name]])</f>
        <v>17</v>
      </c>
      <c r="BH43" t="s">
        <v>154</v>
      </c>
      <c r="BI43">
        <f t="shared" si="7"/>
        <v>75</v>
      </c>
      <c r="BJ43" t="str">
        <f>SUBSTITUTE(Table1[[#This Row],[Category]],"Electronics","ELECTRONICS")</f>
        <v>ELECTRONICS</v>
      </c>
      <c r="BN43" t="s">
        <v>186</v>
      </c>
      <c r="BS43" s="14">
        <v>5</v>
      </c>
      <c r="BT43" s="3">
        <v>2999</v>
      </c>
      <c r="BU43" s="4">
        <v>25</v>
      </c>
      <c r="BV43" s="4" t="str">
        <f>IF(AND(Table1[[#This Row],[Quantity]]&gt;=3,Table1[[#This Row],[Discount_%]]&gt;=15%),"Bulk Discount","no")</f>
        <v>Bulk Discount</v>
      </c>
      <c r="BW43" s="4" t="str">
        <f>IF(AND(Table1[[#This Row],[Quantity]]&gt;3,Table1[[#This Row],[Discount_%]]&gt;15%),"Bulk Customer","Normal")</f>
        <v>Bulk Customer</v>
      </c>
      <c r="BX43" t="s">
        <v>192</v>
      </c>
      <c r="BY43" t="s">
        <v>374</v>
      </c>
      <c r="CC43" t="str">
        <f>IF(OR(Table1[[#This Row],[Order_Status]]="Returned",Table1[[#This Row],[Order_Status]]="Cancelled"),"Attention Required","Not")</f>
        <v>Attention Required</v>
      </c>
      <c r="CD43" t="str">
        <f>IF(OR(Table1[[#This Row],[Order_Status]]="Returned",Table1[[#This Row],[Order_Status]]="Cancelled"),"Review","no")</f>
        <v>Review</v>
      </c>
      <c r="CE43" t="str">
        <f>SUBSTITUTE(Table1[[#This Row],[Order_Status]],"Delivered","Completed")</f>
        <v>Returned</v>
      </c>
      <c r="CF43" s="2">
        <v>45945</v>
      </c>
      <c r="CG43" s="17">
        <f>NETWORKDAYS(Table1[[#This Row],[Order_Date]],Table1[[#This Row],[Delivery_Date]])</f>
        <v>3</v>
      </c>
      <c r="CH43" s="17">
        <f>Table1[[#This Row],[Delivery_Date]]-Table1[[#This Row],[Order_Date]]</f>
        <v>4</v>
      </c>
      <c r="CI43" t="s">
        <v>375</v>
      </c>
      <c r="CJ43" t="str">
        <f>IF(Table1[[#This Row],[Rating]]&gt;=4,"Good","Needs Improvement")</f>
        <v>Good</v>
      </c>
      <c r="CK43" t="str">
        <f>IF(OR(Table1[[#This Row],[Rating]]&lt;=2,Table1[[#This Row],[Profit]]&lt;0),"Review","NO")</f>
        <v>NO</v>
      </c>
      <c r="CL43" t="str" cm="1">
        <f t="array" ref="CL43">_xlfn.IFS(Table1[[#This Row],[Rating]]&gt;2,"Poor",Table1[[#This Row],[Rating]]=3,"Average",Table1[[#This Row],[Rating]]=4,"Good",CP43=5,"Excellent")</f>
        <v>Poor</v>
      </c>
      <c r="CM43">
        <f>COUNT(Table1[[#This Row],[Rating]])</f>
        <v>1</v>
      </c>
      <c r="CN43">
        <f>COUNTBLANK(Table1[[#This Row],[Rating]])</f>
        <v>0</v>
      </c>
      <c r="CP43" t="s">
        <v>194</v>
      </c>
      <c r="CQ43" s="14">
        <v>4</v>
      </c>
      <c r="CR43" t="s">
        <v>173</v>
      </c>
      <c r="CS43" t="s">
        <v>195</v>
      </c>
      <c r="CU43" s="3">
        <v>11246.25</v>
      </c>
      <c r="CV43" s="3">
        <f>ROUND(Table1[[#This Row],[Sales_Amount]],0)</f>
        <v>11246</v>
      </c>
      <c r="CW43" s="3"/>
      <c r="CX43" s="3"/>
      <c r="CY43" s="3" t="str">
        <f>IF(AND(Table1[[#This Row],[Sales_Amount]]&gt;=10000,Table1[[#This Row],[Profit]]&gt;0),"Good Order")</f>
        <v>Good Order</v>
      </c>
      <c r="CZ43" s="3" t="str">
        <f>IF(Table1[[#This Row],[Sales_Amount]]&gt;=10000,"High","Normal")</f>
        <v>High</v>
      </c>
      <c r="DA43" s="3">
        <v>2496.25</v>
      </c>
      <c r="DB43" s="3">
        <f>ROUND(Table1[[#This Row],[Profit]],0)</f>
        <v>2496</v>
      </c>
      <c r="DC43" s="3">
        <f>ABS(Table1[[#This Row],[Profit]])</f>
        <v>2496.25</v>
      </c>
      <c r="DD43" s="3"/>
      <c r="DE43" s="3"/>
      <c r="DF43" s="3"/>
      <c r="DG43" s="3" t="str">
        <f>IF(Table1[[#This Row],[Profit]]&gt;0,"Profit","Loss")</f>
        <v>Profit</v>
      </c>
      <c r="DH43" s="3" t="str">
        <f>IF(AND(Table1[[#This Row],[Sales_Amount]]&gt;=10000,Table1[[#This Row],[Profit]]&gt;0),"Priority","Normal")</f>
        <v>Priority</v>
      </c>
      <c r="DI43" s="3">
        <f t="shared" ca="1" si="2"/>
        <v>0.50963076112572658</v>
      </c>
      <c r="DJ43" s="3">
        <f t="shared" ca="1" si="3"/>
        <v>48</v>
      </c>
      <c r="DK43" s="3"/>
      <c r="DL43" s="3"/>
      <c r="DM43" s="3"/>
      <c r="DN43" s="3"/>
      <c r="DO43" s="3"/>
      <c r="DP43" s="3"/>
    </row>
    <row r="44" spans="1:120">
      <c r="A44" t="s">
        <v>466</v>
      </c>
      <c r="B44" t="str">
        <f>REPLACE(Table1[[#This Row],[Order_ID]],1,3,"YOO")</f>
        <v>YOO10043</v>
      </c>
      <c r="C44" t="str">
        <f>MID(Table1[[#This Row],[Order_ID]],4,4)</f>
        <v>1004</v>
      </c>
      <c r="D44" t="str">
        <f>LEFT(Table1[[#This Row],[Order_ID]],4)</f>
        <v>ORD1</v>
      </c>
      <c r="E44" t="str">
        <f>RIGHT(Table1[[#This Row],[Order_ID]],5)</f>
        <v>10043</v>
      </c>
      <c r="F44" t="s">
        <v>5</v>
      </c>
      <c r="G44">
        <v>10043</v>
      </c>
      <c r="H44" t="s">
        <v>467</v>
      </c>
      <c r="I44" s="2">
        <f>EDATE(Table1[[#This Row],[Order_Date]],3)</f>
        <v>45832</v>
      </c>
      <c r="J44" s="2">
        <f>EDATE(Table1[[#This Row],[Order_Date]],6)</f>
        <v>45924</v>
      </c>
      <c r="K44">
        <f ca="1">YEAR(Table1[[#This Row],[Today]])</f>
        <v>2026</v>
      </c>
      <c r="L44">
        <v>43</v>
      </c>
      <c r="M44">
        <f ca="1">DAY(Table1[[#This Row],[Today]])</f>
        <v>11</v>
      </c>
      <c r="N44" s="19">
        <f t="shared" ca="1" si="6"/>
        <v>46245.589795138891</v>
      </c>
      <c r="O44" s="2">
        <f t="shared" ca="1" si="0"/>
        <v>46245</v>
      </c>
      <c r="P44" s="17">
        <f ca="1">Table1[[#This Row],[Today]]-Table1[[#This Row],[Order_Date]]</f>
        <v>505</v>
      </c>
      <c r="Q44" s="2">
        <v>45700</v>
      </c>
      <c r="R44" s="2">
        <v>45740</v>
      </c>
      <c r="S44" s="6">
        <f t="shared" si="4"/>
        <v>2025</v>
      </c>
      <c r="T44" s="7" t="str">
        <f t="shared" si="5"/>
        <v>March</v>
      </c>
      <c r="U44" s="2">
        <f>WORKDAY(Table1[[#This Row],[Order_Date]],5)</f>
        <v>45747</v>
      </c>
      <c r="V44" s="7" t="str">
        <f>CONCATENATE(Table1[[#This Row],[Customer_ID]],Table1[[#This Row],[Customer_Name]])</f>
        <v>C1055Aman Singh</v>
      </c>
      <c r="W44" t="s">
        <v>468</v>
      </c>
      <c r="X44" t="s">
        <v>123</v>
      </c>
      <c r="Y44">
        <f>COUNTA(Table1[[#This Row],[Customer_Name]])</f>
        <v>1</v>
      </c>
      <c r="Z44" t="str">
        <f>SUBSTITUTE(Table1[[#This Row],[Customer_Name]]," ","_")</f>
        <v>Aman_Singh</v>
      </c>
      <c r="AA44" s="10">
        <f>IFERROR(SEARCH("a",Table1[[#This Row],[Customer_Name]]),"N/A")</f>
        <v>1</v>
      </c>
      <c r="AB44">
        <f>SEARCH(" ",Table1[[#This Row],[Customer_Name]])</f>
        <v>5</v>
      </c>
      <c r="AC44" s="11">
        <f>IFERROR(FIND("a",Table1[[#This Row],[Customer_Name]]),"N/A")</f>
        <v>3</v>
      </c>
      <c r="AD44">
        <f>FIND(" ",Table1[[#This Row],[Customer_Name]])</f>
        <v>5</v>
      </c>
      <c r="AE44" t="str">
        <f>TRIM(Table1[[#This Row],[Customer_Name]])</f>
        <v>Aman Singh</v>
      </c>
      <c r="AF44">
        <f>LEN(Table1[[#This Row],[Trimmed]])</f>
        <v>10</v>
      </c>
      <c r="AG44">
        <f>MAX(Table1[Length])</f>
        <v>15</v>
      </c>
      <c r="AH44" t="str">
        <f>PROPER(Table1[[#This Row],[Customer_Name]])</f>
        <v>Aman Singh</v>
      </c>
      <c r="AI44" t="str">
        <f>LOWER(Table1[[#This Row],[Customer_Name]])</f>
        <v>aman singh</v>
      </c>
      <c r="AJ44" t="str">
        <f>UPPER(Table1[[#This Row],[Customer_Name]])</f>
        <v>AMAN SINGH</v>
      </c>
      <c r="AK44" t="str">
        <f>CONCATENATE(Table1[[#This Row],[Customer_ID]],Table1[[#This Row],[Customer_Name]])</f>
        <v>C1055Aman Singh</v>
      </c>
      <c r="AL44" t="s">
        <v>124</v>
      </c>
      <c r="AM44" t="s">
        <v>125</v>
      </c>
      <c r="AN44" t="s">
        <v>126</v>
      </c>
      <c r="AO44" t="s">
        <v>124</v>
      </c>
      <c r="AP44" t="s">
        <v>125</v>
      </c>
      <c r="AQ44" t="s">
        <v>304</v>
      </c>
      <c r="AR44" t="str">
        <f>TRIM(Table1[[#This Row],[City]])</f>
        <v>Chennai</v>
      </c>
      <c r="AS44" t="str">
        <f>PROPER(Table1[[#This Row],[City]])</f>
        <v>Chennai</v>
      </c>
      <c r="AT44" t="s">
        <v>305</v>
      </c>
      <c r="AU44" t="str">
        <f>CONCATENATE(Table1[[#This Row],[City]],Table1[[#This Row],[State]])</f>
        <v>ChennaiTamil Nadu</v>
      </c>
      <c r="AV44" t="s">
        <v>168</v>
      </c>
      <c r="AW44" t="s">
        <v>221</v>
      </c>
      <c r="AX44" t="str">
        <f>REPLACE(Table1[[#This Row],[Product_ID]],1,1,"s")</f>
        <v>s106</v>
      </c>
      <c r="AY44" t="s">
        <v>469</v>
      </c>
      <c r="AZ44">
        <f>SEARCH("-",Table1[[#This Row],[Product ID]])</f>
        <v>2</v>
      </c>
      <c r="BA44">
        <f>FIND("-",Table1[[#This Row],[Product ID]])</f>
        <v>2</v>
      </c>
      <c r="BB44" t="str">
        <f>MID(Table1[[#This Row],[Product_ID]],2,3)</f>
        <v>106</v>
      </c>
      <c r="BC44" t="str">
        <f>RIGHT(Table1[[#This Row],[Product_ID]],3)</f>
        <v>106</v>
      </c>
      <c r="BD44" t="str">
        <f>LEFT(Table1[[#This Row],[Product_ID]],3)</f>
        <v>P10</v>
      </c>
      <c r="BE44" t="str">
        <f>_xlfn.XLOOKUP(Table1[[#This Row],[Product_ID]],AW:AW,BF:BF,,0)</f>
        <v>Running Shoes</v>
      </c>
      <c r="BF44" t="s">
        <v>223</v>
      </c>
      <c r="BG44">
        <f>LEN(Table1[[#This Row],[Product_Name]])</f>
        <v>13</v>
      </c>
      <c r="BH44" t="s">
        <v>224</v>
      </c>
      <c r="BI44">
        <f t="shared" si="7"/>
        <v>75</v>
      </c>
      <c r="BJ44" t="str">
        <f>SUBSTITUTE(Table1[[#This Row],[Category]],"Electronics","ELECTRONICS")</f>
        <v>Fashion</v>
      </c>
      <c r="BN44" t="s">
        <v>225</v>
      </c>
      <c r="BS44" s="14">
        <v>2</v>
      </c>
      <c r="BT44" s="3">
        <v>3499</v>
      </c>
      <c r="BU44" s="4">
        <v>5</v>
      </c>
      <c r="BV44" s="4" t="str">
        <f>IF(AND(Table1[[#This Row],[Quantity]]&gt;=3,Table1[[#This Row],[Discount_%]]&gt;=15%),"Bulk Discount","no")</f>
        <v>no</v>
      </c>
      <c r="BW44" s="4" t="str">
        <f>IF(AND(Table1[[#This Row],[Quantity]]&gt;3,Table1[[#This Row],[Discount_%]]&gt;15%),"Bulk Customer","Normal")</f>
        <v>Normal</v>
      </c>
      <c r="BX44" t="s">
        <v>330</v>
      </c>
      <c r="BY44" t="s">
        <v>136</v>
      </c>
      <c r="CC44" t="str">
        <f>IF(OR(Table1[[#This Row],[Order_Status]]="Returned",Table1[[#This Row],[Order_Status]]="Cancelled"),"Attention Required","Not")</f>
        <v>Not</v>
      </c>
      <c r="CD44" t="str">
        <f>IF(OR(Table1[[#This Row],[Order_Status]]="Returned",Table1[[#This Row],[Order_Status]]="Cancelled"),"Review","no")</f>
        <v>no</v>
      </c>
      <c r="CE44" t="str">
        <f>SUBSTITUTE(Table1[[#This Row],[Order_Status]],"Delivered","Completed")</f>
        <v>Completed</v>
      </c>
      <c r="CF44" s="2">
        <v>45747</v>
      </c>
      <c r="CG44" s="17">
        <f>NETWORKDAYS(Table1[[#This Row],[Order_Date]],Table1[[#This Row],[Delivery_Date]])</f>
        <v>6</v>
      </c>
      <c r="CH44" s="17">
        <f>Table1[[#This Row],[Delivery_Date]]-Table1[[#This Row],[Order_Date]]</f>
        <v>7</v>
      </c>
      <c r="CI44" t="s">
        <v>137</v>
      </c>
      <c r="CJ44" t="str">
        <f>IF(Table1[[#This Row],[Rating]]&gt;=4,"Good","Needs Improvement")</f>
        <v>Needs Improvement</v>
      </c>
      <c r="CK44" t="str">
        <f>IF(OR(Table1[[#This Row],[Rating]]&lt;=2,Table1[[#This Row],[Profit]]&lt;0),"Review","NO")</f>
        <v>NO</v>
      </c>
      <c r="CL44" t="str" cm="1">
        <f t="array" ref="CL44">_xlfn.IFS(Table1[[#This Row],[Rating]]&gt;2,"Poor",Table1[[#This Row],[Rating]]=3,"Average",Table1[[#This Row],[Rating]]=4,"Good",CP44=5,"Excellent")</f>
        <v>Poor</v>
      </c>
      <c r="CM44">
        <f>COUNT(Table1[[#This Row],[Rating]])</f>
        <v>1</v>
      </c>
      <c r="CN44">
        <f>COUNTBLANK(Table1[[#This Row],[Rating]])</f>
        <v>0</v>
      </c>
      <c r="CP44" t="s">
        <v>138</v>
      </c>
      <c r="CQ44" s="14">
        <v>3</v>
      </c>
      <c r="CR44" t="s">
        <v>173</v>
      </c>
      <c r="CS44" t="s">
        <v>174</v>
      </c>
      <c r="CU44" s="3">
        <v>6648.1</v>
      </c>
      <c r="CV44" s="3">
        <f>ROUND(Table1[[#This Row],[Sales_Amount]],0)</f>
        <v>6648</v>
      </c>
      <c r="CW44" s="3"/>
      <c r="CX44" s="3"/>
      <c r="CY44" s="3" t="b">
        <f>IF(AND(Table1[[#This Row],[Sales_Amount]]&gt;=10000,Table1[[#This Row],[Profit]]&gt;0),"Good Order")</f>
        <v>0</v>
      </c>
      <c r="CZ44" s="3" t="str">
        <f>IF(Table1[[#This Row],[Sales_Amount]]&gt;=10000,"High","Normal")</f>
        <v>Normal</v>
      </c>
      <c r="DA44" s="3">
        <v>2848.1</v>
      </c>
      <c r="DB44" s="3">
        <f>ROUND(Table1[[#This Row],[Profit]],0)</f>
        <v>2848</v>
      </c>
      <c r="DC44" s="3">
        <f>ABS(Table1[[#This Row],[Profit]])</f>
        <v>2848.1</v>
      </c>
      <c r="DD44" s="3"/>
      <c r="DE44" s="3"/>
      <c r="DF44" s="3"/>
      <c r="DG44" s="3" t="str">
        <f>IF(Table1[[#This Row],[Profit]]&gt;0,"Profit","Loss")</f>
        <v>Profit</v>
      </c>
      <c r="DH44" s="3" t="str">
        <f>IF(AND(Table1[[#This Row],[Sales_Amount]]&gt;=10000,Table1[[#This Row],[Profit]]&gt;0),"Priority","Normal")</f>
        <v>Normal</v>
      </c>
      <c r="DI44" s="3">
        <f t="shared" ca="1" si="2"/>
        <v>0.34361510009558638</v>
      </c>
      <c r="DJ44" s="3">
        <f t="shared" ca="1" si="3"/>
        <v>6</v>
      </c>
      <c r="DK44" s="3"/>
      <c r="DL44" s="3"/>
      <c r="DM44" s="3"/>
      <c r="DN44" s="3"/>
      <c r="DO44" s="3"/>
      <c r="DP44" s="3"/>
    </row>
    <row r="45" spans="1:120">
      <c r="A45" t="s">
        <v>470</v>
      </c>
      <c r="B45" t="str">
        <f>REPLACE(Table1[[#This Row],[Order_ID]],1,3,"YOO")</f>
        <v>YOO10044</v>
      </c>
      <c r="C45" t="str">
        <f>MID(Table1[[#This Row],[Order_ID]],4,4)</f>
        <v>1004</v>
      </c>
      <c r="D45" t="str">
        <f>LEFT(Table1[[#This Row],[Order_ID]],4)</f>
        <v>ORD1</v>
      </c>
      <c r="E45" t="str">
        <f>RIGHT(Table1[[#This Row],[Order_ID]],5)</f>
        <v>10044</v>
      </c>
      <c r="F45" t="s">
        <v>5</v>
      </c>
      <c r="G45">
        <v>10044</v>
      </c>
      <c r="H45" t="s">
        <v>471</v>
      </c>
      <c r="I45" s="2">
        <f>EDATE(Table1[[#This Row],[Order_Date]],3)</f>
        <v>45813</v>
      </c>
      <c r="J45" s="2">
        <f>EDATE(Table1[[#This Row],[Order_Date]],6)</f>
        <v>45905</v>
      </c>
      <c r="K45">
        <f ca="1">YEAR(Table1[[#This Row],[Today]])</f>
        <v>2026</v>
      </c>
      <c r="L45">
        <v>44</v>
      </c>
      <c r="M45">
        <f ca="1">DAY(Table1[[#This Row],[Today]])</f>
        <v>11</v>
      </c>
      <c r="N45" s="19">
        <f t="shared" ca="1" si="6"/>
        <v>46245.589795370368</v>
      </c>
      <c r="O45" s="2">
        <f t="shared" ca="1" si="0"/>
        <v>46245</v>
      </c>
      <c r="P45" s="17">
        <f ca="1">Table1[[#This Row],[Today]]-Table1[[#This Row],[Order_Date]]</f>
        <v>524</v>
      </c>
      <c r="Q45" s="2">
        <v>45701</v>
      </c>
      <c r="R45" s="2">
        <v>45721</v>
      </c>
      <c r="S45" s="6">
        <f t="shared" si="4"/>
        <v>2025</v>
      </c>
      <c r="T45" s="7" t="str">
        <f t="shared" si="5"/>
        <v>March</v>
      </c>
      <c r="U45" s="2">
        <f>WORKDAY(Table1[[#This Row],[Order_Date]],5)</f>
        <v>45728</v>
      </c>
      <c r="V45" s="7" t="str">
        <f>CONCATENATE(Table1[[#This Row],[Customer_ID]],Table1[[#This Row],[Customer_Name]])</f>
        <v>C1123Rahul Sharma</v>
      </c>
      <c r="W45" t="s">
        <v>472</v>
      </c>
      <c r="X45" t="s">
        <v>290</v>
      </c>
      <c r="Y45">
        <f>COUNTA(Table1[[#This Row],[Customer_Name]])</f>
        <v>1</v>
      </c>
      <c r="Z45" t="str">
        <f>SUBSTITUTE(Table1[[#This Row],[Customer_Name]]," ","_")</f>
        <v>Rahul_Sharma</v>
      </c>
      <c r="AA45" s="10">
        <f>IFERROR(SEARCH("a",Table1[[#This Row],[Customer_Name]]),"N/A")</f>
        <v>2</v>
      </c>
      <c r="AB45">
        <f>SEARCH(" ",Table1[[#This Row],[Customer_Name]])</f>
        <v>6</v>
      </c>
      <c r="AC45" s="11">
        <f>IFERROR(FIND("a",Table1[[#This Row],[Customer_Name]]),"N/A")</f>
        <v>2</v>
      </c>
      <c r="AD45">
        <f>FIND(" ",Table1[[#This Row],[Customer_Name]])</f>
        <v>6</v>
      </c>
      <c r="AE45" t="str">
        <f>TRIM(Table1[[#This Row],[Customer_Name]])</f>
        <v>Rahul Sharma</v>
      </c>
      <c r="AF45">
        <f>LEN(Table1[[#This Row],[Trimmed]])</f>
        <v>12</v>
      </c>
      <c r="AG45">
        <f>MAX(Table1[Length])</f>
        <v>15</v>
      </c>
      <c r="AH45" t="str">
        <f>PROPER(Table1[[#This Row],[Customer_Name]])</f>
        <v>Rahul Sharma</v>
      </c>
      <c r="AI45" t="str">
        <f>LOWER(Table1[[#This Row],[Customer_Name]])</f>
        <v>rahul sharma</v>
      </c>
      <c r="AJ45" t="str">
        <f>UPPER(Table1[[#This Row],[Customer_Name]])</f>
        <v>RAHUL SHARMA</v>
      </c>
      <c r="AK45" t="str">
        <f>CONCATENATE(Table1[[#This Row],[Customer_ID]],Table1[[#This Row],[Customer_Name]])</f>
        <v>C1123Rahul Sharma</v>
      </c>
      <c r="AL45" t="s">
        <v>291</v>
      </c>
      <c r="AM45" t="s">
        <v>292</v>
      </c>
      <c r="AN45" t="s">
        <v>245</v>
      </c>
      <c r="AO45" t="s">
        <v>291</v>
      </c>
      <c r="AP45" t="s">
        <v>292</v>
      </c>
      <c r="AQ45" t="s">
        <v>166</v>
      </c>
      <c r="AR45" t="str">
        <f>TRIM(Table1[[#This Row],[City]])</f>
        <v>Bengaluru</v>
      </c>
      <c r="AS45" t="str">
        <f>PROPER(Table1[[#This Row],[City]])</f>
        <v>Bengaluru</v>
      </c>
      <c r="AT45" t="s">
        <v>167</v>
      </c>
      <c r="AU45" t="str">
        <f>CONCATENATE(Table1[[#This Row],[City]],Table1[[#This Row],[State]])</f>
        <v>BengaluruKarnataka</v>
      </c>
      <c r="AV45" t="s">
        <v>168</v>
      </c>
      <c r="AW45" t="s">
        <v>370</v>
      </c>
      <c r="AX45" t="str">
        <f>REPLACE(Table1[[#This Row],[Product_ID]],1,1,"s")</f>
        <v>s108</v>
      </c>
      <c r="AY45" t="s">
        <v>473</v>
      </c>
      <c r="AZ45">
        <f>SEARCH("-",Table1[[#This Row],[Product ID]])</f>
        <v>2</v>
      </c>
      <c r="BA45">
        <f>FIND("-",Table1[[#This Row],[Product ID]])</f>
        <v>2</v>
      </c>
      <c r="BB45" t="str">
        <f>MID(Table1[[#This Row],[Product_ID]],2,3)</f>
        <v>108</v>
      </c>
      <c r="BC45" t="str">
        <f>RIGHT(Table1[[#This Row],[Product_ID]],3)</f>
        <v>108</v>
      </c>
      <c r="BD45" t="str">
        <f>LEFT(Table1[[#This Row],[Product_ID]],3)</f>
        <v>P10</v>
      </c>
      <c r="BE45" t="str">
        <f>_xlfn.XLOOKUP(Table1[[#This Row],[Product_ID]],AW:AW,BF:BF,,0)</f>
        <v>Hoodie</v>
      </c>
      <c r="BF45" t="s">
        <v>372</v>
      </c>
      <c r="BG45">
        <f>LEN(Table1[[#This Row],[Product_Name]])</f>
        <v>6</v>
      </c>
      <c r="BH45" t="s">
        <v>224</v>
      </c>
      <c r="BI45">
        <f t="shared" si="7"/>
        <v>75</v>
      </c>
      <c r="BJ45" t="str">
        <f>SUBSTITUTE(Table1[[#This Row],[Category]],"Electronics","ELECTRONICS")</f>
        <v>Fashion</v>
      </c>
      <c r="BN45" t="s">
        <v>373</v>
      </c>
      <c r="BS45" s="14">
        <v>2</v>
      </c>
      <c r="BT45" s="3">
        <v>1999</v>
      </c>
      <c r="BU45" s="4">
        <v>20</v>
      </c>
      <c r="BV45" s="4" t="str">
        <f>IF(AND(Table1[[#This Row],[Quantity]]&gt;=3,Table1[[#This Row],[Discount_%]]&gt;=15%),"Bulk Discount","no")</f>
        <v>no</v>
      </c>
      <c r="BW45" s="4" t="str">
        <f>IF(AND(Table1[[#This Row],[Quantity]]&gt;3,Table1[[#This Row],[Discount_%]]&gt;15%),"Bulk Customer","Normal")</f>
        <v>Normal</v>
      </c>
      <c r="BX45" t="s">
        <v>192</v>
      </c>
      <c r="BY45" t="s">
        <v>136</v>
      </c>
      <c r="CC45" t="str">
        <f>IF(OR(Table1[[#This Row],[Order_Status]]="Returned",Table1[[#This Row],[Order_Status]]="Cancelled"),"Attention Required","Not")</f>
        <v>Not</v>
      </c>
      <c r="CD45" t="str">
        <f>IF(OR(Table1[[#This Row],[Order_Status]]="Returned",Table1[[#This Row],[Order_Status]]="Cancelled"),"Review","no")</f>
        <v>no</v>
      </c>
      <c r="CE45" t="str">
        <f>SUBSTITUTE(Table1[[#This Row],[Order_Status]],"Delivered","Completed")</f>
        <v>Completed</v>
      </c>
      <c r="CF45" s="2">
        <v>45722</v>
      </c>
      <c r="CG45" s="17">
        <f>NETWORKDAYS(Table1[[#This Row],[Order_Date]],Table1[[#This Row],[Delivery_Date]])</f>
        <v>2</v>
      </c>
      <c r="CH45" s="17">
        <f>Table1[[#This Row],[Delivery_Date]]-Table1[[#This Row],[Order_Date]]</f>
        <v>1</v>
      </c>
      <c r="CI45" t="s">
        <v>137</v>
      </c>
      <c r="CJ45" t="str">
        <f>IF(Table1[[#This Row],[Rating]]&gt;=4,"Good","Needs Improvement")</f>
        <v>Good</v>
      </c>
      <c r="CK45" t="str">
        <f>IF(OR(Table1[[#This Row],[Rating]]&lt;=2,Table1[[#This Row],[Profit]]&lt;0),"Review","NO")</f>
        <v>NO</v>
      </c>
      <c r="CL45" t="str" cm="1">
        <f t="array" ref="CL45">_xlfn.IFS(Table1[[#This Row],[Rating]]&gt;2,"Poor",Table1[[#This Row],[Rating]]=3,"Average",Table1[[#This Row],[Rating]]=4,"Good",CP45=5,"Excellent")</f>
        <v>Poor</v>
      </c>
      <c r="CM45">
        <f>COUNT(Table1[[#This Row],[Rating]])</f>
        <v>1</v>
      </c>
      <c r="CN45">
        <f>COUNTBLANK(Table1[[#This Row],[Rating]])</f>
        <v>0</v>
      </c>
      <c r="CP45" t="s">
        <v>157</v>
      </c>
      <c r="CQ45" s="14">
        <v>5</v>
      </c>
      <c r="CR45" t="s">
        <v>173</v>
      </c>
      <c r="CS45" t="s">
        <v>267</v>
      </c>
      <c r="CU45" s="3">
        <v>3198.4</v>
      </c>
      <c r="CV45" s="3">
        <f>ROUND(Table1[[#This Row],[Sales_Amount]],0)</f>
        <v>3198</v>
      </c>
      <c r="CW45" s="3"/>
      <c r="CX45" s="3"/>
      <c r="CY45" s="3" t="b">
        <f>IF(AND(Table1[[#This Row],[Sales_Amount]]&gt;=10000,Table1[[#This Row],[Profit]]&gt;0),"Good Order")</f>
        <v>0</v>
      </c>
      <c r="CZ45" s="3" t="str">
        <f>IF(Table1[[#This Row],[Sales_Amount]]&gt;=10000,"High","Normal")</f>
        <v>Normal</v>
      </c>
      <c r="DA45" s="3">
        <v>1098.4000000000001</v>
      </c>
      <c r="DB45" s="3">
        <f>ROUND(Table1[[#This Row],[Profit]],0)</f>
        <v>1098</v>
      </c>
      <c r="DC45" s="3">
        <f>ABS(Table1[[#This Row],[Profit]])</f>
        <v>1098.4000000000001</v>
      </c>
      <c r="DD45" s="3"/>
      <c r="DE45" s="3"/>
      <c r="DF45" s="3"/>
      <c r="DG45" s="3" t="str">
        <f>IF(Table1[[#This Row],[Profit]]&gt;0,"Profit","Loss")</f>
        <v>Profit</v>
      </c>
      <c r="DH45" s="3" t="str">
        <f>IF(AND(Table1[[#This Row],[Sales_Amount]]&gt;=10000,Table1[[#This Row],[Profit]]&gt;0),"Priority","Normal")</f>
        <v>Normal</v>
      </c>
      <c r="DI45" s="3">
        <f t="shared" ca="1" si="2"/>
        <v>0.64284918794637924</v>
      </c>
      <c r="DJ45" s="3">
        <f t="shared" ca="1" si="3"/>
        <v>66</v>
      </c>
      <c r="DK45" s="3"/>
      <c r="DL45" s="3"/>
      <c r="DM45" s="3"/>
      <c r="DN45" s="3"/>
      <c r="DO45" s="3"/>
      <c r="DP45" s="3"/>
    </row>
    <row r="46" spans="1:120">
      <c r="A46" t="s">
        <v>474</v>
      </c>
      <c r="B46" t="str">
        <f>REPLACE(Table1[[#This Row],[Order_ID]],1,3,"YOO")</f>
        <v>YOO10045</v>
      </c>
      <c r="C46" t="str">
        <f>MID(Table1[[#This Row],[Order_ID]],4,4)</f>
        <v>1004</v>
      </c>
      <c r="D46" t="str">
        <f>LEFT(Table1[[#This Row],[Order_ID]],4)</f>
        <v>ORD1</v>
      </c>
      <c r="E46" t="str">
        <f>RIGHT(Table1[[#This Row],[Order_ID]],5)</f>
        <v>10045</v>
      </c>
      <c r="F46" t="s">
        <v>5</v>
      </c>
      <c r="G46">
        <v>10045</v>
      </c>
      <c r="H46" t="s">
        <v>475</v>
      </c>
      <c r="I46" s="2">
        <f>EDATE(Table1[[#This Row],[Order_Date]],3)</f>
        <v>46309</v>
      </c>
      <c r="J46" s="2">
        <f>EDATE(Table1[[#This Row],[Order_Date]],6)</f>
        <v>46401</v>
      </c>
      <c r="K46">
        <f ca="1">YEAR(Table1[[#This Row],[Today]])</f>
        <v>2026</v>
      </c>
      <c r="L46">
        <v>45</v>
      </c>
      <c r="M46">
        <f ca="1">DAY(Table1[[#This Row],[Today]])</f>
        <v>11</v>
      </c>
      <c r="N46" s="19">
        <f t="shared" ca="1" si="6"/>
        <v>46245.589795370368</v>
      </c>
      <c r="O46" s="2">
        <f t="shared" ca="1" si="0"/>
        <v>46245</v>
      </c>
      <c r="P46" s="17">
        <f ca="1">Table1[[#This Row],[Today]]-Table1[[#This Row],[Order_Date]]</f>
        <v>28</v>
      </c>
      <c r="Q46" s="2">
        <v>45702</v>
      </c>
      <c r="R46" s="2">
        <v>46217</v>
      </c>
      <c r="S46" s="6">
        <f t="shared" si="4"/>
        <v>2026</v>
      </c>
      <c r="T46" s="7" t="str">
        <f t="shared" si="5"/>
        <v>July</v>
      </c>
      <c r="U46" s="2">
        <f>WORKDAY(Table1[[#This Row],[Order_Date]],5)</f>
        <v>46224</v>
      </c>
      <c r="V46" s="7" t="str">
        <f>CONCATENATE(Table1[[#This Row],[Customer_ID]],Table1[[#This Row],[Customer_Name]])</f>
        <v>C1112Kavya Shah</v>
      </c>
      <c r="W46" t="s">
        <v>476</v>
      </c>
      <c r="X46" t="s">
        <v>271</v>
      </c>
      <c r="Y46">
        <f>COUNTA(Table1[[#This Row],[Customer_Name]])</f>
        <v>1</v>
      </c>
      <c r="Z46" t="str">
        <f>SUBSTITUTE(Table1[[#This Row],[Customer_Name]]," ","_")</f>
        <v>Kavya_Shah</v>
      </c>
      <c r="AA46" s="10">
        <f>IFERROR(SEARCH("a",Table1[[#This Row],[Customer_Name]]),"N/A")</f>
        <v>2</v>
      </c>
      <c r="AB46">
        <f>SEARCH(" ",Table1[[#This Row],[Customer_Name]])</f>
        <v>6</v>
      </c>
      <c r="AC46" s="11">
        <f>IFERROR(FIND("a",Table1[[#This Row],[Customer_Name]]),"N/A")</f>
        <v>2</v>
      </c>
      <c r="AD46">
        <f>FIND(" ",Table1[[#This Row],[Customer_Name]])</f>
        <v>6</v>
      </c>
      <c r="AE46" t="str">
        <f>TRIM(Table1[[#This Row],[Customer_Name]])</f>
        <v>Kavya Shah</v>
      </c>
      <c r="AF46">
        <f>LEN(Table1[[#This Row],[Trimmed]])</f>
        <v>10</v>
      </c>
      <c r="AG46">
        <f>MAX(Table1[Length])</f>
        <v>15</v>
      </c>
      <c r="AH46" t="str">
        <f>PROPER(Table1[[#This Row],[Customer_Name]])</f>
        <v>Kavya Shah</v>
      </c>
      <c r="AI46" t="str">
        <f>LOWER(Table1[[#This Row],[Customer_Name]])</f>
        <v>kavya shah</v>
      </c>
      <c r="AJ46" t="str">
        <f>UPPER(Table1[[#This Row],[Customer_Name]])</f>
        <v>KAVYA SHAH</v>
      </c>
      <c r="AK46" t="str">
        <f>CONCATENATE(Table1[[#This Row],[Customer_ID]],Table1[[#This Row],[Customer_Name]])</f>
        <v>C1112Kavya Shah</v>
      </c>
      <c r="AL46" t="s">
        <v>272</v>
      </c>
      <c r="AM46" t="s">
        <v>273</v>
      </c>
      <c r="AN46" t="s">
        <v>274</v>
      </c>
      <c r="AO46" t="s">
        <v>272</v>
      </c>
      <c r="AP46" t="s">
        <v>273</v>
      </c>
      <c r="AQ46" t="s">
        <v>423</v>
      </c>
      <c r="AR46" t="str">
        <f>TRIM(Table1[[#This Row],[City]])</f>
        <v>Ahmedabad</v>
      </c>
      <c r="AS46" t="str">
        <f>PROPER(Table1[[#This Row],[City]])</f>
        <v>Ahmedabad</v>
      </c>
      <c r="AT46" t="s">
        <v>424</v>
      </c>
      <c r="AU46" t="str">
        <f>CONCATENATE(Table1[[#This Row],[City]],Table1[[#This Row],[State]])</f>
        <v>AhmedabadGujarat</v>
      </c>
      <c r="AV46" t="s">
        <v>129</v>
      </c>
      <c r="AW46" t="s">
        <v>477</v>
      </c>
      <c r="AX46" t="str">
        <f>REPLACE(Table1[[#This Row],[Product_ID]],1,1,"s")</f>
        <v>s109</v>
      </c>
      <c r="AY46" t="s">
        <v>478</v>
      </c>
      <c r="AZ46">
        <f>SEARCH("-",Table1[[#This Row],[Product ID]])</f>
        <v>2</v>
      </c>
      <c r="BA46">
        <f>FIND("-",Table1[[#This Row],[Product ID]])</f>
        <v>2</v>
      </c>
      <c r="BB46" t="str">
        <f>MID(Table1[[#This Row],[Product_ID]],2,3)</f>
        <v>109</v>
      </c>
      <c r="BC46" t="str">
        <f>RIGHT(Table1[[#This Row],[Product_ID]],3)</f>
        <v>109</v>
      </c>
      <c r="BD46" t="str">
        <f>LEFT(Table1[[#This Row],[Product_ID]],3)</f>
        <v>P10</v>
      </c>
      <c r="BE46" t="str">
        <f>_xlfn.XLOOKUP(Table1[[#This Row],[Product_ID]],AW:AW,BF:BF,,0)</f>
        <v>Backpack</v>
      </c>
      <c r="BF46" t="s">
        <v>479</v>
      </c>
      <c r="BG46">
        <f>LEN(Table1[[#This Row],[Product_Name]])</f>
        <v>8</v>
      </c>
      <c r="BH46" t="s">
        <v>224</v>
      </c>
      <c r="BI46">
        <f t="shared" si="7"/>
        <v>75</v>
      </c>
      <c r="BJ46" t="str">
        <f>SUBSTITUTE(Table1[[#This Row],[Category]],"Electronics","ELECTRONICS")</f>
        <v>Fashion</v>
      </c>
      <c r="BN46" t="s">
        <v>480</v>
      </c>
      <c r="BS46" s="14">
        <v>5</v>
      </c>
      <c r="BT46" s="3">
        <v>2299</v>
      </c>
      <c r="BU46" s="4">
        <v>10</v>
      </c>
      <c r="BV46" s="4" t="str">
        <f>IF(AND(Table1[[#This Row],[Quantity]]&gt;=3,Table1[[#This Row],[Discount_%]]&gt;=15%),"Bulk Discount","no")</f>
        <v>Bulk Discount</v>
      </c>
      <c r="BW46" s="4" t="str">
        <f>IF(AND(Table1[[#This Row],[Quantity]]&gt;3,Table1[[#This Row],[Discount_%]]&gt;15%),"Bulk Customer","Normal")</f>
        <v>Bulk Customer</v>
      </c>
      <c r="BX46" t="s">
        <v>172</v>
      </c>
      <c r="BY46" t="s">
        <v>136</v>
      </c>
      <c r="CC46" t="str">
        <f>IF(OR(Table1[[#This Row],[Order_Status]]="Returned",Table1[[#This Row],[Order_Status]]="Cancelled"),"Attention Required","Not")</f>
        <v>Not</v>
      </c>
      <c r="CD46" t="str">
        <f>IF(OR(Table1[[#This Row],[Order_Status]]="Returned",Table1[[#This Row],[Order_Status]]="Cancelled"),"Review","no")</f>
        <v>no</v>
      </c>
      <c r="CE46" t="str">
        <f>SUBSTITUTE(Table1[[#This Row],[Order_Status]],"Delivered","Completed")</f>
        <v>Completed</v>
      </c>
      <c r="CF46" s="2">
        <v>46221</v>
      </c>
      <c r="CG46" s="17">
        <f>NETWORKDAYS(Table1[[#This Row],[Order_Date]],Table1[[#This Row],[Delivery_Date]])</f>
        <v>4</v>
      </c>
      <c r="CH46" s="17">
        <f>Table1[[#This Row],[Delivery_Date]]-Table1[[#This Row],[Order_Date]]</f>
        <v>4</v>
      </c>
      <c r="CI46" t="s">
        <v>137</v>
      </c>
      <c r="CJ46" t="str">
        <f>IF(Table1[[#This Row],[Rating]]&gt;=4,"Good","Needs Improvement")</f>
        <v>Good</v>
      </c>
      <c r="CK46" t="str">
        <f>IF(OR(Table1[[#This Row],[Rating]]&lt;=2,Table1[[#This Row],[Profit]]&lt;0),"Review","NO")</f>
        <v>NO</v>
      </c>
      <c r="CL46" t="str" cm="1">
        <f t="array" ref="CL46">_xlfn.IFS(Table1[[#This Row],[Rating]]&gt;2,"Poor",Table1[[#This Row],[Rating]]=3,"Average",Table1[[#This Row],[Rating]]=4,"Good",CP46=5,"Excellent")</f>
        <v>Poor</v>
      </c>
      <c r="CM46">
        <f>COUNT(Table1[[#This Row],[Rating]])</f>
        <v>1</v>
      </c>
      <c r="CN46">
        <f>COUNTBLANK(Table1[[#This Row],[Rating]])</f>
        <v>0</v>
      </c>
      <c r="CP46" t="s">
        <v>138</v>
      </c>
      <c r="CQ46" s="14">
        <v>4</v>
      </c>
      <c r="CR46" t="s">
        <v>173</v>
      </c>
      <c r="CS46" t="s">
        <v>213</v>
      </c>
      <c r="CU46" s="3">
        <v>10345.5</v>
      </c>
      <c r="CV46" s="3">
        <f>ROUND(Table1[[#This Row],[Sales_Amount]],0)</f>
        <v>10346</v>
      </c>
      <c r="CW46" s="3"/>
      <c r="CX46" s="3"/>
      <c r="CY46" s="3" t="str">
        <f>IF(AND(Table1[[#This Row],[Sales_Amount]]&gt;=10000,Table1[[#This Row],[Profit]]&gt;0),"Good Order")</f>
        <v>Good Order</v>
      </c>
      <c r="CZ46" s="3" t="str">
        <f>IF(Table1[[#This Row],[Sales_Amount]]&gt;=10000,"High","Normal")</f>
        <v>High</v>
      </c>
      <c r="DA46" s="3">
        <v>4095.5</v>
      </c>
      <c r="DB46" s="3">
        <f>ROUND(Table1[[#This Row],[Profit]],0)</f>
        <v>4096</v>
      </c>
      <c r="DC46" s="3">
        <f>ABS(Table1[[#This Row],[Profit]])</f>
        <v>4095.5</v>
      </c>
      <c r="DD46" s="3"/>
      <c r="DE46" s="3"/>
      <c r="DF46" s="3"/>
      <c r="DG46" s="3" t="str">
        <f>IF(Table1[[#This Row],[Profit]]&gt;0,"Profit","Loss")</f>
        <v>Profit</v>
      </c>
      <c r="DH46" s="3" t="str">
        <f>IF(AND(Table1[[#This Row],[Sales_Amount]]&gt;=10000,Table1[[#This Row],[Profit]]&gt;0),"Priority","Normal")</f>
        <v>Priority</v>
      </c>
      <c r="DI46" s="3">
        <f t="shared" ca="1" si="2"/>
        <v>0.21637157741894131</v>
      </c>
      <c r="DJ46" s="3">
        <f t="shared" ca="1" si="3"/>
        <v>92</v>
      </c>
      <c r="DK46" s="3"/>
      <c r="DL46" s="3"/>
      <c r="DM46" s="3"/>
      <c r="DN46" s="3"/>
      <c r="DO46" s="3"/>
      <c r="DP46" s="3"/>
    </row>
    <row r="47" spans="1:120">
      <c r="A47" t="s">
        <v>481</v>
      </c>
      <c r="B47" t="str">
        <f>REPLACE(Table1[[#This Row],[Order_ID]],1,3,"YOO")</f>
        <v>YOO10046</v>
      </c>
      <c r="C47" t="str">
        <f>MID(Table1[[#This Row],[Order_ID]],4,4)</f>
        <v>1004</v>
      </c>
      <c r="D47" t="str">
        <f>LEFT(Table1[[#This Row],[Order_ID]],4)</f>
        <v>ORD1</v>
      </c>
      <c r="E47" t="str">
        <f>RIGHT(Table1[[#This Row],[Order_ID]],5)</f>
        <v>10046</v>
      </c>
      <c r="F47" t="s">
        <v>5</v>
      </c>
      <c r="G47">
        <v>10046</v>
      </c>
      <c r="H47" t="s">
        <v>482</v>
      </c>
      <c r="I47" s="2">
        <f>EDATE(Table1[[#This Row],[Order_Date]],3)</f>
        <v>45919</v>
      </c>
      <c r="J47" s="2">
        <f>EDATE(Table1[[#This Row],[Order_Date]],6)</f>
        <v>46010</v>
      </c>
      <c r="K47">
        <f ca="1">YEAR(Table1[[#This Row],[Today]])</f>
        <v>2026</v>
      </c>
      <c r="L47">
        <v>46</v>
      </c>
      <c r="M47">
        <f ca="1">DAY(Table1[[#This Row],[Today]])</f>
        <v>11</v>
      </c>
      <c r="N47" s="19">
        <f t="shared" ca="1" si="6"/>
        <v>46245.589795138891</v>
      </c>
      <c r="O47" s="2">
        <f t="shared" ca="1" si="0"/>
        <v>46245</v>
      </c>
      <c r="P47" s="17">
        <f ca="1">Table1[[#This Row],[Today]]-Table1[[#This Row],[Order_Date]]</f>
        <v>418</v>
      </c>
      <c r="Q47" s="2">
        <v>45703</v>
      </c>
      <c r="R47" s="2">
        <v>45827</v>
      </c>
      <c r="S47" s="6">
        <f t="shared" si="4"/>
        <v>2025</v>
      </c>
      <c r="T47" s="7" t="str">
        <f t="shared" si="5"/>
        <v>June</v>
      </c>
      <c r="U47" s="2">
        <f>WORKDAY(Table1[[#This Row],[Order_Date]],5)</f>
        <v>45834</v>
      </c>
      <c r="V47" s="7" t="str">
        <f>CONCATENATE(Table1[[#This Row],[Customer_ID]],Table1[[#This Row],[Customer_Name]])</f>
        <v>C1145Rahul Sharma</v>
      </c>
      <c r="W47" t="s">
        <v>483</v>
      </c>
      <c r="X47" t="s">
        <v>290</v>
      </c>
      <c r="Y47">
        <f>COUNTA(Table1[[#This Row],[Customer_Name]])</f>
        <v>1</v>
      </c>
      <c r="Z47" t="str">
        <f>SUBSTITUTE(Table1[[#This Row],[Customer_Name]]," ","_")</f>
        <v>Rahul_Sharma</v>
      </c>
      <c r="AA47" s="10">
        <f>IFERROR(SEARCH("a",Table1[[#This Row],[Customer_Name]]),"N/A")</f>
        <v>2</v>
      </c>
      <c r="AB47">
        <f>SEARCH(" ",Table1[[#This Row],[Customer_Name]])</f>
        <v>6</v>
      </c>
      <c r="AC47" s="11">
        <f>IFERROR(FIND("a",Table1[[#This Row],[Customer_Name]]),"N/A")</f>
        <v>2</v>
      </c>
      <c r="AD47">
        <f>FIND(" ",Table1[[#This Row],[Customer_Name]])</f>
        <v>6</v>
      </c>
      <c r="AE47" t="str">
        <f>TRIM(Table1[[#This Row],[Customer_Name]])</f>
        <v>Rahul Sharma</v>
      </c>
      <c r="AF47">
        <f>LEN(Table1[[#This Row],[Trimmed]])</f>
        <v>12</v>
      </c>
      <c r="AG47">
        <f>MAX(Table1[Length])</f>
        <v>15</v>
      </c>
      <c r="AH47" t="str">
        <f>PROPER(Table1[[#This Row],[Customer_Name]])</f>
        <v>Rahul Sharma</v>
      </c>
      <c r="AI47" t="str">
        <f>LOWER(Table1[[#This Row],[Customer_Name]])</f>
        <v>rahul sharma</v>
      </c>
      <c r="AJ47" t="str">
        <f>UPPER(Table1[[#This Row],[Customer_Name]])</f>
        <v>RAHUL SHARMA</v>
      </c>
      <c r="AK47" t="str">
        <f>CONCATENATE(Table1[[#This Row],[Customer_ID]],Table1[[#This Row],[Customer_Name]])</f>
        <v>C1145Rahul Sharma</v>
      </c>
      <c r="AL47" t="s">
        <v>291</v>
      </c>
      <c r="AM47" t="s">
        <v>292</v>
      </c>
      <c r="AN47" t="s">
        <v>245</v>
      </c>
      <c r="AO47" t="s">
        <v>291</v>
      </c>
      <c r="AP47" t="s">
        <v>292</v>
      </c>
      <c r="AQ47" t="s">
        <v>166</v>
      </c>
      <c r="AR47" t="str">
        <f>TRIM(Table1[[#This Row],[City]])</f>
        <v>Bengaluru</v>
      </c>
      <c r="AS47" t="str">
        <f>PROPER(Table1[[#This Row],[City]])</f>
        <v>Bengaluru</v>
      </c>
      <c r="AT47" t="s">
        <v>167</v>
      </c>
      <c r="AU47" t="str">
        <f>CONCATENATE(Table1[[#This Row],[City]],Table1[[#This Row],[State]])</f>
        <v>BengaluruKarnataka</v>
      </c>
      <c r="AV47" t="s">
        <v>168</v>
      </c>
      <c r="AW47" t="s">
        <v>130</v>
      </c>
      <c r="AX47" t="str">
        <f>REPLACE(Table1[[#This Row],[Product_ID]],1,1,"s")</f>
        <v>s111</v>
      </c>
      <c r="AY47" t="s">
        <v>484</v>
      </c>
      <c r="AZ47">
        <f>SEARCH("-",Table1[[#This Row],[Product ID]])</f>
        <v>2</v>
      </c>
      <c r="BA47">
        <f>FIND("-",Table1[[#This Row],[Product ID]])</f>
        <v>2</v>
      </c>
      <c r="BB47" t="str">
        <f>MID(Table1[[#This Row],[Product_ID]],2,3)</f>
        <v>111</v>
      </c>
      <c r="BC47" t="str">
        <f>RIGHT(Table1[[#This Row],[Product_ID]],3)</f>
        <v>111</v>
      </c>
      <c r="BD47" t="str">
        <f>LEFT(Table1[[#This Row],[Product_ID]],3)</f>
        <v>P11</v>
      </c>
      <c r="BE47" t="str">
        <f>_xlfn.XLOOKUP(Table1[[#This Row],[Product_ID]],AW:AW,BF:BF,,0)</f>
        <v>Coffee Maker</v>
      </c>
      <c r="BF47" t="s">
        <v>132</v>
      </c>
      <c r="BG47">
        <f>LEN(Table1[[#This Row],[Product_Name]])</f>
        <v>12</v>
      </c>
      <c r="BH47" t="s">
        <v>133</v>
      </c>
      <c r="BI47">
        <f t="shared" si="7"/>
        <v>75</v>
      </c>
      <c r="BJ47" t="str">
        <f>SUBSTITUTE(Table1[[#This Row],[Category]],"Electronics","ELECTRONICS")</f>
        <v>Home</v>
      </c>
      <c r="BN47" t="s">
        <v>134</v>
      </c>
      <c r="BS47" s="14">
        <v>4</v>
      </c>
      <c r="BT47" s="3">
        <v>3999</v>
      </c>
      <c r="BU47" s="4">
        <v>5</v>
      </c>
      <c r="BV47" s="4" t="str">
        <f>IF(AND(Table1[[#This Row],[Quantity]]&gt;=3,Table1[[#This Row],[Discount_%]]&gt;=15%),"Bulk Discount","no")</f>
        <v>Bulk Discount</v>
      </c>
      <c r="BW47" s="4" t="str">
        <f>IF(AND(Table1[[#This Row],[Quantity]]&gt;3,Table1[[#This Row],[Discount_%]]&gt;15%),"Bulk Customer","Normal")</f>
        <v>Bulk Customer</v>
      </c>
      <c r="BX47" t="s">
        <v>172</v>
      </c>
      <c r="BY47" t="s">
        <v>156</v>
      </c>
      <c r="CC47" t="str">
        <f>IF(OR(Table1[[#This Row],[Order_Status]]="Returned",Table1[[#This Row],[Order_Status]]="Cancelled"),"Attention Required","Not")</f>
        <v>Attention Required</v>
      </c>
      <c r="CD47" t="str">
        <f>IF(OR(Table1[[#This Row],[Order_Status]]="Returned",Table1[[#This Row],[Order_Status]]="Cancelled"),"Review","no")</f>
        <v>Review</v>
      </c>
      <c r="CE47" t="str">
        <f>SUBSTITUTE(Table1[[#This Row],[Order_Status]],"Delivered","Completed")</f>
        <v>Cancelled</v>
      </c>
      <c r="CF47" s="2">
        <v>45828</v>
      </c>
      <c r="CG47" s="17">
        <f>NETWORKDAYS(Table1[[#This Row],[Order_Date]],Table1[[#This Row],[Delivery_Date]])</f>
        <v>2</v>
      </c>
      <c r="CH47" s="17">
        <f>Table1[[#This Row],[Delivery_Date]]-Table1[[#This Row],[Order_Date]]</f>
        <v>1</v>
      </c>
      <c r="CI47" t="s">
        <v>137</v>
      </c>
      <c r="CJ47" t="str">
        <f>IF(Table1[[#This Row],[Rating]]&gt;=4,"Good","Needs Improvement")</f>
        <v>Good</v>
      </c>
      <c r="CK47" t="str">
        <f>IF(OR(Table1[[#This Row],[Rating]]&lt;=2,Table1[[#This Row],[Profit]]&lt;0),"Review","NO")</f>
        <v>NO</v>
      </c>
      <c r="CL47" t="str" cm="1">
        <f t="array" ref="CL47">_xlfn.IFS(Table1[[#This Row],[Rating]]&gt;2,"Poor",Table1[[#This Row],[Rating]]=3,"Average",Table1[[#This Row],[Rating]]=4,"Good",CP47=5,"Excellent")</f>
        <v>Poor</v>
      </c>
      <c r="CM47">
        <f>COUNT(Table1[[#This Row],[Rating]])</f>
        <v>1</v>
      </c>
      <c r="CN47">
        <f>COUNTBLANK(Table1[[#This Row],[Rating]])</f>
        <v>0</v>
      </c>
      <c r="CQ47" s="14">
        <v>5</v>
      </c>
      <c r="CR47" t="s">
        <v>173</v>
      </c>
      <c r="CS47" t="s">
        <v>158</v>
      </c>
      <c r="CU47" s="3">
        <v>15196.2</v>
      </c>
      <c r="CV47" s="3">
        <f>ROUND(Table1[[#This Row],[Sales_Amount]],0)</f>
        <v>15196</v>
      </c>
      <c r="CW47" s="3"/>
      <c r="CX47" s="3"/>
      <c r="CY47" s="3" t="str">
        <f>IF(AND(Table1[[#This Row],[Sales_Amount]]&gt;=10000,Table1[[#This Row],[Profit]]&gt;0),"Good Order")</f>
        <v>Good Order</v>
      </c>
      <c r="CZ47" s="3" t="str">
        <f>IF(Table1[[#This Row],[Sales_Amount]]&gt;=10000,"High","Normal")</f>
        <v>High</v>
      </c>
      <c r="DA47" s="3">
        <v>5196.2</v>
      </c>
      <c r="DB47" s="3">
        <f>ROUND(Table1[[#This Row],[Profit]],0)</f>
        <v>5196</v>
      </c>
      <c r="DC47" s="3">
        <f>ABS(Table1[[#This Row],[Profit]])</f>
        <v>5196.2</v>
      </c>
      <c r="DD47" s="3"/>
      <c r="DE47" s="3"/>
      <c r="DF47" s="3"/>
      <c r="DG47" s="3" t="str">
        <f>IF(Table1[[#This Row],[Profit]]&gt;0,"Profit","Loss")</f>
        <v>Profit</v>
      </c>
      <c r="DH47" s="3" t="str">
        <f>IF(AND(Table1[[#This Row],[Sales_Amount]]&gt;=10000,Table1[[#This Row],[Profit]]&gt;0),"Priority","Normal")</f>
        <v>Priority</v>
      </c>
      <c r="DI47" s="3">
        <f t="shared" ca="1" si="2"/>
        <v>0.60500534849699128</v>
      </c>
      <c r="DJ47" s="3">
        <f t="shared" ca="1" si="3"/>
        <v>70</v>
      </c>
      <c r="DK47" s="3"/>
      <c r="DL47" s="3"/>
      <c r="DM47" s="3"/>
      <c r="DN47" s="3"/>
      <c r="DO47" s="3"/>
      <c r="DP47" s="3"/>
    </row>
    <row r="48" spans="1:120">
      <c r="A48" t="s">
        <v>485</v>
      </c>
      <c r="B48" t="str">
        <f>REPLACE(Table1[[#This Row],[Order_ID]],1,3,"YOO")</f>
        <v>YOO10047</v>
      </c>
      <c r="C48" t="str">
        <f>MID(Table1[[#This Row],[Order_ID]],4,4)</f>
        <v>1004</v>
      </c>
      <c r="D48" t="str">
        <f>LEFT(Table1[[#This Row],[Order_ID]],4)</f>
        <v>ORD1</v>
      </c>
      <c r="E48" t="str">
        <f>RIGHT(Table1[[#This Row],[Order_ID]],5)</f>
        <v>10047</v>
      </c>
      <c r="F48" t="s">
        <v>5</v>
      </c>
      <c r="G48">
        <v>10047</v>
      </c>
      <c r="H48" t="s">
        <v>486</v>
      </c>
      <c r="I48" s="2">
        <f>EDATE(Table1[[#This Row],[Order_Date]],3)</f>
        <v>45936</v>
      </c>
      <c r="J48" s="2">
        <f>EDATE(Table1[[#This Row],[Order_Date]],6)</f>
        <v>46028</v>
      </c>
      <c r="K48">
        <f ca="1">YEAR(Table1[[#This Row],[Today]])</f>
        <v>2026</v>
      </c>
      <c r="L48">
        <v>47</v>
      </c>
      <c r="M48">
        <f ca="1">DAY(Table1[[#This Row],[Today]])</f>
        <v>11</v>
      </c>
      <c r="N48" s="19">
        <f t="shared" ca="1" si="6"/>
        <v>46245.589795370368</v>
      </c>
      <c r="O48" s="2">
        <f t="shared" ca="1" si="0"/>
        <v>46245</v>
      </c>
      <c r="P48" s="17">
        <f ca="1">Table1[[#This Row],[Today]]-Table1[[#This Row],[Order_Date]]</f>
        <v>401</v>
      </c>
      <c r="Q48" s="2">
        <v>45704</v>
      </c>
      <c r="R48" s="2">
        <v>45844</v>
      </c>
      <c r="S48" s="6">
        <f t="shared" si="4"/>
        <v>2025</v>
      </c>
      <c r="T48" s="7" t="str">
        <f t="shared" si="5"/>
        <v>July</v>
      </c>
      <c r="U48" s="2">
        <f>WORKDAY(Table1[[#This Row],[Order_Date]],5)</f>
        <v>45849</v>
      </c>
      <c r="V48" s="7" t="str">
        <f>CONCATENATE(Table1[[#This Row],[Customer_ID]],Table1[[#This Row],[Customer_Name]])</f>
        <v>C1117Arjun Rao</v>
      </c>
      <c r="W48" t="s">
        <v>487</v>
      </c>
      <c r="X48" t="s">
        <v>355</v>
      </c>
      <c r="Y48">
        <f>COUNTA(Table1[[#This Row],[Customer_Name]])</f>
        <v>1</v>
      </c>
      <c r="Z48" t="str">
        <f>SUBSTITUTE(Table1[[#This Row],[Customer_Name]]," ","_")</f>
        <v>Arjun_Rao</v>
      </c>
      <c r="AA48" s="10">
        <f>IFERROR(SEARCH("a",Table1[[#This Row],[Customer_Name]]),"N/A")</f>
        <v>1</v>
      </c>
      <c r="AB48">
        <f>SEARCH(" ",Table1[[#This Row],[Customer_Name]])</f>
        <v>6</v>
      </c>
      <c r="AC48" s="11">
        <f>IFERROR(FIND("a",Table1[[#This Row],[Customer_Name]]),"N/A")</f>
        <v>8</v>
      </c>
      <c r="AD48">
        <f>FIND(" ",Table1[[#This Row],[Customer_Name]])</f>
        <v>6</v>
      </c>
      <c r="AE48" t="str">
        <f>TRIM(Table1[[#This Row],[Customer_Name]])</f>
        <v>Arjun Rao</v>
      </c>
      <c r="AF48">
        <f>LEN(Table1[[#This Row],[Trimmed]])</f>
        <v>9</v>
      </c>
      <c r="AG48">
        <f>MAX(Table1[Length])</f>
        <v>15</v>
      </c>
      <c r="AH48" t="str">
        <f>PROPER(Table1[[#This Row],[Customer_Name]])</f>
        <v>Arjun Rao</v>
      </c>
      <c r="AI48" t="str">
        <f>LOWER(Table1[[#This Row],[Customer_Name]])</f>
        <v>arjun rao</v>
      </c>
      <c r="AJ48" t="str">
        <f>UPPER(Table1[[#This Row],[Customer_Name]])</f>
        <v>ARJUN RAO</v>
      </c>
      <c r="AK48" t="str">
        <f>CONCATENATE(Table1[[#This Row],[Customer_ID]],Table1[[#This Row],[Customer_Name]])</f>
        <v>C1117Arjun Rao</v>
      </c>
      <c r="AL48" t="s">
        <v>356</v>
      </c>
      <c r="AM48" t="s">
        <v>357</v>
      </c>
      <c r="AN48" t="s">
        <v>358</v>
      </c>
      <c r="AO48" t="s">
        <v>356</v>
      </c>
      <c r="AP48" t="s">
        <v>357</v>
      </c>
      <c r="AQ48" t="s">
        <v>284</v>
      </c>
      <c r="AR48" t="str">
        <f>TRIM(Table1[[#This Row],[City]])</f>
        <v>Hyderabad</v>
      </c>
      <c r="AS48" t="str">
        <f>PROPER(Table1[[#This Row],[City]])</f>
        <v>Hyderabad</v>
      </c>
      <c r="AT48" t="s">
        <v>285</v>
      </c>
      <c r="AU48" t="str">
        <f>CONCATENATE(Table1[[#This Row],[City]],Table1[[#This Row],[State]])</f>
        <v>HyderabadTelangana</v>
      </c>
      <c r="AV48" t="s">
        <v>168</v>
      </c>
      <c r="AW48" t="s">
        <v>261</v>
      </c>
      <c r="AX48" t="str">
        <f>REPLACE(Table1[[#This Row],[Product_ID]],1,1,"s")</f>
        <v>s114</v>
      </c>
      <c r="AY48" t="s">
        <v>488</v>
      </c>
      <c r="AZ48">
        <f>SEARCH("-",Table1[[#This Row],[Product ID]])</f>
        <v>2</v>
      </c>
      <c r="BA48">
        <f>FIND("-",Table1[[#This Row],[Product ID]])</f>
        <v>2</v>
      </c>
      <c r="BB48" t="str">
        <f>MID(Table1[[#This Row],[Product_ID]],2,3)</f>
        <v>114</v>
      </c>
      <c r="BC48" t="str">
        <f>RIGHT(Table1[[#This Row],[Product_ID]],3)</f>
        <v>114</v>
      </c>
      <c r="BD48" t="str">
        <f>LEFT(Table1[[#This Row],[Product_ID]],3)</f>
        <v>P11</v>
      </c>
      <c r="BE48" t="str">
        <f>_xlfn.XLOOKUP(Table1[[#This Row],[Product_ID]],AW:AW,BF:BF,,0)</f>
        <v>Yoga Mat</v>
      </c>
      <c r="BF48" t="s">
        <v>263</v>
      </c>
      <c r="BG48">
        <f>LEN(Table1[[#This Row],[Product_Name]])</f>
        <v>8</v>
      </c>
      <c r="BH48" t="s">
        <v>264</v>
      </c>
      <c r="BI48">
        <f t="shared" si="7"/>
        <v>75</v>
      </c>
      <c r="BJ48" t="str">
        <f>SUBSTITUTE(Table1[[#This Row],[Category]],"Electronics","ELECTRONICS")</f>
        <v>Sports</v>
      </c>
      <c r="BN48" t="s">
        <v>265</v>
      </c>
      <c r="BS48" s="14">
        <v>1</v>
      </c>
      <c r="BT48" s="3">
        <v>999</v>
      </c>
      <c r="BU48" s="4">
        <v>10</v>
      </c>
      <c r="BV48" s="4" t="str">
        <f>IF(AND(Table1[[#This Row],[Quantity]]&gt;=3,Table1[[#This Row],[Discount_%]]&gt;=15%),"Bulk Discount","no")</f>
        <v>no</v>
      </c>
      <c r="BW48" s="4" t="str">
        <f>IF(AND(Table1[[#This Row],[Quantity]]&gt;3,Table1[[#This Row],[Discount_%]]&gt;15%),"Bulk Customer","Normal")</f>
        <v>Normal</v>
      </c>
      <c r="BX48" t="s">
        <v>192</v>
      </c>
      <c r="BY48" t="s">
        <v>136</v>
      </c>
      <c r="CC48" t="str">
        <f>IF(OR(Table1[[#This Row],[Order_Status]]="Returned",Table1[[#This Row],[Order_Status]]="Cancelled"),"Attention Required","Not")</f>
        <v>Not</v>
      </c>
      <c r="CD48" t="str">
        <f>IF(OR(Table1[[#This Row],[Order_Status]]="Returned",Table1[[#This Row],[Order_Status]]="Cancelled"),"Review","no")</f>
        <v>no</v>
      </c>
      <c r="CE48" t="str">
        <f>SUBSTITUTE(Table1[[#This Row],[Order_Status]],"Delivered","Completed")</f>
        <v>Completed</v>
      </c>
      <c r="CF48" s="2">
        <v>45850</v>
      </c>
      <c r="CG48" s="17">
        <f>NETWORKDAYS(Table1[[#This Row],[Order_Date]],Table1[[#This Row],[Delivery_Date]])</f>
        <v>5</v>
      </c>
      <c r="CH48" s="17">
        <f>Table1[[#This Row],[Delivery_Date]]-Table1[[#This Row],[Order_Date]]</f>
        <v>6</v>
      </c>
      <c r="CI48" t="s">
        <v>137</v>
      </c>
      <c r="CJ48" t="str">
        <f>IF(Table1[[#This Row],[Rating]]&gt;=4,"Good","Needs Improvement")</f>
        <v>Needs Improvement</v>
      </c>
      <c r="CK48" t="str">
        <f>IF(OR(Table1[[#This Row],[Rating]]&lt;=2,Table1[[#This Row],[Profit]]&lt;0),"Review","NO")</f>
        <v>Review</v>
      </c>
      <c r="CL48" t="e" cm="1">
        <f t="array" ref="CL48">_xlfn.IFS(Table1[[#This Row],[Rating]]&gt;2,"Poor",Table1[[#This Row],[Rating]]=3,"Average",Table1[[#This Row],[Rating]]=4,"Good",CP48=5,"Excellent")</f>
        <v>#N/A</v>
      </c>
      <c r="CM48">
        <f>COUNT(Table1[[#This Row],[Rating]])</f>
        <v>0</v>
      </c>
      <c r="CN48">
        <f>COUNTBLANK(Table1[[#This Row],[Rating]])</f>
        <v>1</v>
      </c>
      <c r="CP48" t="s">
        <v>138</v>
      </c>
      <c r="CR48" t="s">
        <v>173</v>
      </c>
      <c r="CS48" t="s">
        <v>267</v>
      </c>
      <c r="CU48" s="3">
        <v>899.1</v>
      </c>
      <c r="CV48" s="3">
        <f>ROUND(Table1[[#This Row],[Sales_Amount]],0)</f>
        <v>899</v>
      </c>
      <c r="CW48" s="3"/>
      <c r="CX48" s="3"/>
      <c r="CY48" s="3" t="b">
        <f>IF(AND(Table1[[#This Row],[Sales_Amount]]&gt;=10000,Table1[[#This Row],[Profit]]&gt;0),"Good Order")</f>
        <v>0</v>
      </c>
      <c r="CZ48" s="3" t="str">
        <f>IF(Table1[[#This Row],[Sales_Amount]]&gt;=10000,"High","Normal")</f>
        <v>Normal</v>
      </c>
      <c r="DA48" s="3">
        <v>449.1</v>
      </c>
      <c r="DB48" s="3">
        <f>ROUND(Table1[[#This Row],[Profit]],0)</f>
        <v>449</v>
      </c>
      <c r="DC48" s="3">
        <f>ABS(Table1[[#This Row],[Profit]])</f>
        <v>449.1</v>
      </c>
      <c r="DD48" s="3"/>
      <c r="DE48" s="3"/>
      <c r="DF48" s="3"/>
      <c r="DG48" s="3" t="str">
        <f>IF(Table1[[#This Row],[Profit]]&gt;0,"Profit","Loss")</f>
        <v>Profit</v>
      </c>
      <c r="DH48" s="3" t="str">
        <f>IF(AND(Table1[[#This Row],[Sales_Amount]]&gt;=10000,Table1[[#This Row],[Profit]]&gt;0),"Priority","Normal")</f>
        <v>Normal</v>
      </c>
      <c r="DI48" s="3">
        <f t="shared" ca="1" si="2"/>
        <v>0.56877933476772224</v>
      </c>
      <c r="DJ48" s="3">
        <f t="shared" ca="1" si="3"/>
        <v>94</v>
      </c>
      <c r="DK48" s="3"/>
      <c r="DL48" s="3"/>
      <c r="DM48" s="3"/>
      <c r="DN48" s="3"/>
      <c r="DO48" s="3"/>
      <c r="DP48" s="3"/>
    </row>
    <row r="49" spans="1:120">
      <c r="A49" t="s">
        <v>489</v>
      </c>
      <c r="B49" t="str">
        <f>REPLACE(Table1[[#This Row],[Order_ID]],1,3,"YOO")</f>
        <v>YOO10048</v>
      </c>
      <c r="C49" t="str">
        <f>MID(Table1[[#This Row],[Order_ID]],4,4)</f>
        <v>1004</v>
      </c>
      <c r="D49" t="str">
        <f>LEFT(Table1[[#This Row],[Order_ID]],4)</f>
        <v>ORD1</v>
      </c>
      <c r="E49" t="str">
        <f>RIGHT(Table1[[#This Row],[Order_ID]],5)</f>
        <v>10048</v>
      </c>
      <c r="F49" t="s">
        <v>5</v>
      </c>
      <c r="G49">
        <v>10048</v>
      </c>
      <c r="H49" t="s">
        <v>490</v>
      </c>
      <c r="I49" s="2">
        <f>EDATE(Table1[[#This Row],[Order_Date]],3)</f>
        <v>46230</v>
      </c>
      <c r="J49" s="2">
        <f>EDATE(Table1[[#This Row],[Order_Date]],6)</f>
        <v>46322</v>
      </c>
      <c r="K49">
        <f ca="1">YEAR(Table1[[#This Row],[Today]])</f>
        <v>2026</v>
      </c>
      <c r="L49">
        <v>48</v>
      </c>
      <c r="M49">
        <f ca="1">DAY(Table1[[#This Row],[Today]])</f>
        <v>11</v>
      </c>
      <c r="N49" s="19">
        <f t="shared" ca="1" si="6"/>
        <v>46245.589795370368</v>
      </c>
      <c r="O49" s="2">
        <f t="shared" ca="1" si="0"/>
        <v>46245</v>
      </c>
      <c r="P49" s="17">
        <f ca="1">Table1[[#This Row],[Today]]-Table1[[#This Row],[Order_Date]]</f>
        <v>106</v>
      </c>
      <c r="Q49" s="2">
        <v>45705</v>
      </c>
      <c r="R49" s="2">
        <v>46139</v>
      </c>
      <c r="S49" s="6">
        <f t="shared" si="4"/>
        <v>2026</v>
      </c>
      <c r="T49" s="7" t="str">
        <f t="shared" si="5"/>
        <v>April</v>
      </c>
      <c r="U49" s="2">
        <f>WORKDAY(Table1[[#This Row],[Order_Date]],5)</f>
        <v>46146</v>
      </c>
      <c r="V49" s="7" t="str">
        <f>CONCATENATE(Table1[[#This Row],[Customer_ID]],Table1[[#This Row],[Customer_Name]])</f>
        <v>C1011Rahul Sharma</v>
      </c>
      <c r="W49" t="s">
        <v>491</v>
      </c>
      <c r="X49" t="s">
        <v>290</v>
      </c>
      <c r="Y49">
        <f>COUNTA(Table1[[#This Row],[Customer_Name]])</f>
        <v>1</v>
      </c>
      <c r="Z49" t="str">
        <f>SUBSTITUTE(Table1[[#This Row],[Customer_Name]]," ","_")</f>
        <v>Rahul_Sharma</v>
      </c>
      <c r="AA49" s="10">
        <f>IFERROR(SEARCH("a",Table1[[#This Row],[Customer_Name]]),"N/A")</f>
        <v>2</v>
      </c>
      <c r="AB49">
        <f>SEARCH(" ",Table1[[#This Row],[Customer_Name]])</f>
        <v>6</v>
      </c>
      <c r="AC49" s="11">
        <f>IFERROR(FIND("a",Table1[[#This Row],[Customer_Name]]),"N/A")</f>
        <v>2</v>
      </c>
      <c r="AD49">
        <f>FIND(" ",Table1[[#This Row],[Customer_Name]])</f>
        <v>6</v>
      </c>
      <c r="AE49" t="str">
        <f>TRIM(Table1[[#This Row],[Customer_Name]])</f>
        <v>Rahul Sharma</v>
      </c>
      <c r="AF49">
        <f>LEN(Table1[[#This Row],[Trimmed]])</f>
        <v>12</v>
      </c>
      <c r="AG49">
        <f>MAX(Table1[Length])</f>
        <v>15</v>
      </c>
      <c r="AH49" t="str">
        <f>PROPER(Table1[[#This Row],[Customer_Name]])</f>
        <v>Rahul Sharma</v>
      </c>
      <c r="AI49" t="str">
        <f>LOWER(Table1[[#This Row],[Customer_Name]])</f>
        <v>rahul sharma</v>
      </c>
      <c r="AJ49" t="str">
        <f>UPPER(Table1[[#This Row],[Customer_Name]])</f>
        <v>RAHUL SHARMA</v>
      </c>
      <c r="AK49" t="str">
        <f>CONCATENATE(Table1[[#This Row],[Customer_ID]],Table1[[#This Row],[Customer_Name]])</f>
        <v>C1011Rahul Sharma</v>
      </c>
      <c r="AL49" t="s">
        <v>291</v>
      </c>
      <c r="AM49" t="s">
        <v>292</v>
      </c>
      <c r="AN49" t="s">
        <v>245</v>
      </c>
      <c r="AO49" t="s">
        <v>291</v>
      </c>
      <c r="AP49" t="s">
        <v>292</v>
      </c>
      <c r="AQ49" t="s">
        <v>127</v>
      </c>
      <c r="AR49" t="str">
        <f>TRIM(Table1[[#This Row],[City]])</f>
        <v>Pune</v>
      </c>
      <c r="AS49" t="str">
        <f>PROPER(Table1[[#This Row],[City]])</f>
        <v>Pune</v>
      </c>
      <c r="AT49" t="s">
        <v>128</v>
      </c>
      <c r="AU49" t="str">
        <f>CONCATENATE(Table1[[#This Row],[City]],Table1[[#This Row],[State]])</f>
        <v>PuneMaharashtra</v>
      </c>
      <c r="AV49" t="s">
        <v>129</v>
      </c>
      <c r="AW49" t="s">
        <v>183</v>
      </c>
      <c r="AX49" t="str">
        <f>REPLACE(Table1[[#This Row],[Product_ID]],1,1,"s")</f>
        <v>s105</v>
      </c>
      <c r="AY49" t="s">
        <v>492</v>
      </c>
      <c r="AZ49">
        <f>SEARCH("-",Table1[[#This Row],[Product ID]])</f>
        <v>2</v>
      </c>
      <c r="BA49">
        <f>FIND("-",Table1[[#This Row],[Product ID]])</f>
        <v>2</v>
      </c>
      <c r="BB49" t="str">
        <f>MID(Table1[[#This Row],[Product_ID]],2,3)</f>
        <v>105</v>
      </c>
      <c r="BC49" t="str">
        <f>RIGHT(Table1[[#This Row],[Product_ID]],3)</f>
        <v>105</v>
      </c>
      <c r="BD49" t="str">
        <f>LEFT(Table1[[#This Row],[Product_ID]],3)</f>
        <v>P10</v>
      </c>
      <c r="BE49" t="str">
        <f>_xlfn.XLOOKUP(Table1[[#This Row],[Product_ID]],AW:AW,BF:BF,,0)</f>
        <v>Bluetooth Speaker</v>
      </c>
      <c r="BF49" t="s">
        <v>185</v>
      </c>
      <c r="BG49">
        <f>LEN(Table1[[#This Row],[Product_Name]])</f>
        <v>17</v>
      </c>
      <c r="BH49" t="s">
        <v>154</v>
      </c>
      <c r="BI49">
        <f t="shared" si="7"/>
        <v>75</v>
      </c>
      <c r="BJ49" t="str">
        <f>SUBSTITUTE(Table1[[#This Row],[Category]],"Electronics","ELECTRONICS")</f>
        <v>ELECTRONICS</v>
      </c>
      <c r="BN49" t="s">
        <v>186</v>
      </c>
      <c r="BS49" s="14">
        <v>1</v>
      </c>
      <c r="BT49" s="3">
        <v>2999</v>
      </c>
      <c r="BU49" s="4">
        <v>0</v>
      </c>
      <c r="BV49" s="4" t="str">
        <f>IF(AND(Table1[[#This Row],[Quantity]]&gt;=3,Table1[[#This Row],[Discount_%]]&gt;=15%),"Bulk Discount","no")</f>
        <v>no</v>
      </c>
      <c r="BW49" s="4" t="str">
        <f>IF(AND(Table1[[#This Row],[Quantity]]&gt;3,Table1[[#This Row],[Discount_%]]&gt;15%),"Bulk Customer","Normal")</f>
        <v>Normal</v>
      </c>
      <c r="BX49" t="s">
        <v>187</v>
      </c>
      <c r="BY49" t="s">
        <v>136</v>
      </c>
      <c r="CC49" t="str">
        <f>IF(OR(Table1[[#This Row],[Order_Status]]="Returned",Table1[[#This Row],[Order_Status]]="Cancelled"),"Attention Required","Not")</f>
        <v>Not</v>
      </c>
      <c r="CD49" t="str">
        <f>IF(OR(Table1[[#This Row],[Order_Status]]="Returned",Table1[[#This Row],[Order_Status]]="Cancelled"),"Review","no")</f>
        <v>no</v>
      </c>
      <c r="CE49" t="str">
        <f>SUBSTITUTE(Table1[[#This Row],[Order_Status]],"Delivered","Completed")</f>
        <v>Completed</v>
      </c>
      <c r="CF49" s="2">
        <v>46143</v>
      </c>
      <c r="CG49" s="17">
        <f>NETWORKDAYS(Table1[[#This Row],[Order_Date]],Table1[[#This Row],[Delivery_Date]])</f>
        <v>5</v>
      </c>
      <c r="CH49" s="17">
        <f>Table1[[#This Row],[Delivery_Date]]-Table1[[#This Row],[Order_Date]]</f>
        <v>4</v>
      </c>
      <c r="CI49" t="s">
        <v>137</v>
      </c>
      <c r="CJ49" t="str">
        <f>IF(Table1[[#This Row],[Rating]]&gt;=4,"Good","Needs Improvement")</f>
        <v>Needs Improvement</v>
      </c>
      <c r="CK49" t="str">
        <f>IF(OR(Table1[[#This Row],[Rating]]&lt;=2,Table1[[#This Row],[Profit]]&lt;0),"Review","NO")</f>
        <v>Review</v>
      </c>
      <c r="CL49" t="e" cm="1">
        <f t="array" ref="CL49">_xlfn.IFS(Table1[[#This Row],[Rating]]&gt;2,"Poor",Table1[[#This Row],[Rating]]=3,"Average",Table1[[#This Row],[Rating]]=4,"Good",CP49=5,"Excellent")</f>
        <v>#N/A</v>
      </c>
      <c r="CM49">
        <f>COUNT(Table1[[#This Row],[Rating]])</f>
        <v>1</v>
      </c>
      <c r="CN49">
        <f>COUNTBLANK(Table1[[#This Row],[Rating]])</f>
        <v>0</v>
      </c>
      <c r="CP49" t="s">
        <v>194</v>
      </c>
      <c r="CQ49" s="14">
        <v>2</v>
      </c>
      <c r="CR49" t="s">
        <v>139</v>
      </c>
      <c r="CS49" t="s">
        <v>174</v>
      </c>
      <c r="CU49" s="3">
        <v>2999</v>
      </c>
      <c r="CV49" s="3">
        <f>ROUND(Table1[[#This Row],[Sales_Amount]],0)</f>
        <v>2999</v>
      </c>
      <c r="CW49" s="3"/>
      <c r="CX49" s="3"/>
      <c r="CY49" s="3" t="b">
        <f>IF(AND(Table1[[#This Row],[Sales_Amount]]&gt;=10000,Table1[[#This Row],[Profit]]&gt;0),"Good Order")</f>
        <v>0</v>
      </c>
      <c r="CZ49" s="3" t="str">
        <f>IF(Table1[[#This Row],[Sales_Amount]]&gt;=10000,"High","Normal")</f>
        <v>Normal</v>
      </c>
      <c r="DA49" s="3">
        <v>1249</v>
      </c>
      <c r="DB49" s="3">
        <f>ROUND(Table1[[#This Row],[Profit]],0)</f>
        <v>1249</v>
      </c>
      <c r="DC49" s="3">
        <f>ABS(Table1[[#This Row],[Profit]])</f>
        <v>1249</v>
      </c>
      <c r="DD49" s="3"/>
      <c r="DE49" s="3"/>
      <c r="DF49" s="3"/>
      <c r="DG49" s="3" t="str">
        <f>IF(Table1[[#This Row],[Profit]]&gt;0,"Profit","Loss")</f>
        <v>Profit</v>
      </c>
      <c r="DH49" s="3" t="str">
        <f>IF(AND(Table1[[#This Row],[Sales_Amount]]&gt;=10000,Table1[[#This Row],[Profit]]&gt;0),"Priority","Normal")</f>
        <v>Normal</v>
      </c>
      <c r="DI49" s="3">
        <f t="shared" ca="1" si="2"/>
        <v>0.20696526098777657</v>
      </c>
      <c r="DJ49" s="3">
        <f t="shared" ca="1" si="3"/>
        <v>90</v>
      </c>
      <c r="DK49" s="3"/>
      <c r="DL49" s="3"/>
      <c r="DM49" s="3"/>
      <c r="DN49" s="3"/>
      <c r="DO49" s="3"/>
      <c r="DP49" s="3"/>
    </row>
    <row r="50" spans="1:120">
      <c r="A50" t="s">
        <v>493</v>
      </c>
      <c r="B50" t="str">
        <f>REPLACE(Table1[[#This Row],[Order_ID]],1,3,"YOO")</f>
        <v>YOO10049</v>
      </c>
      <c r="C50" t="str">
        <f>MID(Table1[[#This Row],[Order_ID]],4,4)</f>
        <v>1004</v>
      </c>
      <c r="D50" t="str">
        <f>LEFT(Table1[[#This Row],[Order_ID]],4)</f>
        <v>ORD1</v>
      </c>
      <c r="E50" t="str">
        <f>RIGHT(Table1[[#This Row],[Order_ID]],5)</f>
        <v>10049</v>
      </c>
      <c r="F50" t="s">
        <v>5</v>
      </c>
      <c r="G50">
        <v>10049</v>
      </c>
      <c r="H50" t="s">
        <v>494</v>
      </c>
      <c r="I50" s="2">
        <f>EDATE(Table1[[#This Row],[Order_Date]],3)</f>
        <v>45879</v>
      </c>
      <c r="J50" s="2">
        <f>EDATE(Table1[[#This Row],[Order_Date]],6)</f>
        <v>45971</v>
      </c>
      <c r="K50">
        <f ca="1">YEAR(Table1[[#This Row],[Today]])</f>
        <v>2026</v>
      </c>
      <c r="L50">
        <v>49</v>
      </c>
      <c r="M50">
        <f ca="1">DAY(Table1[[#This Row],[Today]])</f>
        <v>11</v>
      </c>
      <c r="N50" s="19">
        <f t="shared" ca="1" si="6"/>
        <v>46245.589795138891</v>
      </c>
      <c r="O50" s="2">
        <f t="shared" ca="1" si="0"/>
        <v>46245</v>
      </c>
      <c r="P50" s="17">
        <f ca="1">Table1[[#This Row],[Today]]-Table1[[#This Row],[Order_Date]]</f>
        <v>458</v>
      </c>
      <c r="Q50" s="2">
        <v>45706</v>
      </c>
      <c r="R50" s="2">
        <v>45787</v>
      </c>
      <c r="S50" s="6">
        <f t="shared" si="4"/>
        <v>2025</v>
      </c>
      <c r="T50" s="7" t="str">
        <f t="shared" si="5"/>
        <v>May</v>
      </c>
      <c r="U50" s="2">
        <f>WORKDAY(Table1[[#This Row],[Order_Date]],5)</f>
        <v>45793</v>
      </c>
      <c r="V50" s="7" t="str">
        <f>CONCATENATE(Table1[[#This Row],[Customer_ID]],Table1[[#This Row],[Customer_Name]])</f>
        <v>C1066Sneha Mishra</v>
      </c>
      <c r="W50" t="s">
        <v>495</v>
      </c>
      <c r="X50" t="s">
        <v>496</v>
      </c>
      <c r="Y50">
        <f>COUNTA(Table1[[#This Row],[Customer_Name]])</f>
        <v>1</v>
      </c>
      <c r="Z50" t="str">
        <f>SUBSTITUTE(Table1[[#This Row],[Customer_Name]]," ","_")</f>
        <v>Sneha_Mishra</v>
      </c>
      <c r="AA50" s="10">
        <f>IFERROR(SEARCH("a",Table1[[#This Row],[Customer_Name]]),"N/A")</f>
        <v>5</v>
      </c>
      <c r="AB50">
        <f>SEARCH(" ",Table1[[#This Row],[Customer_Name]])</f>
        <v>6</v>
      </c>
      <c r="AC50" s="11">
        <f>IFERROR(FIND("a",Table1[[#This Row],[Customer_Name]]),"N/A")</f>
        <v>5</v>
      </c>
      <c r="AD50">
        <f>FIND(" ",Table1[[#This Row],[Customer_Name]])</f>
        <v>6</v>
      </c>
      <c r="AE50" t="str">
        <f>TRIM(Table1[[#This Row],[Customer_Name]])</f>
        <v>Sneha Mishra</v>
      </c>
      <c r="AF50">
        <f>LEN(Table1[[#This Row],[Trimmed]])</f>
        <v>12</v>
      </c>
      <c r="AG50">
        <f>MAX(Table1[Length])</f>
        <v>15</v>
      </c>
      <c r="AH50" t="str">
        <f>PROPER(Table1[[#This Row],[Customer_Name]])</f>
        <v>Sneha Mishra</v>
      </c>
      <c r="AI50" t="str">
        <f>LOWER(Table1[[#This Row],[Customer_Name]])</f>
        <v>sneha mishra</v>
      </c>
      <c r="AJ50" t="str">
        <f>UPPER(Table1[[#This Row],[Customer_Name]])</f>
        <v>SNEHA MISHRA</v>
      </c>
      <c r="AK50" t="str">
        <f>CONCATENATE(Table1[[#This Row],[Customer_ID]],Table1[[#This Row],[Customer_Name]])</f>
        <v>C1066Sneha Mishra</v>
      </c>
      <c r="AL50" t="s">
        <v>195</v>
      </c>
      <c r="AM50" t="s">
        <v>497</v>
      </c>
      <c r="AN50" t="s">
        <v>498</v>
      </c>
      <c r="AO50" t="s">
        <v>195</v>
      </c>
      <c r="AP50" t="s">
        <v>497</v>
      </c>
      <c r="AQ50" t="s">
        <v>148</v>
      </c>
      <c r="AR50" t="str">
        <f>TRIM(Table1[[#This Row],[City]])</f>
        <v>Jaipur</v>
      </c>
      <c r="AS50" t="str">
        <f>PROPER(Table1[[#This Row],[City]])</f>
        <v>Jaipur</v>
      </c>
      <c r="AT50" t="s">
        <v>149</v>
      </c>
      <c r="AU50" t="str">
        <f>CONCATENATE(Table1[[#This Row],[City]],Table1[[#This Row],[State]])</f>
        <v>JaipurRajasthan</v>
      </c>
      <c r="AV50" t="s">
        <v>150</v>
      </c>
      <c r="AW50" t="s">
        <v>319</v>
      </c>
      <c r="AX50" t="str">
        <f>REPLACE(Table1[[#This Row],[Product_ID]],1,1,"s")</f>
        <v>s103</v>
      </c>
      <c r="AY50" t="s">
        <v>499</v>
      </c>
      <c r="AZ50">
        <f>SEARCH("-",Table1[[#This Row],[Product ID]])</f>
        <v>2</v>
      </c>
      <c r="BA50">
        <f>FIND("-",Table1[[#This Row],[Product ID]])</f>
        <v>2</v>
      </c>
      <c r="BB50" t="str">
        <f>MID(Table1[[#This Row],[Product_ID]],2,3)</f>
        <v>103</v>
      </c>
      <c r="BC50" t="str">
        <f>RIGHT(Table1[[#This Row],[Product_ID]],3)</f>
        <v>103</v>
      </c>
      <c r="BD50" t="str">
        <f>LEFT(Table1[[#This Row],[Product_ID]],3)</f>
        <v>P10</v>
      </c>
      <c r="BE50" t="str">
        <f>_xlfn.XLOOKUP(Table1[[#This Row],[Product_ID]],AW:AW,BF:BF,,0)</f>
        <v>Laptop Stand</v>
      </c>
      <c r="BF50" t="s">
        <v>321</v>
      </c>
      <c r="BG50">
        <f>LEN(Table1[[#This Row],[Product_Name]])</f>
        <v>12</v>
      </c>
      <c r="BH50" t="s">
        <v>154</v>
      </c>
      <c r="BI50">
        <f t="shared" si="7"/>
        <v>75</v>
      </c>
      <c r="BJ50" t="str">
        <f>SUBSTITUTE(Table1[[#This Row],[Category]],"Electronics","ELECTRONICS")</f>
        <v>ELECTRONICS</v>
      </c>
      <c r="BN50" t="s">
        <v>155</v>
      </c>
      <c r="BS50" s="14">
        <v>4</v>
      </c>
      <c r="BT50" s="3">
        <v>1599</v>
      </c>
      <c r="BU50" s="4">
        <v>0</v>
      </c>
      <c r="BV50" s="4" t="str">
        <f>IF(AND(Table1[[#This Row],[Quantity]]&gt;=3,Table1[[#This Row],[Discount_%]]&gt;=15%),"Bulk Discount","no")</f>
        <v>no</v>
      </c>
      <c r="BW50" s="4" t="str">
        <f>IF(AND(Table1[[#This Row],[Quantity]]&gt;3,Table1[[#This Row],[Discount_%]]&gt;15%),"Bulk Customer","Normal")</f>
        <v>Normal</v>
      </c>
      <c r="BX50" t="s">
        <v>187</v>
      </c>
      <c r="BY50" t="s">
        <v>156</v>
      </c>
      <c r="CC50" t="str">
        <f>IF(OR(Table1[[#This Row],[Order_Status]]="Returned",Table1[[#This Row],[Order_Status]]="Cancelled"),"Attention Required","Not")</f>
        <v>Attention Required</v>
      </c>
      <c r="CD50" t="str">
        <f>IF(OR(Table1[[#This Row],[Order_Status]]="Returned",Table1[[#This Row],[Order_Status]]="Cancelled"),"Review","no")</f>
        <v>Review</v>
      </c>
      <c r="CE50" t="str">
        <f>SUBSTITUTE(Table1[[#This Row],[Order_Status]],"Delivered","Completed")</f>
        <v>Cancelled</v>
      </c>
      <c r="CF50" s="2">
        <v>45791</v>
      </c>
      <c r="CG50" s="17">
        <f>NETWORKDAYS(Table1[[#This Row],[Order_Date]],Table1[[#This Row],[Delivery_Date]])</f>
        <v>3</v>
      </c>
      <c r="CH50" s="17">
        <f>Table1[[#This Row],[Delivery_Date]]-Table1[[#This Row],[Order_Date]]</f>
        <v>4</v>
      </c>
      <c r="CI50" t="s">
        <v>137</v>
      </c>
      <c r="CJ50" t="str">
        <f>IF(Table1[[#This Row],[Rating]]&gt;=4,"Good","Needs Improvement")</f>
        <v>Needs Improvement</v>
      </c>
      <c r="CK50" t="str">
        <f>IF(OR(Table1[[#This Row],[Rating]]&lt;=2,Table1[[#This Row],[Profit]]&lt;0),"Review","NO")</f>
        <v>Review</v>
      </c>
      <c r="CL50" t="e" cm="1">
        <f t="array" ref="CL50">_xlfn.IFS(Table1[[#This Row],[Rating]]&gt;2,"Poor",Table1[[#This Row],[Rating]]=3,"Average",Table1[[#This Row],[Rating]]=4,"Good",CP50=5,"Excellent")</f>
        <v>#N/A</v>
      </c>
      <c r="CM50">
        <f>COUNT(Table1[[#This Row],[Rating]])</f>
        <v>0</v>
      </c>
      <c r="CN50">
        <f>COUNTBLANK(Table1[[#This Row],[Rating]])</f>
        <v>1</v>
      </c>
      <c r="CP50" t="s">
        <v>266</v>
      </c>
      <c r="CR50" t="s">
        <v>204</v>
      </c>
      <c r="CS50" t="s">
        <v>213</v>
      </c>
      <c r="CU50" s="3">
        <v>6396</v>
      </c>
      <c r="CV50" s="3">
        <f>ROUND(Table1[[#This Row],[Sales_Amount]],0)</f>
        <v>6396</v>
      </c>
      <c r="CW50" s="3"/>
      <c r="CX50" s="3"/>
      <c r="CY50" s="3" t="b">
        <f>IF(AND(Table1[[#This Row],[Sales_Amount]]&gt;=10000,Table1[[#This Row],[Profit]]&gt;0),"Good Order")</f>
        <v>0</v>
      </c>
      <c r="CZ50" s="3" t="str">
        <f>IF(Table1[[#This Row],[Sales_Amount]]&gt;=10000,"High","Normal")</f>
        <v>Normal</v>
      </c>
      <c r="DA50" s="3">
        <v>2796</v>
      </c>
      <c r="DB50" s="3">
        <f>ROUND(Table1[[#This Row],[Profit]],0)</f>
        <v>2796</v>
      </c>
      <c r="DC50" s="3">
        <f>ABS(Table1[[#This Row],[Profit]])</f>
        <v>2796</v>
      </c>
      <c r="DD50" s="3"/>
      <c r="DE50" s="3"/>
      <c r="DF50" s="3"/>
      <c r="DG50" s="3" t="str">
        <f>IF(Table1[[#This Row],[Profit]]&gt;0,"Profit","Loss")</f>
        <v>Profit</v>
      </c>
      <c r="DH50" s="3" t="str">
        <f>IF(AND(Table1[[#This Row],[Sales_Amount]]&gt;=10000,Table1[[#This Row],[Profit]]&gt;0),"Priority","Normal")</f>
        <v>Normal</v>
      </c>
      <c r="DI50" s="3">
        <f t="shared" ca="1" si="2"/>
        <v>0.3994372587647288</v>
      </c>
      <c r="DJ50" s="3">
        <f t="shared" ca="1" si="3"/>
        <v>56</v>
      </c>
      <c r="DK50" s="3"/>
      <c r="DL50" s="3"/>
      <c r="DM50" s="3"/>
      <c r="DN50" s="3"/>
      <c r="DO50" s="3"/>
      <c r="DP50" s="3"/>
    </row>
    <row r="51" spans="1:120">
      <c r="A51" t="s">
        <v>500</v>
      </c>
      <c r="B51" t="str">
        <f>REPLACE(Table1[[#This Row],[Order_ID]],1,3,"YOO")</f>
        <v>YOO10050</v>
      </c>
      <c r="C51" t="str">
        <f>MID(Table1[[#This Row],[Order_ID]],4,4)</f>
        <v>1005</v>
      </c>
      <c r="D51" t="str">
        <f>LEFT(Table1[[#This Row],[Order_ID]],4)</f>
        <v>ORD1</v>
      </c>
      <c r="E51" t="str">
        <f>RIGHT(Table1[[#This Row],[Order_ID]],5)</f>
        <v>10050</v>
      </c>
      <c r="F51" t="s">
        <v>5</v>
      </c>
      <c r="G51">
        <v>10050</v>
      </c>
      <c r="H51" t="s">
        <v>501</v>
      </c>
      <c r="I51" s="2">
        <f>EDATE(Table1[[#This Row],[Order_Date]],3)</f>
        <v>45917</v>
      </c>
      <c r="J51" s="2">
        <f>EDATE(Table1[[#This Row],[Order_Date]],6)</f>
        <v>46008</v>
      </c>
      <c r="K51">
        <f ca="1">YEAR(Table1[[#This Row],[Today]])</f>
        <v>2026</v>
      </c>
      <c r="L51">
        <v>50</v>
      </c>
      <c r="M51">
        <f ca="1">DAY(Table1[[#This Row],[Today]])</f>
        <v>11</v>
      </c>
      <c r="N51" s="19">
        <f t="shared" ca="1" si="6"/>
        <v>46245.589795370368</v>
      </c>
      <c r="O51" s="2">
        <f t="shared" ca="1" si="0"/>
        <v>46245</v>
      </c>
      <c r="P51" s="17">
        <f ca="1">Table1[[#This Row],[Today]]-Table1[[#This Row],[Order_Date]]</f>
        <v>420</v>
      </c>
      <c r="Q51" s="2">
        <v>45707</v>
      </c>
      <c r="R51" s="2">
        <v>45825</v>
      </c>
      <c r="S51" s="6">
        <f t="shared" si="4"/>
        <v>2025</v>
      </c>
      <c r="T51" s="7" t="str">
        <f t="shared" si="5"/>
        <v>June</v>
      </c>
      <c r="U51" s="2">
        <f>WORKDAY(Table1[[#This Row],[Order_Date]],5)</f>
        <v>45832</v>
      </c>
      <c r="V51" s="7" t="str">
        <f>CONCATENATE(Table1[[#This Row],[Customer_ID]],Table1[[#This Row],[Customer_Name]])</f>
        <v>C1148Mohit Khan</v>
      </c>
      <c r="W51" t="s">
        <v>502</v>
      </c>
      <c r="X51" t="s">
        <v>162</v>
      </c>
      <c r="Y51">
        <f>COUNTA(Table1[[#This Row],[Customer_Name]])</f>
        <v>1</v>
      </c>
      <c r="Z51" t="str">
        <f>SUBSTITUTE(Table1[[#This Row],[Customer_Name]]," ","_")</f>
        <v>Mohit_Khan</v>
      </c>
      <c r="AA51" s="10">
        <f>IFERROR(SEARCH("a",Table1[[#This Row],[Customer_Name]]),"N/A")</f>
        <v>9</v>
      </c>
      <c r="AB51">
        <f>SEARCH(" ",Table1[[#This Row],[Customer_Name]])</f>
        <v>6</v>
      </c>
      <c r="AC51" s="11">
        <f>IFERROR(FIND("a",Table1[[#This Row],[Customer_Name]]),"N/A")</f>
        <v>9</v>
      </c>
      <c r="AD51">
        <f>FIND(" ",Table1[[#This Row],[Customer_Name]])</f>
        <v>6</v>
      </c>
      <c r="AE51" t="str">
        <f>TRIM(Table1[[#This Row],[Customer_Name]])</f>
        <v>Mohit Khan</v>
      </c>
      <c r="AF51">
        <f>LEN(Table1[[#This Row],[Trimmed]])</f>
        <v>10</v>
      </c>
      <c r="AG51">
        <f>MAX(Table1[Length])</f>
        <v>15</v>
      </c>
      <c r="AH51" t="str">
        <f>PROPER(Table1[[#This Row],[Customer_Name]])</f>
        <v>Mohit Khan</v>
      </c>
      <c r="AI51" t="str">
        <f>LOWER(Table1[[#This Row],[Customer_Name]])</f>
        <v>mohit khan</v>
      </c>
      <c r="AJ51" t="str">
        <f>UPPER(Table1[[#This Row],[Customer_Name]])</f>
        <v>MOHIT KHAN</v>
      </c>
      <c r="AK51" t="str">
        <f>CONCATENATE(Table1[[#This Row],[Customer_ID]],Table1[[#This Row],[Customer_Name]])</f>
        <v>C1148Mohit Khan</v>
      </c>
      <c r="AL51" t="s">
        <v>163</v>
      </c>
      <c r="AM51" t="s">
        <v>164</v>
      </c>
      <c r="AN51" t="s">
        <v>165</v>
      </c>
      <c r="AO51" t="s">
        <v>163</v>
      </c>
      <c r="AP51" t="s">
        <v>164</v>
      </c>
      <c r="AQ51" t="s">
        <v>127</v>
      </c>
      <c r="AR51" t="str">
        <f>TRIM(Table1[[#This Row],[City]])</f>
        <v>Pune</v>
      </c>
      <c r="AS51" t="str">
        <f>PROPER(Table1[[#This Row],[City]])</f>
        <v>Pune</v>
      </c>
      <c r="AT51" t="s">
        <v>128</v>
      </c>
      <c r="AU51" t="str">
        <f>CONCATENATE(Table1[[#This Row],[City]],Table1[[#This Row],[State]])</f>
        <v>PuneMaharashtra</v>
      </c>
      <c r="AV51" t="s">
        <v>129</v>
      </c>
      <c r="AW51" t="s">
        <v>169</v>
      </c>
      <c r="AX51" t="str">
        <f>REPLACE(Table1[[#This Row],[Product_ID]],1,1,"s")</f>
        <v>s112</v>
      </c>
      <c r="AY51" t="s">
        <v>503</v>
      </c>
      <c r="AZ51">
        <f>SEARCH("-",Table1[[#This Row],[Product ID]])</f>
        <v>2</v>
      </c>
      <c r="BA51">
        <f>FIND("-",Table1[[#This Row],[Product ID]])</f>
        <v>2</v>
      </c>
      <c r="BB51" t="str">
        <f>MID(Table1[[#This Row],[Product_ID]],2,3)</f>
        <v>112</v>
      </c>
      <c r="BC51" t="str">
        <f>RIGHT(Table1[[#This Row],[Product_ID]],3)</f>
        <v>112</v>
      </c>
      <c r="BD51" t="str">
        <f>LEFT(Table1[[#This Row],[Product_ID]],3)</f>
        <v>P11</v>
      </c>
      <c r="BE51" t="str">
        <f>_xlfn.XLOOKUP(Table1[[#This Row],[Product_ID]],AW:AW,BF:BF,,0)</f>
        <v>Air Fryer</v>
      </c>
      <c r="BF51" t="s">
        <v>171</v>
      </c>
      <c r="BG51">
        <f>LEN(Table1[[#This Row],[Product_Name]])</f>
        <v>9</v>
      </c>
      <c r="BH51" t="s">
        <v>133</v>
      </c>
      <c r="BI51">
        <f t="shared" si="7"/>
        <v>75</v>
      </c>
      <c r="BJ51" t="str">
        <f>SUBSTITUTE(Table1[[#This Row],[Category]],"Electronics","ELECTRONICS")</f>
        <v>Home</v>
      </c>
      <c r="BN51" t="s">
        <v>134</v>
      </c>
      <c r="BS51" s="14">
        <v>3</v>
      </c>
      <c r="BT51" s="3">
        <v>6499</v>
      </c>
      <c r="BU51" s="4">
        <v>0</v>
      </c>
      <c r="BV51" s="4" t="str">
        <f>IF(AND(Table1[[#This Row],[Quantity]]&gt;=3,Table1[[#This Row],[Discount_%]]&gt;=15%),"Bulk Discount","no")</f>
        <v>no</v>
      </c>
      <c r="BW51" s="4" t="str">
        <f>IF(AND(Table1[[#This Row],[Quantity]]&gt;3,Table1[[#This Row],[Discount_%]]&gt;15%),"Bulk Customer","Normal")</f>
        <v>Normal</v>
      </c>
      <c r="BX51" t="s">
        <v>330</v>
      </c>
      <c r="BY51" t="s">
        <v>156</v>
      </c>
      <c r="CC51" t="str">
        <f>IF(OR(Table1[[#This Row],[Order_Status]]="Returned",Table1[[#This Row],[Order_Status]]="Cancelled"),"Attention Required","Not")</f>
        <v>Attention Required</v>
      </c>
      <c r="CD51" t="str">
        <f>IF(OR(Table1[[#This Row],[Order_Status]]="Returned",Table1[[#This Row],[Order_Status]]="Cancelled"),"Review","no")</f>
        <v>Review</v>
      </c>
      <c r="CE51" t="str">
        <f>SUBSTITUTE(Table1[[#This Row],[Order_Status]],"Delivered","Completed")</f>
        <v>Cancelled</v>
      </c>
      <c r="CF51" s="2">
        <v>45826</v>
      </c>
      <c r="CG51" s="17">
        <f>NETWORKDAYS(Table1[[#This Row],[Order_Date]],Table1[[#This Row],[Delivery_Date]])</f>
        <v>2</v>
      </c>
      <c r="CH51" s="17">
        <f>Table1[[#This Row],[Delivery_Date]]-Table1[[#This Row],[Order_Date]]</f>
        <v>1</v>
      </c>
      <c r="CI51" t="s">
        <v>137</v>
      </c>
      <c r="CJ51" t="str">
        <f>IF(Table1[[#This Row],[Rating]]&gt;=4,"Good","Needs Improvement")</f>
        <v>Good</v>
      </c>
      <c r="CK51" t="str">
        <f>IF(OR(Table1[[#This Row],[Rating]]&lt;=2,Table1[[#This Row],[Profit]]&lt;0),"Review","NO")</f>
        <v>NO</v>
      </c>
      <c r="CL51" t="str" cm="1">
        <f t="array" ref="CL51">_xlfn.IFS(Table1[[#This Row],[Rating]]&gt;2,"Poor",Table1[[#This Row],[Rating]]=3,"Average",Table1[[#This Row],[Rating]]=4,"Good",CP51=5,"Excellent")</f>
        <v>Poor</v>
      </c>
      <c r="CM51">
        <f>COUNT(Table1[[#This Row],[Rating]])</f>
        <v>1</v>
      </c>
      <c r="CN51">
        <f>COUNTBLANK(Table1[[#This Row],[Rating]])</f>
        <v>0</v>
      </c>
      <c r="CQ51" s="14">
        <v>4</v>
      </c>
      <c r="CR51" t="s">
        <v>139</v>
      </c>
      <c r="CS51" t="s">
        <v>140</v>
      </c>
      <c r="CU51" s="3">
        <v>19497</v>
      </c>
      <c r="CV51" s="3">
        <f>ROUND(Table1[[#This Row],[Sales_Amount]],0)</f>
        <v>19497</v>
      </c>
      <c r="CW51" s="3"/>
      <c r="CX51" s="3"/>
      <c r="CY51" s="3" t="str">
        <f>IF(AND(Table1[[#This Row],[Sales_Amount]]&gt;=10000,Table1[[#This Row],[Profit]]&gt;0),"Good Order")</f>
        <v>Good Order</v>
      </c>
      <c r="CZ51" s="3" t="str">
        <f>IF(Table1[[#This Row],[Sales_Amount]]&gt;=10000,"High","Normal")</f>
        <v>High</v>
      </c>
      <c r="DA51" s="3">
        <v>6597</v>
      </c>
      <c r="DB51" s="3">
        <f>ROUND(Table1[[#This Row],[Profit]],0)</f>
        <v>6597</v>
      </c>
      <c r="DC51" s="3">
        <f>ABS(Table1[[#This Row],[Profit]])</f>
        <v>6597</v>
      </c>
      <c r="DD51" s="3"/>
      <c r="DE51" s="3"/>
      <c r="DF51" s="3"/>
      <c r="DG51" s="3" t="str">
        <f>IF(Table1[[#This Row],[Profit]]&gt;0,"Profit","Loss")</f>
        <v>Profit</v>
      </c>
      <c r="DH51" s="3" t="str">
        <f>IF(AND(Table1[[#This Row],[Sales_Amount]]&gt;=10000,Table1[[#This Row],[Profit]]&gt;0),"Priority","Normal")</f>
        <v>Priority</v>
      </c>
      <c r="DI51" s="3">
        <f t="shared" ca="1" si="2"/>
        <v>5.6172257505659351E-2</v>
      </c>
      <c r="DJ51" s="3">
        <f t="shared" ca="1" si="3"/>
        <v>50</v>
      </c>
      <c r="DK51" s="3"/>
      <c r="DL51" s="3"/>
      <c r="DM51" s="3"/>
      <c r="DN51" s="3"/>
      <c r="DO51" s="3"/>
      <c r="DP51" s="3"/>
    </row>
    <row r="52" spans="1:120">
      <c r="A52" t="s">
        <v>504</v>
      </c>
      <c r="B52" t="str">
        <f>REPLACE(Table1[[#This Row],[Order_ID]],1,3,"YOO")</f>
        <v>YOO10051</v>
      </c>
      <c r="C52" t="str">
        <f>MID(Table1[[#This Row],[Order_ID]],4,4)</f>
        <v>1005</v>
      </c>
      <c r="D52" t="str">
        <f>LEFT(Table1[[#This Row],[Order_ID]],4)</f>
        <v>ORD1</v>
      </c>
      <c r="E52" t="str">
        <f>RIGHT(Table1[[#This Row],[Order_ID]],5)</f>
        <v>10051</v>
      </c>
      <c r="F52" t="s">
        <v>5</v>
      </c>
      <c r="G52">
        <v>10051</v>
      </c>
      <c r="H52" t="s">
        <v>505</v>
      </c>
      <c r="I52" s="2">
        <f>EDATE(Table1[[#This Row],[Order_Date]],3)</f>
        <v>45997</v>
      </c>
      <c r="J52" s="2">
        <f>EDATE(Table1[[#This Row],[Order_Date]],6)</f>
        <v>46087</v>
      </c>
      <c r="K52">
        <f ca="1">YEAR(Table1[[#This Row],[Today]])</f>
        <v>2026</v>
      </c>
      <c r="L52">
        <v>51</v>
      </c>
      <c r="M52">
        <f ca="1">DAY(Table1[[#This Row],[Today]])</f>
        <v>11</v>
      </c>
      <c r="N52" s="19">
        <f t="shared" ca="1" si="6"/>
        <v>46245.589795370368</v>
      </c>
      <c r="O52" s="2">
        <f t="shared" ca="1" si="0"/>
        <v>46245</v>
      </c>
      <c r="P52" s="17">
        <f ca="1">Table1[[#This Row],[Today]]-Table1[[#This Row],[Order_Date]]</f>
        <v>339</v>
      </c>
      <c r="Q52" s="2">
        <v>45708</v>
      </c>
      <c r="R52" s="2">
        <v>45906</v>
      </c>
      <c r="S52" s="6">
        <f t="shared" si="4"/>
        <v>2025</v>
      </c>
      <c r="T52" s="7" t="str">
        <f t="shared" si="5"/>
        <v>September</v>
      </c>
      <c r="U52" s="2">
        <f>WORKDAY(Table1[[#This Row],[Order_Date]],5)</f>
        <v>45912</v>
      </c>
      <c r="V52" s="7" t="str">
        <f>CONCATENATE(Table1[[#This Row],[Customer_ID]],Table1[[#This Row],[Customer_Name]])</f>
        <v>C1089Riya Agarwal</v>
      </c>
      <c r="W52" t="s">
        <v>506</v>
      </c>
      <c r="X52" t="s">
        <v>217</v>
      </c>
      <c r="Y52">
        <f>COUNTA(Table1[[#This Row],[Customer_Name]])</f>
        <v>1</v>
      </c>
      <c r="Z52" t="str">
        <f>SUBSTITUTE(Table1[[#This Row],[Customer_Name]]," ","_")</f>
        <v>Riya_Agarwal</v>
      </c>
      <c r="AA52" s="10">
        <f>IFERROR(SEARCH("a",Table1[[#This Row],[Customer_Name]]),"N/A")</f>
        <v>4</v>
      </c>
      <c r="AB52">
        <f>SEARCH(" ",Table1[[#This Row],[Customer_Name]])</f>
        <v>5</v>
      </c>
      <c r="AC52" s="11">
        <f>IFERROR(FIND("a",Table1[[#This Row],[Customer_Name]]),"N/A")</f>
        <v>4</v>
      </c>
      <c r="AD52">
        <f>FIND(" ",Table1[[#This Row],[Customer_Name]])</f>
        <v>5</v>
      </c>
      <c r="AE52" t="str">
        <f>TRIM(Table1[[#This Row],[Customer_Name]])</f>
        <v>Riya Agarwal</v>
      </c>
      <c r="AF52">
        <f>LEN(Table1[[#This Row],[Trimmed]])</f>
        <v>12</v>
      </c>
      <c r="AG52">
        <f>MAX(Table1[Length])</f>
        <v>15</v>
      </c>
      <c r="AH52" t="str">
        <f>PROPER(Table1[[#This Row],[Customer_Name]])</f>
        <v>Riya Agarwal</v>
      </c>
      <c r="AI52" t="str">
        <f>LOWER(Table1[[#This Row],[Customer_Name]])</f>
        <v>riya agarwal</v>
      </c>
      <c r="AJ52" t="str">
        <f>UPPER(Table1[[#This Row],[Customer_Name]])</f>
        <v>RIYA AGARWAL</v>
      </c>
      <c r="AK52" t="str">
        <f>CONCATENATE(Table1[[#This Row],[Customer_ID]],Table1[[#This Row],[Customer_Name]])</f>
        <v>C1089Riya Agarwal</v>
      </c>
      <c r="AL52" t="s">
        <v>218</v>
      </c>
      <c r="AM52" t="s">
        <v>219</v>
      </c>
      <c r="AN52" t="s">
        <v>220</v>
      </c>
      <c r="AO52" t="s">
        <v>218</v>
      </c>
      <c r="AP52" t="s">
        <v>219</v>
      </c>
      <c r="AQ52" t="s">
        <v>423</v>
      </c>
      <c r="AR52" t="str">
        <f>TRIM(Table1[[#This Row],[City]])</f>
        <v>Ahmedabad</v>
      </c>
      <c r="AS52" t="str">
        <f>PROPER(Table1[[#This Row],[City]])</f>
        <v>Ahmedabad</v>
      </c>
      <c r="AT52" t="s">
        <v>424</v>
      </c>
      <c r="AU52" t="str">
        <f>CONCATENATE(Table1[[#This Row],[City]],Table1[[#This Row],[State]])</f>
        <v>AhmedabadGujarat</v>
      </c>
      <c r="AV52" t="s">
        <v>129</v>
      </c>
      <c r="AW52" t="s">
        <v>363</v>
      </c>
      <c r="AX52" t="str">
        <f>REPLACE(Table1[[#This Row],[Product_ID]],1,1,"s")</f>
        <v>s110</v>
      </c>
      <c r="AY52" t="s">
        <v>507</v>
      </c>
      <c r="AZ52">
        <f>SEARCH("-",Table1[[#This Row],[Product ID]])</f>
        <v>2</v>
      </c>
      <c r="BA52">
        <f>FIND("-",Table1[[#This Row],[Product ID]])</f>
        <v>2</v>
      </c>
      <c r="BB52" t="str">
        <f>MID(Table1[[#This Row],[Product_ID]],2,3)</f>
        <v>110</v>
      </c>
      <c r="BC52" t="str">
        <f>RIGHT(Table1[[#This Row],[Product_ID]],3)</f>
        <v>110</v>
      </c>
      <c r="BD52" t="str">
        <f>LEFT(Table1[[#This Row],[Product_ID]],3)</f>
        <v>P11</v>
      </c>
      <c r="BE52" t="str">
        <f>_xlfn.XLOOKUP(Table1[[#This Row],[Product_ID]],AW:AW,BF:BF,,0)</f>
        <v>Smart Watch</v>
      </c>
      <c r="BF52" t="s">
        <v>365</v>
      </c>
      <c r="BG52">
        <f>LEN(Table1[[#This Row],[Product_Name]])</f>
        <v>11</v>
      </c>
      <c r="BH52" t="s">
        <v>154</v>
      </c>
      <c r="BI52">
        <f t="shared" si="7"/>
        <v>75</v>
      </c>
      <c r="BJ52" t="str">
        <f>SUBSTITUTE(Table1[[#This Row],[Category]],"Electronics","ELECTRONICS")</f>
        <v>ELECTRONICS</v>
      </c>
      <c r="BN52" t="s">
        <v>366</v>
      </c>
      <c r="BS52" s="14">
        <v>1</v>
      </c>
      <c r="BT52" s="3">
        <v>4999</v>
      </c>
      <c r="BU52" s="4">
        <v>10</v>
      </c>
      <c r="BV52" s="4" t="str">
        <f>IF(AND(Table1[[#This Row],[Quantity]]&gt;=3,Table1[[#This Row],[Discount_%]]&gt;=15%),"Bulk Discount","no")</f>
        <v>no</v>
      </c>
      <c r="BW52" s="4" t="str">
        <f>IF(AND(Table1[[#This Row],[Quantity]]&gt;3,Table1[[#This Row],[Discount_%]]&gt;15%),"Bulk Customer","Normal")</f>
        <v>Normal</v>
      </c>
      <c r="BX52" t="s">
        <v>330</v>
      </c>
      <c r="BY52" t="s">
        <v>193</v>
      </c>
      <c r="CC52" t="str">
        <f>IF(OR(Table1[[#This Row],[Order_Status]]="Returned",Table1[[#This Row],[Order_Status]]="Cancelled"),"Attention Required","Not")</f>
        <v>Not</v>
      </c>
      <c r="CD52" t="str">
        <f>IF(OR(Table1[[#This Row],[Order_Status]]="Returned",Table1[[#This Row],[Order_Status]]="Cancelled"),"Review","no")</f>
        <v>no</v>
      </c>
      <c r="CE52" t="str">
        <f>SUBSTITUTE(Table1[[#This Row],[Order_Status]],"Delivered","Completed")</f>
        <v>Shipped</v>
      </c>
      <c r="CF52" s="2">
        <v>45908</v>
      </c>
      <c r="CG52" s="17">
        <f>NETWORKDAYS(Table1[[#This Row],[Order_Date]],Table1[[#This Row],[Delivery_Date]])</f>
        <v>1</v>
      </c>
      <c r="CH52" s="17">
        <f>Table1[[#This Row],[Delivery_Date]]-Table1[[#This Row],[Order_Date]]</f>
        <v>2</v>
      </c>
      <c r="CI52" t="s">
        <v>137</v>
      </c>
      <c r="CJ52" t="str">
        <f>IF(Table1[[#This Row],[Rating]]&gt;=4,"Good","Needs Improvement")</f>
        <v>Needs Improvement</v>
      </c>
      <c r="CK52" t="str">
        <f>IF(OR(Table1[[#This Row],[Rating]]&lt;=2,Table1[[#This Row],[Profit]]&lt;0),"Review","NO")</f>
        <v>Review</v>
      </c>
      <c r="CL52" t="e" cm="1">
        <f t="array" ref="CL52">_xlfn.IFS(Table1[[#This Row],[Rating]]&gt;2,"Poor",Table1[[#This Row],[Rating]]=3,"Average",Table1[[#This Row],[Rating]]=4,"Good",CP52=5,"Excellent")</f>
        <v>#N/A</v>
      </c>
      <c r="CM52">
        <f>COUNT(Table1[[#This Row],[Rating]])</f>
        <v>1</v>
      </c>
      <c r="CN52">
        <f>COUNTBLANK(Table1[[#This Row],[Rating]])</f>
        <v>0</v>
      </c>
      <c r="CQ52" s="14">
        <v>1</v>
      </c>
      <c r="CR52" t="s">
        <v>173</v>
      </c>
      <c r="CS52" t="s">
        <v>140</v>
      </c>
      <c r="CU52" s="3">
        <v>4499.1000000000004</v>
      </c>
      <c r="CV52" s="3">
        <f>ROUND(Table1[[#This Row],[Sales_Amount]],0)</f>
        <v>4499</v>
      </c>
      <c r="CW52" s="3"/>
      <c r="CX52" s="3"/>
      <c r="CY52" s="3" t="b">
        <f>IF(AND(Table1[[#This Row],[Sales_Amount]]&gt;=10000,Table1[[#This Row],[Profit]]&gt;0),"Good Order")</f>
        <v>0</v>
      </c>
      <c r="CZ52" s="3" t="str">
        <f>IF(Table1[[#This Row],[Sales_Amount]]&gt;=10000,"High","Normal")</f>
        <v>Normal</v>
      </c>
      <c r="DA52" s="3">
        <v>1399.1</v>
      </c>
      <c r="DB52" s="3">
        <f>ROUND(Table1[[#This Row],[Profit]],0)</f>
        <v>1399</v>
      </c>
      <c r="DC52" s="3">
        <f>ABS(Table1[[#This Row],[Profit]])</f>
        <v>1399.1</v>
      </c>
      <c r="DD52" s="3"/>
      <c r="DE52" s="3"/>
      <c r="DF52" s="3"/>
      <c r="DG52" s="3" t="str">
        <f>IF(Table1[[#This Row],[Profit]]&gt;0,"Profit","Loss")</f>
        <v>Profit</v>
      </c>
      <c r="DH52" s="3" t="str">
        <f>IF(AND(Table1[[#This Row],[Sales_Amount]]&gt;=10000,Table1[[#This Row],[Profit]]&gt;0),"Priority","Normal")</f>
        <v>Normal</v>
      </c>
      <c r="DI52" s="3">
        <f t="shared" ca="1" si="2"/>
        <v>0.46743592016644131</v>
      </c>
      <c r="DJ52" s="3">
        <f t="shared" ca="1" si="3"/>
        <v>99</v>
      </c>
      <c r="DK52" s="3"/>
      <c r="DL52" s="3"/>
      <c r="DM52" s="3"/>
      <c r="DN52" s="3"/>
      <c r="DO52" s="3"/>
      <c r="DP52" s="3"/>
    </row>
    <row r="53" spans="1:120">
      <c r="A53" t="s">
        <v>508</v>
      </c>
      <c r="B53" t="str">
        <f>REPLACE(Table1[[#This Row],[Order_ID]],1,3,"YOO")</f>
        <v>YOO10052</v>
      </c>
      <c r="C53" t="str">
        <f>MID(Table1[[#This Row],[Order_ID]],4,4)</f>
        <v>1005</v>
      </c>
      <c r="D53" t="str">
        <f>LEFT(Table1[[#This Row],[Order_ID]],4)</f>
        <v>ORD1</v>
      </c>
      <c r="E53" t="str">
        <f>RIGHT(Table1[[#This Row],[Order_ID]],5)</f>
        <v>10052</v>
      </c>
      <c r="F53" t="s">
        <v>5</v>
      </c>
      <c r="G53">
        <v>10052</v>
      </c>
      <c r="H53" t="s">
        <v>509</v>
      </c>
      <c r="I53" s="2">
        <f>EDATE(Table1[[#This Row],[Order_Date]],3)</f>
        <v>46097</v>
      </c>
      <c r="J53" s="2">
        <f>EDATE(Table1[[#This Row],[Order_Date]],6)</f>
        <v>46189</v>
      </c>
      <c r="K53">
        <f ca="1">YEAR(Table1[[#This Row],[Today]])</f>
        <v>2026</v>
      </c>
      <c r="L53">
        <v>52</v>
      </c>
      <c r="M53">
        <f ca="1">DAY(Table1[[#This Row],[Today]])</f>
        <v>11</v>
      </c>
      <c r="N53" s="19">
        <f t="shared" ca="1" si="6"/>
        <v>46245.589795138891</v>
      </c>
      <c r="O53" s="2">
        <f t="shared" ca="1" si="0"/>
        <v>46245</v>
      </c>
      <c r="P53" s="17">
        <f ca="1">Table1[[#This Row],[Today]]-Table1[[#This Row],[Order_Date]]</f>
        <v>238</v>
      </c>
      <c r="Q53" s="2">
        <v>45709</v>
      </c>
      <c r="R53" s="2">
        <v>46007</v>
      </c>
      <c r="S53" s="6">
        <f t="shared" si="4"/>
        <v>2025</v>
      </c>
      <c r="T53" s="7" t="str">
        <f t="shared" si="5"/>
        <v>December</v>
      </c>
      <c r="U53" s="2">
        <f>WORKDAY(Table1[[#This Row],[Order_Date]],5)</f>
        <v>46014</v>
      </c>
      <c r="V53" s="7" t="str">
        <f>CONCATENATE(Table1[[#This Row],[Customer_ID]],Table1[[#This Row],[Customer_Name]])</f>
        <v>C1111Sneha Mishra</v>
      </c>
      <c r="W53" t="s">
        <v>387</v>
      </c>
      <c r="X53" t="s">
        <v>496</v>
      </c>
      <c r="Y53">
        <f>COUNTA(Table1[[#This Row],[Customer_Name]])</f>
        <v>1</v>
      </c>
      <c r="Z53" t="str">
        <f>SUBSTITUTE(Table1[[#This Row],[Customer_Name]]," ","_")</f>
        <v>Sneha_Mishra</v>
      </c>
      <c r="AA53" s="10">
        <f>IFERROR(SEARCH("a",Table1[[#This Row],[Customer_Name]]),"N/A")</f>
        <v>5</v>
      </c>
      <c r="AB53">
        <f>SEARCH(" ",Table1[[#This Row],[Customer_Name]])</f>
        <v>6</v>
      </c>
      <c r="AC53" s="11">
        <f>IFERROR(FIND("a",Table1[[#This Row],[Customer_Name]]),"N/A")</f>
        <v>5</v>
      </c>
      <c r="AD53">
        <f>FIND(" ",Table1[[#This Row],[Customer_Name]])</f>
        <v>6</v>
      </c>
      <c r="AE53" t="str">
        <f>TRIM(Table1[[#This Row],[Customer_Name]])</f>
        <v>Sneha Mishra</v>
      </c>
      <c r="AF53">
        <f>LEN(Table1[[#This Row],[Trimmed]])</f>
        <v>12</v>
      </c>
      <c r="AG53">
        <f>MAX(Table1[Length])</f>
        <v>15</v>
      </c>
      <c r="AH53" t="str">
        <f>PROPER(Table1[[#This Row],[Customer_Name]])</f>
        <v>Sneha Mishra</v>
      </c>
      <c r="AI53" t="str">
        <f>LOWER(Table1[[#This Row],[Customer_Name]])</f>
        <v>sneha mishra</v>
      </c>
      <c r="AJ53" t="str">
        <f>UPPER(Table1[[#This Row],[Customer_Name]])</f>
        <v>SNEHA MISHRA</v>
      </c>
      <c r="AK53" t="str">
        <f>CONCATENATE(Table1[[#This Row],[Customer_ID]],Table1[[#This Row],[Customer_Name]])</f>
        <v>C1111Sneha Mishra</v>
      </c>
      <c r="AL53" t="s">
        <v>195</v>
      </c>
      <c r="AM53" t="s">
        <v>497</v>
      </c>
      <c r="AN53" t="s">
        <v>498</v>
      </c>
      <c r="AO53" t="s">
        <v>195</v>
      </c>
      <c r="AP53" t="s">
        <v>497</v>
      </c>
      <c r="AQ53" t="s">
        <v>199</v>
      </c>
      <c r="AR53" t="str">
        <f>TRIM(Table1[[#This Row],[City]])</f>
        <v>Lucknow</v>
      </c>
      <c r="AS53" t="str">
        <f>PROPER(Table1[[#This Row],[City]])</f>
        <v>Lucknow</v>
      </c>
      <c r="AT53" t="s">
        <v>200</v>
      </c>
      <c r="AU53" t="str">
        <f>CONCATENATE(Table1[[#This Row],[City]],Table1[[#This Row],[State]])</f>
        <v>LucknowUttar Pradesh</v>
      </c>
      <c r="AV53" t="s">
        <v>150</v>
      </c>
      <c r="AW53" t="s">
        <v>477</v>
      </c>
      <c r="AX53" t="str">
        <f>REPLACE(Table1[[#This Row],[Product_ID]],1,1,"s")</f>
        <v>s109</v>
      </c>
      <c r="AY53" t="s">
        <v>510</v>
      </c>
      <c r="AZ53">
        <f>SEARCH("-",Table1[[#This Row],[Product ID]])</f>
        <v>2</v>
      </c>
      <c r="BA53">
        <f>FIND("-",Table1[[#This Row],[Product ID]])</f>
        <v>2</v>
      </c>
      <c r="BB53" t="str">
        <f>MID(Table1[[#This Row],[Product_ID]],2,3)</f>
        <v>109</v>
      </c>
      <c r="BC53" t="str">
        <f>RIGHT(Table1[[#This Row],[Product_ID]],3)</f>
        <v>109</v>
      </c>
      <c r="BD53" t="str">
        <f>LEFT(Table1[[#This Row],[Product_ID]],3)</f>
        <v>P10</v>
      </c>
      <c r="BE53" t="str">
        <f>_xlfn.XLOOKUP(Table1[[#This Row],[Product_ID]],AW:AW,BF:BF,,0)</f>
        <v>Backpack</v>
      </c>
      <c r="BF53" t="s">
        <v>479</v>
      </c>
      <c r="BG53">
        <f>LEN(Table1[[#This Row],[Product_Name]])</f>
        <v>8</v>
      </c>
      <c r="BH53" t="s">
        <v>224</v>
      </c>
      <c r="BI53">
        <f t="shared" si="7"/>
        <v>75</v>
      </c>
      <c r="BJ53" t="str">
        <f>SUBSTITUTE(Table1[[#This Row],[Category]],"Electronics","ELECTRONICS")</f>
        <v>Fashion</v>
      </c>
      <c r="BN53" t="s">
        <v>480</v>
      </c>
      <c r="BS53" s="14">
        <v>1</v>
      </c>
      <c r="BT53" s="3">
        <v>2299</v>
      </c>
      <c r="BU53" s="4">
        <v>20</v>
      </c>
      <c r="BV53" s="4" t="str">
        <f>IF(AND(Table1[[#This Row],[Quantity]]&gt;=3,Table1[[#This Row],[Discount_%]]&gt;=15%),"Bulk Discount","no")</f>
        <v>no</v>
      </c>
      <c r="BW53" s="4" t="str">
        <f>IF(AND(Table1[[#This Row],[Quantity]]&gt;3,Table1[[#This Row],[Discount_%]]&gt;15%),"Bulk Customer","Normal")</f>
        <v>Normal</v>
      </c>
      <c r="BX53" t="s">
        <v>330</v>
      </c>
      <c r="BY53" t="s">
        <v>193</v>
      </c>
      <c r="CC53" t="str">
        <f>IF(OR(Table1[[#This Row],[Order_Status]]="Returned",Table1[[#This Row],[Order_Status]]="Cancelled"),"Attention Required","Not")</f>
        <v>Not</v>
      </c>
      <c r="CD53" t="str">
        <f>IF(OR(Table1[[#This Row],[Order_Status]]="Returned",Table1[[#This Row],[Order_Status]]="Cancelled"),"Review","no")</f>
        <v>no</v>
      </c>
      <c r="CE53" t="str">
        <f>SUBSTITUTE(Table1[[#This Row],[Order_Status]],"Delivered","Completed")</f>
        <v>Shipped</v>
      </c>
      <c r="CF53" s="2">
        <v>46015</v>
      </c>
      <c r="CG53" s="17">
        <f>NETWORKDAYS(Table1[[#This Row],[Order_Date]],Table1[[#This Row],[Delivery_Date]])</f>
        <v>7</v>
      </c>
      <c r="CH53" s="17">
        <f>Table1[[#This Row],[Delivery_Date]]-Table1[[#This Row],[Order_Date]]</f>
        <v>8</v>
      </c>
      <c r="CI53" t="s">
        <v>137</v>
      </c>
      <c r="CJ53" t="str">
        <f>IF(Table1[[#This Row],[Rating]]&gt;=4,"Good","Needs Improvement")</f>
        <v>Needs Improvement</v>
      </c>
      <c r="CK53" t="str">
        <f>IF(OR(Table1[[#This Row],[Rating]]&lt;=2,Table1[[#This Row],[Profit]]&lt;0),"Review","NO")</f>
        <v>Review</v>
      </c>
      <c r="CL53" t="e" cm="1">
        <f t="array" ref="CL53">_xlfn.IFS(Table1[[#This Row],[Rating]]&gt;2,"Poor",Table1[[#This Row],[Rating]]=3,"Average",Table1[[#This Row],[Rating]]=4,"Good",CP53=5,"Excellent")</f>
        <v>#N/A</v>
      </c>
      <c r="CM53">
        <f>COUNT(Table1[[#This Row],[Rating]])</f>
        <v>1</v>
      </c>
      <c r="CN53">
        <f>COUNTBLANK(Table1[[#This Row],[Rating]])</f>
        <v>0</v>
      </c>
      <c r="CQ53" s="14">
        <v>2</v>
      </c>
      <c r="CR53" t="s">
        <v>139</v>
      </c>
      <c r="CS53" t="s">
        <v>267</v>
      </c>
      <c r="CU53" s="3">
        <v>1839.2</v>
      </c>
      <c r="CV53" s="3">
        <f>ROUND(Table1[[#This Row],[Sales_Amount]],0)</f>
        <v>1839</v>
      </c>
      <c r="CW53" s="3"/>
      <c r="CX53" s="3"/>
      <c r="CY53" s="3" t="b">
        <f>IF(AND(Table1[[#This Row],[Sales_Amount]]&gt;=10000,Table1[[#This Row],[Profit]]&gt;0),"Good Order")</f>
        <v>0</v>
      </c>
      <c r="CZ53" s="3" t="str">
        <f>IF(Table1[[#This Row],[Sales_Amount]]&gt;=10000,"High","Normal")</f>
        <v>Normal</v>
      </c>
      <c r="DA53" s="3">
        <v>589.20000000000005</v>
      </c>
      <c r="DB53" s="3">
        <f>ROUND(Table1[[#This Row],[Profit]],0)</f>
        <v>589</v>
      </c>
      <c r="DC53" s="3">
        <f>ABS(Table1[[#This Row],[Profit]])</f>
        <v>589.20000000000005</v>
      </c>
      <c r="DD53" s="3"/>
      <c r="DE53" s="3"/>
      <c r="DF53" s="3"/>
      <c r="DG53" s="3" t="str">
        <f>IF(Table1[[#This Row],[Profit]]&gt;0,"Profit","Loss")</f>
        <v>Profit</v>
      </c>
      <c r="DH53" s="3" t="str">
        <f>IF(AND(Table1[[#This Row],[Sales_Amount]]&gt;=10000,Table1[[#This Row],[Profit]]&gt;0),"Priority","Normal")</f>
        <v>Normal</v>
      </c>
      <c r="DI53" s="3">
        <f t="shared" ca="1" si="2"/>
        <v>0.57489387645410539</v>
      </c>
      <c r="DJ53" s="3">
        <f t="shared" ca="1" si="3"/>
        <v>41</v>
      </c>
      <c r="DK53" s="3"/>
      <c r="DL53" s="3"/>
      <c r="DM53" s="3"/>
      <c r="DN53" s="3"/>
      <c r="DO53" s="3"/>
      <c r="DP53" s="3"/>
    </row>
    <row r="54" spans="1:120">
      <c r="A54" t="s">
        <v>511</v>
      </c>
      <c r="B54" t="str">
        <f>REPLACE(Table1[[#This Row],[Order_ID]],1,3,"YOO")</f>
        <v>YOO10053</v>
      </c>
      <c r="C54" t="str">
        <f>MID(Table1[[#This Row],[Order_ID]],4,4)</f>
        <v>1005</v>
      </c>
      <c r="D54" t="str">
        <f>LEFT(Table1[[#This Row],[Order_ID]],4)</f>
        <v>ORD1</v>
      </c>
      <c r="E54" t="str">
        <f>RIGHT(Table1[[#This Row],[Order_ID]],5)</f>
        <v>10053</v>
      </c>
      <c r="F54" t="s">
        <v>5</v>
      </c>
      <c r="G54">
        <v>10053</v>
      </c>
      <c r="H54" t="s">
        <v>512</v>
      </c>
      <c r="I54" s="2">
        <f>EDATE(Table1[[#This Row],[Order_Date]],3)</f>
        <v>46284</v>
      </c>
      <c r="J54" s="2">
        <f>EDATE(Table1[[#This Row],[Order_Date]],6)</f>
        <v>46375</v>
      </c>
      <c r="K54">
        <f ca="1">YEAR(Table1[[#This Row],[Today]])</f>
        <v>2026</v>
      </c>
      <c r="L54">
        <v>53</v>
      </c>
      <c r="M54">
        <f ca="1">DAY(Table1[[#This Row],[Today]])</f>
        <v>11</v>
      </c>
      <c r="N54" s="19">
        <f t="shared" ca="1" si="6"/>
        <v>46245.589795370368</v>
      </c>
      <c r="O54" s="2">
        <f t="shared" ca="1" si="0"/>
        <v>46245</v>
      </c>
      <c r="P54" s="17">
        <f ca="1">Table1[[#This Row],[Today]]-Table1[[#This Row],[Order_Date]]</f>
        <v>53</v>
      </c>
      <c r="Q54" s="2">
        <v>45710</v>
      </c>
      <c r="R54" s="2">
        <v>46192</v>
      </c>
      <c r="S54" s="6">
        <f t="shared" si="4"/>
        <v>2026</v>
      </c>
      <c r="T54" s="7" t="str">
        <f t="shared" si="5"/>
        <v>June</v>
      </c>
      <c r="U54" s="2">
        <f>WORKDAY(Table1[[#This Row],[Order_Date]],5)</f>
        <v>46199</v>
      </c>
      <c r="V54" s="7" t="str">
        <f>CONCATENATE(Table1[[#This Row],[Customer_ID]],Table1[[#This Row],[Customer_Name]])</f>
        <v>C1083Anjali Joshi</v>
      </c>
      <c r="W54" t="s">
        <v>513</v>
      </c>
      <c r="X54" t="s">
        <v>310</v>
      </c>
      <c r="Y54">
        <f>COUNTA(Table1[[#This Row],[Customer_Name]])</f>
        <v>1</v>
      </c>
      <c r="Z54" t="str">
        <f>SUBSTITUTE(Table1[[#This Row],[Customer_Name]]," ","_")</f>
        <v>Anjali_Joshi</v>
      </c>
      <c r="AA54" s="10">
        <f>IFERROR(SEARCH("a",Table1[[#This Row],[Customer_Name]]),"N/A")</f>
        <v>1</v>
      </c>
      <c r="AB54">
        <f>SEARCH(" ",Table1[[#This Row],[Customer_Name]])</f>
        <v>7</v>
      </c>
      <c r="AC54" s="11">
        <f>IFERROR(FIND("a",Table1[[#This Row],[Customer_Name]]),"N/A")</f>
        <v>4</v>
      </c>
      <c r="AD54">
        <f>FIND(" ",Table1[[#This Row],[Customer_Name]])</f>
        <v>7</v>
      </c>
      <c r="AE54" t="str">
        <f>TRIM(Table1[[#This Row],[Customer_Name]])</f>
        <v>Anjali Joshi</v>
      </c>
      <c r="AF54">
        <f>LEN(Table1[[#This Row],[Trimmed]])</f>
        <v>12</v>
      </c>
      <c r="AG54">
        <f>MAX(Table1[Length])</f>
        <v>15</v>
      </c>
      <c r="AH54" t="str">
        <f>PROPER(Table1[[#This Row],[Customer_Name]])</f>
        <v>Anjali Joshi</v>
      </c>
      <c r="AI54" t="str">
        <f>LOWER(Table1[[#This Row],[Customer_Name]])</f>
        <v>anjali joshi</v>
      </c>
      <c r="AJ54" t="str">
        <f>UPPER(Table1[[#This Row],[Customer_Name]])</f>
        <v>ANJALI JOSHI</v>
      </c>
      <c r="AK54" t="str">
        <f>CONCATENATE(Table1[[#This Row],[Customer_ID]],Table1[[#This Row],[Customer_Name]])</f>
        <v>C1083Anjali Joshi</v>
      </c>
      <c r="AL54" t="s">
        <v>311</v>
      </c>
      <c r="AM54" t="s">
        <v>312</v>
      </c>
      <c r="AN54" t="s">
        <v>313</v>
      </c>
      <c r="AO54" t="s">
        <v>311</v>
      </c>
      <c r="AP54" t="s">
        <v>312</v>
      </c>
      <c r="AQ54" t="s">
        <v>423</v>
      </c>
      <c r="AR54" t="str">
        <f>TRIM(Table1[[#This Row],[City]])</f>
        <v>Ahmedabad</v>
      </c>
      <c r="AS54" t="str">
        <f>PROPER(Table1[[#This Row],[City]])</f>
        <v>Ahmedabad</v>
      </c>
      <c r="AT54" t="s">
        <v>424</v>
      </c>
      <c r="AU54" t="str">
        <f>CONCATENATE(Table1[[#This Row],[City]],Table1[[#This Row],[State]])</f>
        <v>AhmedabadGujarat</v>
      </c>
      <c r="AV54" t="s">
        <v>129</v>
      </c>
      <c r="AW54" t="s">
        <v>319</v>
      </c>
      <c r="AX54" t="str">
        <f>REPLACE(Table1[[#This Row],[Product_ID]],1,1,"s")</f>
        <v>s103</v>
      </c>
      <c r="AY54" t="s">
        <v>514</v>
      </c>
      <c r="AZ54">
        <f>SEARCH("-",Table1[[#This Row],[Product ID]])</f>
        <v>2</v>
      </c>
      <c r="BA54">
        <f>FIND("-",Table1[[#This Row],[Product ID]])</f>
        <v>2</v>
      </c>
      <c r="BB54" t="str">
        <f>MID(Table1[[#This Row],[Product_ID]],2,3)</f>
        <v>103</v>
      </c>
      <c r="BC54" t="str">
        <f>RIGHT(Table1[[#This Row],[Product_ID]],3)</f>
        <v>103</v>
      </c>
      <c r="BD54" t="str">
        <f>LEFT(Table1[[#This Row],[Product_ID]],3)</f>
        <v>P10</v>
      </c>
      <c r="BE54" t="str">
        <f>_xlfn.XLOOKUP(Table1[[#This Row],[Product_ID]],AW:AW,BF:BF,,0)</f>
        <v>Laptop Stand</v>
      </c>
      <c r="BF54" t="s">
        <v>321</v>
      </c>
      <c r="BG54">
        <f>LEN(Table1[[#This Row],[Product_Name]])</f>
        <v>12</v>
      </c>
      <c r="BH54" t="s">
        <v>154</v>
      </c>
      <c r="BI54">
        <f t="shared" si="7"/>
        <v>75</v>
      </c>
      <c r="BJ54" t="str">
        <f>SUBSTITUTE(Table1[[#This Row],[Category]],"Electronics","ELECTRONICS")</f>
        <v>ELECTRONICS</v>
      </c>
      <c r="BN54" t="s">
        <v>155</v>
      </c>
      <c r="BS54" s="14">
        <v>3</v>
      </c>
      <c r="BT54" s="3">
        <v>1599</v>
      </c>
      <c r="BU54" s="4">
        <v>25</v>
      </c>
      <c r="BV54" s="4" t="str">
        <f>IF(AND(Table1[[#This Row],[Quantity]]&gt;=3,Table1[[#This Row],[Discount_%]]&gt;=15%),"Bulk Discount","no")</f>
        <v>Bulk Discount</v>
      </c>
      <c r="BW54" s="4" t="str">
        <f>IF(AND(Table1[[#This Row],[Quantity]]&gt;3,Table1[[#This Row],[Discount_%]]&gt;15%),"Bulk Customer","Normal")</f>
        <v>Normal</v>
      </c>
      <c r="BX54" t="s">
        <v>172</v>
      </c>
      <c r="BY54" t="s">
        <v>136</v>
      </c>
      <c r="CC54" t="str">
        <f>IF(OR(Table1[[#This Row],[Order_Status]]="Returned",Table1[[#This Row],[Order_Status]]="Cancelled"),"Attention Required","Not")</f>
        <v>Not</v>
      </c>
      <c r="CD54" t="str">
        <f>IF(OR(Table1[[#This Row],[Order_Status]]="Returned",Table1[[#This Row],[Order_Status]]="Cancelled"),"Review","no")</f>
        <v>no</v>
      </c>
      <c r="CE54" t="str">
        <f>SUBSTITUTE(Table1[[#This Row],[Order_Status]],"Delivered","Completed")</f>
        <v>Completed</v>
      </c>
      <c r="CF54" s="2">
        <v>46199</v>
      </c>
      <c r="CG54" s="17">
        <f>NETWORKDAYS(Table1[[#This Row],[Order_Date]],Table1[[#This Row],[Delivery_Date]])</f>
        <v>6</v>
      </c>
      <c r="CH54" s="17">
        <f>Table1[[#This Row],[Delivery_Date]]-Table1[[#This Row],[Order_Date]]</f>
        <v>7</v>
      </c>
      <c r="CI54" t="s">
        <v>137</v>
      </c>
      <c r="CJ54" t="str">
        <f>IF(Table1[[#This Row],[Rating]]&gt;=4,"Good","Needs Improvement")</f>
        <v>Good</v>
      </c>
      <c r="CK54" t="str">
        <f>IF(OR(Table1[[#This Row],[Rating]]&lt;=2,Table1[[#This Row],[Profit]]&lt;0),"Review","NO")</f>
        <v>NO</v>
      </c>
      <c r="CL54" t="str" cm="1">
        <f t="array" ref="CL54">_xlfn.IFS(Table1[[#This Row],[Rating]]&gt;2,"Poor",Table1[[#This Row],[Rating]]=3,"Average",Table1[[#This Row],[Rating]]=4,"Good",CP54=5,"Excellent")</f>
        <v>Poor</v>
      </c>
      <c r="CM54">
        <f>COUNT(Table1[[#This Row],[Rating]])</f>
        <v>1</v>
      </c>
      <c r="CN54">
        <f>COUNTBLANK(Table1[[#This Row],[Rating]])</f>
        <v>0</v>
      </c>
      <c r="CP54" t="s">
        <v>157</v>
      </c>
      <c r="CQ54" s="14">
        <v>4</v>
      </c>
      <c r="CR54" t="s">
        <v>173</v>
      </c>
      <c r="CS54" t="s">
        <v>158</v>
      </c>
      <c r="CU54" s="3">
        <v>3597.75</v>
      </c>
      <c r="CV54" s="3">
        <f>ROUND(Table1[[#This Row],[Sales_Amount]],0)</f>
        <v>3598</v>
      </c>
      <c r="CW54" s="3"/>
      <c r="CX54" s="3"/>
      <c r="CY54" s="3" t="b">
        <f>IF(AND(Table1[[#This Row],[Sales_Amount]]&gt;=10000,Table1[[#This Row],[Profit]]&gt;0),"Good Order")</f>
        <v>0</v>
      </c>
      <c r="CZ54" s="3" t="str">
        <f>IF(Table1[[#This Row],[Sales_Amount]]&gt;=10000,"High","Normal")</f>
        <v>Normal</v>
      </c>
      <c r="DA54" s="3">
        <v>897.75</v>
      </c>
      <c r="DB54" s="3">
        <f>ROUND(Table1[[#This Row],[Profit]],0)</f>
        <v>898</v>
      </c>
      <c r="DC54" s="3">
        <f>ABS(Table1[[#This Row],[Profit]])</f>
        <v>897.75</v>
      </c>
      <c r="DD54" s="3"/>
      <c r="DE54" s="3"/>
      <c r="DF54" s="3"/>
      <c r="DG54" s="3" t="str">
        <f>IF(Table1[[#This Row],[Profit]]&gt;0,"Profit","Loss")</f>
        <v>Profit</v>
      </c>
      <c r="DH54" s="3" t="str">
        <f>IF(AND(Table1[[#This Row],[Sales_Amount]]&gt;=10000,Table1[[#This Row],[Profit]]&gt;0),"Priority","Normal")</f>
        <v>Normal</v>
      </c>
      <c r="DI54" s="3">
        <f t="shared" ca="1" si="2"/>
        <v>0.67919201284949415</v>
      </c>
      <c r="DJ54" s="3">
        <f t="shared" ca="1" si="3"/>
        <v>34</v>
      </c>
      <c r="DK54" s="3"/>
      <c r="DL54" s="3"/>
      <c r="DM54" s="3"/>
      <c r="DN54" s="3"/>
      <c r="DO54" s="3"/>
      <c r="DP54" s="3"/>
    </row>
    <row r="55" spans="1:120">
      <c r="A55" t="s">
        <v>515</v>
      </c>
      <c r="B55" t="str">
        <f>REPLACE(Table1[[#This Row],[Order_ID]],1,3,"YOO")</f>
        <v>YOO10054</v>
      </c>
      <c r="C55" t="str">
        <f>MID(Table1[[#This Row],[Order_ID]],4,4)</f>
        <v>1005</v>
      </c>
      <c r="D55" t="str">
        <f>LEFT(Table1[[#This Row],[Order_ID]],4)</f>
        <v>ORD1</v>
      </c>
      <c r="E55" t="str">
        <f>RIGHT(Table1[[#This Row],[Order_ID]],5)</f>
        <v>10054</v>
      </c>
      <c r="F55" t="s">
        <v>5</v>
      </c>
      <c r="G55">
        <v>10054</v>
      </c>
      <c r="H55" t="s">
        <v>516</v>
      </c>
      <c r="I55" s="2">
        <f>EDATE(Table1[[#This Row],[Order_Date]],3)</f>
        <v>46136</v>
      </c>
      <c r="J55" s="2">
        <f>EDATE(Table1[[#This Row],[Order_Date]],6)</f>
        <v>46227</v>
      </c>
      <c r="K55">
        <f ca="1">YEAR(Table1[[#This Row],[Today]])</f>
        <v>2026</v>
      </c>
      <c r="L55">
        <v>54</v>
      </c>
      <c r="M55">
        <f ca="1">DAY(Table1[[#This Row],[Today]])</f>
        <v>11</v>
      </c>
      <c r="N55" s="19">
        <f t="shared" ca="1" si="6"/>
        <v>46245.589795370368</v>
      </c>
      <c r="O55" s="2">
        <f t="shared" ca="1" si="0"/>
        <v>46245</v>
      </c>
      <c r="P55" s="17">
        <f ca="1">Table1[[#This Row],[Today]]-Table1[[#This Row],[Order_Date]]</f>
        <v>199</v>
      </c>
      <c r="Q55" s="2">
        <v>45711</v>
      </c>
      <c r="R55" s="2">
        <v>46046</v>
      </c>
      <c r="S55" s="6">
        <f t="shared" si="4"/>
        <v>2026</v>
      </c>
      <c r="T55" s="7" t="str">
        <f t="shared" si="5"/>
        <v>January</v>
      </c>
      <c r="U55" s="2">
        <f>WORKDAY(Table1[[#This Row],[Order_Date]],5)</f>
        <v>46052</v>
      </c>
      <c r="V55" s="7" t="str">
        <f>CONCATENATE(Table1[[#This Row],[Customer_ID]],Table1[[#This Row],[Customer_Name]])</f>
        <v>C1125Karan Patel</v>
      </c>
      <c r="W55" t="s">
        <v>517</v>
      </c>
      <c r="X55" t="s">
        <v>280</v>
      </c>
      <c r="Y55">
        <f>COUNTA(Table1[[#This Row],[Customer_Name]])</f>
        <v>1</v>
      </c>
      <c r="Z55" t="str">
        <f>SUBSTITUTE(Table1[[#This Row],[Customer_Name]]," ","_")</f>
        <v>Karan_Patel</v>
      </c>
      <c r="AA55" s="10">
        <f>IFERROR(SEARCH("a",Table1[[#This Row],[Customer_Name]]),"N/A")</f>
        <v>2</v>
      </c>
      <c r="AB55">
        <f>SEARCH(" ",Table1[[#This Row],[Customer_Name]])</f>
        <v>6</v>
      </c>
      <c r="AC55" s="11">
        <f>IFERROR(FIND("a",Table1[[#This Row],[Customer_Name]]),"N/A")</f>
        <v>2</v>
      </c>
      <c r="AD55">
        <f>FIND(" ",Table1[[#This Row],[Customer_Name]])</f>
        <v>6</v>
      </c>
      <c r="AE55" t="str">
        <f>TRIM(Table1[[#This Row],[Customer_Name]])</f>
        <v>Karan Patel</v>
      </c>
      <c r="AF55">
        <f>LEN(Table1[[#This Row],[Trimmed]])</f>
        <v>11</v>
      </c>
      <c r="AG55">
        <f>MAX(Table1[Length])</f>
        <v>15</v>
      </c>
      <c r="AH55" t="str">
        <f>PROPER(Table1[[#This Row],[Customer_Name]])</f>
        <v>Karan Patel</v>
      </c>
      <c r="AI55" t="str">
        <f>LOWER(Table1[[#This Row],[Customer_Name]])</f>
        <v>karan patel</v>
      </c>
      <c r="AJ55" t="str">
        <f>UPPER(Table1[[#This Row],[Customer_Name]])</f>
        <v>KARAN PATEL</v>
      </c>
      <c r="AK55" t="str">
        <f>CONCATENATE(Table1[[#This Row],[Customer_ID]],Table1[[#This Row],[Customer_Name]])</f>
        <v>C1125Karan Patel</v>
      </c>
      <c r="AL55" t="s">
        <v>281</v>
      </c>
      <c r="AM55" t="s">
        <v>282</v>
      </c>
      <c r="AN55" t="s">
        <v>283</v>
      </c>
      <c r="AO55" t="s">
        <v>281</v>
      </c>
      <c r="AP55" t="s">
        <v>282</v>
      </c>
      <c r="AQ55" t="s">
        <v>284</v>
      </c>
      <c r="AR55" t="str">
        <f>TRIM(Table1[[#This Row],[City]])</f>
        <v>Hyderabad</v>
      </c>
      <c r="AS55" t="str">
        <f>PROPER(Table1[[#This Row],[City]])</f>
        <v>Hyderabad</v>
      </c>
      <c r="AT55" t="s">
        <v>285</v>
      </c>
      <c r="AU55" t="str">
        <f>CONCATENATE(Table1[[#This Row],[City]],Table1[[#This Row],[State]])</f>
        <v>HyderabadTelangana</v>
      </c>
      <c r="AV55" t="s">
        <v>168</v>
      </c>
      <c r="AW55" t="s">
        <v>250</v>
      </c>
      <c r="AX55" t="str">
        <f>REPLACE(Table1[[#This Row],[Product_ID]],1,1,"s")</f>
        <v>s113</v>
      </c>
      <c r="AY55" t="s">
        <v>518</v>
      </c>
      <c r="AZ55">
        <f>SEARCH("-",Table1[[#This Row],[Product ID]])</f>
        <v>2</v>
      </c>
      <c r="BA55">
        <f>FIND("-",Table1[[#This Row],[Product ID]])</f>
        <v>2</v>
      </c>
      <c r="BB55" t="str">
        <f>MID(Table1[[#This Row],[Product_ID]],2,3)</f>
        <v>113</v>
      </c>
      <c r="BC55" t="str">
        <f>RIGHT(Table1[[#This Row],[Product_ID]],3)</f>
        <v>113</v>
      </c>
      <c r="BD55" t="str">
        <f>LEFT(Table1[[#This Row],[Product_ID]],3)</f>
        <v>P11</v>
      </c>
      <c r="BE55" t="str">
        <f>_xlfn.XLOOKUP(Table1[[#This Row],[Product_ID]],AW:AW,BF:BF,,0)</f>
        <v>Desk Lamp</v>
      </c>
      <c r="BF55" t="s">
        <v>252</v>
      </c>
      <c r="BG55">
        <f>LEN(Table1[[#This Row],[Product_Name]])</f>
        <v>9</v>
      </c>
      <c r="BH55" t="s">
        <v>133</v>
      </c>
      <c r="BI55">
        <f t="shared" si="7"/>
        <v>75</v>
      </c>
      <c r="BJ55" t="str">
        <f>SUBSTITUTE(Table1[[#This Row],[Category]],"Electronics","ELECTRONICS")</f>
        <v>Home</v>
      </c>
      <c r="BN55" t="s">
        <v>253</v>
      </c>
      <c r="BS55" s="14">
        <v>3</v>
      </c>
      <c r="BT55" s="3">
        <v>1299</v>
      </c>
      <c r="BU55" s="4">
        <v>0</v>
      </c>
      <c r="BV55" s="4" t="str">
        <f>IF(AND(Table1[[#This Row],[Quantity]]&gt;=3,Table1[[#This Row],[Discount_%]]&gt;=15%),"Bulk Discount","no")</f>
        <v>no</v>
      </c>
      <c r="BW55" s="4" t="str">
        <f>IF(AND(Table1[[#This Row],[Quantity]]&gt;3,Table1[[#This Row],[Discount_%]]&gt;15%),"Bulk Customer","Normal")</f>
        <v>Normal</v>
      </c>
      <c r="BX55" t="s">
        <v>192</v>
      </c>
      <c r="BY55" t="s">
        <v>136</v>
      </c>
      <c r="CC55" t="str">
        <f>IF(OR(Table1[[#This Row],[Order_Status]]="Returned",Table1[[#This Row],[Order_Status]]="Cancelled"),"Attention Required","Not")</f>
        <v>Not</v>
      </c>
      <c r="CD55" t="str">
        <f>IF(OR(Table1[[#This Row],[Order_Status]]="Returned",Table1[[#This Row],[Order_Status]]="Cancelled"),"Review","no")</f>
        <v>no</v>
      </c>
      <c r="CE55" t="str">
        <f>SUBSTITUTE(Table1[[#This Row],[Order_Status]],"Delivered","Completed")</f>
        <v>Completed</v>
      </c>
      <c r="CF55" s="2">
        <v>46052</v>
      </c>
      <c r="CG55" s="17">
        <f>NETWORKDAYS(Table1[[#This Row],[Order_Date]],Table1[[#This Row],[Delivery_Date]])</f>
        <v>5</v>
      </c>
      <c r="CH55" s="17">
        <f>Table1[[#This Row],[Delivery_Date]]-Table1[[#This Row],[Order_Date]]</f>
        <v>6</v>
      </c>
      <c r="CI55" t="s">
        <v>137</v>
      </c>
      <c r="CJ55" t="str">
        <f>IF(Table1[[#This Row],[Rating]]&gt;=4,"Good","Needs Improvement")</f>
        <v>Needs Improvement</v>
      </c>
      <c r="CK55" t="str">
        <f>IF(OR(Table1[[#This Row],[Rating]]&lt;=2,Table1[[#This Row],[Profit]]&lt;0),"Review","NO")</f>
        <v>NO</v>
      </c>
      <c r="CL55" t="str" cm="1">
        <f t="array" ref="CL55">_xlfn.IFS(Table1[[#This Row],[Rating]]&gt;2,"Poor",Table1[[#This Row],[Rating]]=3,"Average",Table1[[#This Row],[Rating]]=4,"Good",CP55=5,"Excellent")</f>
        <v>Poor</v>
      </c>
      <c r="CM55">
        <f>COUNT(Table1[[#This Row],[Rating]])</f>
        <v>1</v>
      </c>
      <c r="CN55">
        <f>COUNTBLANK(Table1[[#This Row],[Rating]])</f>
        <v>0</v>
      </c>
      <c r="CP55" t="s">
        <v>157</v>
      </c>
      <c r="CQ55" s="14">
        <v>3</v>
      </c>
      <c r="CR55" t="s">
        <v>173</v>
      </c>
      <c r="CS55" t="s">
        <v>195</v>
      </c>
      <c r="CU55" s="3">
        <v>3897</v>
      </c>
      <c r="CV55" s="3">
        <f>ROUND(Table1[[#This Row],[Sales_Amount]],0)</f>
        <v>3897</v>
      </c>
      <c r="CW55" s="3"/>
      <c r="CX55" s="3"/>
      <c r="CY55" s="3" t="b">
        <f>IF(AND(Table1[[#This Row],[Sales_Amount]]&gt;=10000,Table1[[#This Row],[Profit]]&gt;0),"Good Order")</f>
        <v>0</v>
      </c>
      <c r="CZ55" s="3" t="str">
        <f>IF(Table1[[#This Row],[Sales_Amount]]&gt;=10000,"High","Normal")</f>
        <v>Normal</v>
      </c>
      <c r="DA55" s="3">
        <v>1947</v>
      </c>
      <c r="DB55" s="3">
        <f>ROUND(Table1[[#This Row],[Profit]],0)</f>
        <v>1947</v>
      </c>
      <c r="DC55" s="3">
        <f>ABS(Table1[[#This Row],[Profit]])</f>
        <v>1947</v>
      </c>
      <c r="DD55" s="3"/>
      <c r="DE55" s="3"/>
      <c r="DF55" s="3"/>
      <c r="DG55" s="3" t="str">
        <f>IF(Table1[[#This Row],[Profit]]&gt;0,"Profit","Loss")</f>
        <v>Profit</v>
      </c>
      <c r="DH55" s="3" t="str">
        <f>IF(AND(Table1[[#This Row],[Sales_Amount]]&gt;=10000,Table1[[#This Row],[Profit]]&gt;0),"Priority","Normal")</f>
        <v>Normal</v>
      </c>
      <c r="DI55" s="3">
        <f t="shared" ca="1" si="2"/>
        <v>0.14125734534209666</v>
      </c>
      <c r="DJ55" s="3">
        <f t="shared" ca="1" si="3"/>
        <v>51</v>
      </c>
      <c r="DK55" s="3"/>
      <c r="DL55" s="3"/>
      <c r="DM55" s="3"/>
      <c r="DN55" s="3"/>
      <c r="DO55" s="3"/>
      <c r="DP55" s="3"/>
    </row>
    <row r="56" spans="1:120">
      <c r="A56" t="s">
        <v>519</v>
      </c>
      <c r="B56" t="str">
        <f>REPLACE(Table1[[#This Row],[Order_ID]],1,3,"YOO")</f>
        <v>YOO10055</v>
      </c>
      <c r="C56" t="str">
        <f>MID(Table1[[#This Row],[Order_ID]],4,4)</f>
        <v>1005</v>
      </c>
      <c r="D56" t="str">
        <f>LEFT(Table1[[#This Row],[Order_ID]],4)</f>
        <v>ORD1</v>
      </c>
      <c r="E56" t="str">
        <f>RIGHT(Table1[[#This Row],[Order_ID]],5)</f>
        <v>10055</v>
      </c>
      <c r="F56" t="s">
        <v>5</v>
      </c>
      <c r="G56">
        <v>10055</v>
      </c>
      <c r="H56" t="s">
        <v>520</v>
      </c>
      <c r="I56" s="2">
        <f>EDATE(Table1[[#This Row],[Order_Date]],3)</f>
        <v>46032</v>
      </c>
      <c r="J56" s="2">
        <f>EDATE(Table1[[#This Row],[Order_Date]],6)</f>
        <v>46122</v>
      </c>
      <c r="K56">
        <f ca="1">YEAR(Table1[[#This Row],[Today]])</f>
        <v>2026</v>
      </c>
      <c r="L56">
        <v>55</v>
      </c>
      <c r="M56">
        <f ca="1">DAY(Table1[[#This Row],[Today]])</f>
        <v>11</v>
      </c>
      <c r="N56" s="19">
        <f t="shared" ca="1" si="6"/>
        <v>46245.589795138891</v>
      </c>
      <c r="O56" s="2">
        <f t="shared" ca="1" si="0"/>
        <v>46245</v>
      </c>
      <c r="P56" s="17">
        <f ca="1">Table1[[#This Row],[Today]]-Table1[[#This Row],[Order_Date]]</f>
        <v>305</v>
      </c>
      <c r="Q56" s="2">
        <v>45712</v>
      </c>
      <c r="R56" s="2">
        <v>45940</v>
      </c>
      <c r="S56" s="6">
        <f t="shared" si="4"/>
        <v>2025</v>
      </c>
      <c r="T56" s="7" t="str">
        <f t="shared" si="5"/>
        <v>October</v>
      </c>
      <c r="U56" s="2">
        <f>WORKDAY(Table1[[#This Row],[Order_Date]],5)</f>
        <v>45947</v>
      </c>
      <c r="V56" s="7" t="str">
        <f>CONCATENATE(Table1[[#This Row],[Customer_ID]],Table1[[#This Row],[Customer_Name]])</f>
        <v>C1062Isha Kapoor</v>
      </c>
      <c r="W56" t="s">
        <v>521</v>
      </c>
      <c r="X56" t="s">
        <v>411</v>
      </c>
      <c r="Y56">
        <f>COUNTA(Table1[[#This Row],[Customer_Name]])</f>
        <v>1</v>
      </c>
      <c r="Z56" t="str">
        <f>SUBSTITUTE(Table1[[#This Row],[Customer_Name]]," ","_")</f>
        <v>Isha_Kapoor</v>
      </c>
      <c r="AA56" s="10">
        <f>IFERROR(SEARCH("a",Table1[[#This Row],[Customer_Name]]),"N/A")</f>
        <v>4</v>
      </c>
      <c r="AB56">
        <f>SEARCH(" ",Table1[[#This Row],[Customer_Name]])</f>
        <v>5</v>
      </c>
      <c r="AC56" s="11">
        <f>IFERROR(FIND("a",Table1[[#This Row],[Customer_Name]]),"N/A")</f>
        <v>4</v>
      </c>
      <c r="AD56">
        <f>FIND(" ",Table1[[#This Row],[Customer_Name]])</f>
        <v>5</v>
      </c>
      <c r="AE56" t="str">
        <f>TRIM(Table1[[#This Row],[Customer_Name]])</f>
        <v>Isha Kapoor</v>
      </c>
      <c r="AF56">
        <f>LEN(Table1[[#This Row],[Trimmed]])</f>
        <v>11</v>
      </c>
      <c r="AG56">
        <f>MAX(Table1[Length])</f>
        <v>15</v>
      </c>
      <c r="AH56" t="str">
        <f>PROPER(Table1[[#This Row],[Customer_Name]])</f>
        <v>Isha Kapoor</v>
      </c>
      <c r="AI56" t="str">
        <f>LOWER(Table1[[#This Row],[Customer_Name]])</f>
        <v>isha kapoor</v>
      </c>
      <c r="AJ56" t="str">
        <f>UPPER(Table1[[#This Row],[Customer_Name]])</f>
        <v>ISHA KAPOOR</v>
      </c>
      <c r="AK56" t="str">
        <f>CONCATENATE(Table1[[#This Row],[Customer_ID]],Table1[[#This Row],[Customer_Name]])</f>
        <v>C1062Isha Kapoor</v>
      </c>
      <c r="AL56" t="s">
        <v>412</v>
      </c>
      <c r="AM56" t="s">
        <v>413</v>
      </c>
      <c r="AN56" t="s">
        <v>414</v>
      </c>
      <c r="AO56" t="s">
        <v>412</v>
      </c>
      <c r="AP56" t="s">
        <v>413</v>
      </c>
      <c r="AQ56" t="s">
        <v>233</v>
      </c>
      <c r="AR56" t="str">
        <f>TRIM(Table1[[#This Row],[City]])</f>
        <v>Kolkata</v>
      </c>
      <c r="AS56" t="str">
        <f>PROPER(Table1[[#This Row],[City]])</f>
        <v>Kolkata</v>
      </c>
      <c r="AT56" t="s">
        <v>234</v>
      </c>
      <c r="AU56" t="str">
        <f>CONCATENATE(Table1[[#This Row],[City]],Table1[[#This Row],[State]])</f>
        <v>KolkataWest Bengal</v>
      </c>
      <c r="AV56" t="s">
        <v>235</v>
      </c>
      <c r="AW56" t="s">
        <v>338</v>
      </c>
      <c r="AX56" t="str">
        <f>REPLACE(Table1[[#This Row],[Product_ID]],1,1,"s")</f>
        <v>s115</v>
      </c>
      <c r="AY56" t="s">
        <v>522</v>
      </c>
      <c r="AZ56">
        <f>SEARCH("-",Table1[[#This Row],[Product ID]])</f>
        <v>2</v>
      </c>
      <c r="BA56">
        <f>FIND("-",Table1[[#This Row],[Product ID]])</f>
        <v>2</v>
      </c>
      <c r="BB56" t="str">
        <f>MID(Table1[[#This Row],[Product_ID]],2,3)</f>
        <v>115</v>
      </c>
      <c r="BC56" t="str">
        <f>RIGHT(Table1[[#This Row],[Product_ID]],3)</f>
        <v>115</v>
      </c>
      <c r="BD56" t="str">
        <f>LEFT(Table1[[#This Row],[Product_ID]],3)</f>
        <v>P11</v>
      </c>
      <c r="BE56" t="str">
        <f>_xlfn.XLOOKUP(Table1[[#This Row],[Product_ID]],AW:AW,BF:BF,,0)</f>
        <v>Dumbbell Set</v>
      </c>
      <c r="BF56" t="s">
        <v>340</v>
      </c>
      <c r="BG56">
        <f>LEN(Table1[[#This Row],[Product_Name]])</f>
        <v>12</v>
      </c>
      <c r="BH56" t="s">
        <v>264</v>
      </c>
      <c r="BI56">
        <f t="shared" si="7"/>
        <v>75</v>
      </c>
      <c r="BJ56" t="str">
        <f>SUBSTITUTE(Table1[[#This Row],[Category]],"Electronics","ELECTRONICS")</f>
        <v>Sports</v>
      </c>
      <c r="BN56" t="s">
        <v>265</v>
      </c>
      <c r="BS56" s="14">
        <v>5</v>
      </c>
      <c r="BT56" s="3">
        <v>2499</v>
      </c>
      <c r="BU56" s="4">
        <v>0</v>
      </c>
      <c r="BV56" s="4" t="str">
        <f>IF(AND(Table1[[#This Row],[Quantity]]&gt;=3,Table1[[#This Row],[Discount_%]]&gt;=15%),"Bulk Discount","no")</f>
        <v>no</v>
      </c>
      <c r="BW56" s="4" t="str">
        <f>IF(AND(Table1[[#This Row],[Quantity]]&gt;3,Table1[[#This Row],[Discount_%]]&gt;15%),"Bulk Customer","Normal")</f>
        <v>Normal</v>
      </c>
      <c r="BX56" t="s">
        <v>330</v>
      </c>
      <c r="BY56" t="s">
        <v>156</v>
      </c>
      <c r="CC56" t="str">
        <f>IF(OR(Table1[[#This Row],[Order_Status]]="Returned",Table1[[#This Row],[Order_Status]]="Cancelled"),"Attention Required","Not")</f>
        <v>Attention Required</v>
      </c>
      <c r="CD56" t="str">
        <f>IF(OR(Table1[[#This Row],[Order_Status]]="Returned",Table1[[#This Row],[Order_Status]]="Cancelled"),"Review","no")</f>
        <v>Review</v>
      </c>
      <c r="CE56" t="str">
        <f>SUBSTITUTE(Table1[[#This Row],[Order_Status]],"Delivered","Completed")</f>
        <v>Cancelled</v>
      </c>
      <c r="CF56" s="2">
        <v>45944</v>
      </c>
      <c r="CG56" s="17">
        <f>NETWORKDAYS(Table1[[#This Row],[Order_Date]],Table1[[#This Row],[Delivery_Date]])</f>
        <v>3</v>
      </c>
      <c r="CH56" s="17">
        <f>Table1[[#This Row],[Delivery_Date]]-Table1[[#This Row],[Order_Date]]</f>
        <v>4</v>
      </c>
      <c r="CI56" t="s">
        <v>137</v>
      </c>
      <c r="CJ56" t="str">
        <f>IF(Table1[[#This Row],[Rating]]&gt;=4,"Good","Needs Improvement")</f>
        <v>Needs Improvement</v>
      </c>
      <c r="CK56" t="str">
        <f>IF(OR(Table1[[#This Row],[Rating]]&lt;=2,Table1[[#This Row],[Profit]]&lt;0),"Review","NO")</f>
        <v>Review</v>
      </c>
      <c r="CL56" t="e" cm="1">
        <f t="array" ref="CL56">_xlfn.IFS(Table1[[#This Row],[Rating]]&gt;2,"Poor",Table1[[#This Row],[Rating]]=3,"Average",Table1[[#This Row],[Rating]]=4,"Good",CP56=5,"Excellent")</f>
        <v>#N/A</v>
      </c>
      <c r="CM56">
        <f>COUNT(Table1[[#This Row],[Rating]])</f>
        <v>1</v>
      </c>
      <c r="CN56">
        <f>COUNTBLANK(Table1[[#This Row],[Rating]])</f>
        <v>0</v>
      </c>
      <c r="CP56" t="s">
        <v>266</v>
      </c>
      <c r="CQ56" s="14">
        <v>2</v>
      </c>
      <c r="CR56" t="s">
        <v>139</v>
      </c>
      <c r="CS56" t="s">
        <v>213</v>
      </c>
      <c r="CU56" s="3">
        <v>12495</v>
      </c>
      <c r="CV56" s="3">
        <f>ROUND(Table1[[#This Row],[Sales_Amount]],0)</f>
        <v>12495</v>
      </c>
      <c r="CW56" s="3"/>
      <c r="CX56" s="3"/>
      <c r="CY56" s="3" t="str">
        <f>IF(AND(Table1[[#This Row],[Sales_Amount]]&gt;=10000,Table1[[#This Row],[Profit]]&gt;0),"Good Order")</f>
        <v>Good Order</v>
      </c>
      <c r="CZ56" s="3" t="str">
        <f>IF(Table1[[#This Row],[Sales_Amount]]&gt;=10000,"High","Normal")</f>
        <v>High</v>
      </c>
      <c r="DA56" s="3">
        <v>5245</v>
      </c>
      <c r="DB56" s="3">
        <f>ROUND(Table1[[#This Row],[Profit]],0)</f>
        <v>5245</v>
      </c>
      <c r="DC56" s="3">
        <f>ABS(Table1[[#This Row],[Profit]])</f>
        <v>5245</v>
      </c>
      <c r="DD56" s="3"/>
      <c r="DE56" s="3"/>
      <c r="DF56" s="3"/>
      <c r="DG56" s="3" t="str">
        <f>IF(Table1[[#This Row],[Profit]]&gt;0,"Profit","Loss")</f>
        <v>Profit</v>
      </c>
      <c r="DH56" s="3" t="str">
        <f>IF(AND(Table1[[#This Row],[Sales_Amount]]&gt;=10000,Table1[[#This Row],[Profit]]&gt;0),"Priority","Normal")</f>
        <v>Priority</v>
      </c>
      <c r="DI56" s="3">
        <f t="shared" ca="1" si="2"/>
        <v>0.59080959615760431</v>
      </c>
      <c r="DJ56" s="3">
        <f t="shared" ca="1" si="3"/>
        <v>93</v>
      </c>
      <c r="DK56" s="3"/>
      <c r="DL56" s="3"/>
      <c r="DM56" s="3"/>
      <c r="DN56" s="3"/>
      <c r="DO56" s="3"/>
      <c r="DP56" s="3"/>
    </row>
    <row r="57" spans="1:120">
      <c r="A57" t="s">
        <v>523</v>
      </c>
      <c r="B57" t="str">
        <f>REPLACE(Table1[[#This Row],[Order_ID]],1,3,"YOO")</f>
        <v>YOO10056</v>
      </c>
      <c r="C57" t="str">
        <f>MID(Table1[[#This Row],[Order_ID]],4,4)</f>
        <v>1005</v>
      </c>
      <c r="D57" t="str">
        <f>LEFT(Table1[[#This Row],[Order_ID]],4)</f>
        <v>ORD1</v>
      </c>
      <c r="E57" t="str">
        <f>RIGHT(Table1[[#This Row],[Order_ID]],5)</f>
        <v>10056</v>
      </c>
      <c r="F57" t="s">
        <v>5</v>
      </c>
      <c r="G57">
        <v>10056</v>
      </c>
      <c r="H57" t="s">
        <v>524</v>
      </c>
      <c r="I57" s="2">
        <f>EDATE(Table1[[#This Row],[Order_Date]],3)</f>
        <v>46252</v>
      </c>
      <c r="J57" s="2">
        <f>EDATE(Table1[[#This Row],[Order_Date]],6)</f>
        <v>46344</v>
      </c>
      <c r="K57">
        <f ca="1">YEAR(Table1[[#This Row],[Today]])</f>
        <v>2026</v>
      </c>
      <c r="L57">
        <v>56</v>
      </c>
      <c r="M57">
        <f ca="1">DAY(Table1[[#This Row],[Today]])</f>
        <v>11</v>
      </c>
      <c r="N57" s="19">
        <f t="shared" ca="1" si="6"/>
        <v>46245.589795370368</v>
      </c>
      <c r="O57" s="2">
        <f t="shared" ca="1" si="0"/>
        <v>46245</v>
      </c>
      <c r="P57" s="17">
        <f ca="1">Table1[[#This Row],[Today]]-Table1[[#This Row],[Order_Date]]</f>
        <v>85</v>
      </c>
      <c r="Q57" s="2">
        <v>45713</v>
      </c>
      <c r="R57" s="2">
        <v>46160</v>
      </c>
      <c r="S57" s="6">
        <f t="shared" si="4"/>
        <v>2026</v>
      </c>
      <c r="T57" s="7" t="str">
        <f t="shared" si="5"/>
        <v>May</v>
      </c>
      <c r="U57" s="2">
        <f>WORKDAY(Table1[[#This Row],[Order_Date]],5)</f>
        <v>46167</v>
      </c>
      <c r="V57" s="7" t="str">
        <f>CONCATENATE(Table1[[#This Row],[Customer_ID]],Table1[[#This Row],[Customer_Name]])</f>
        <v xml:space="preserve">C1104  anjali joshi  </v>
      </c>
      <c r="W57" t="s">
        <v>525</v>
      </c>
      <c r="X57" t="s">
        <v>452</v>
      </c>
      <c r="Y57">
        <f>COUNTA(Table1[[#This Row],[Customer_Name]])</f>
        <v>1</v>
      </c>
      <c r="Z57" t="str">
        <f>SUBSTITUTE(Table1[[#This Row],[Customer_Name]]," ","_")</f>
        <v>__anjali_joshi__</v>
      </c>
      <c r="AA57" s="10">
        <f>IFERROR(SEARCH("a",Table1[[#This Row],[Customer_Name]]),"N/A")</f>
        <v>3</v>
      </c>
      <c r="AB57">
        <f>SEARCH(" ",Table1[[#This Row],[Customer_Name]])</f>
        <v>1</v>
      </c>
      <c r="AC57" s="11">
        <f>IFERROR(FIND("a",Table1[[#This Row],[Customer_Name]]),"N/A")</f>
        <v>3</v>
      </c>
      <c r="AD57">
        <f>FIND(" ",Table1[[#This Row],[Customer_Name]])</f>
        <v>1</v>
      </c>
      <c r="AE57" t="str">
        <f>TRIM(Table1[[#This Row],[Customer_Name]])</f>
        <v>anjali joshi</v>
      </c>
      <c r="AF57">
        <f>LEN(Table1[[#This Row],[Trimmed]])</f>
        <v>12</v>
      </c>
      <c r="AG57">
        <f>MAX(Table1[Length])</f>
        <v>15</v>
      </c>
      <c r="AH57" t="str">
        <f>PROPER(Table1[[#This Row],[Customer_Name]])</f>
        <v xml:space="preserve">  Anjali Joshi  </v>
      </c>
      <c r="AI57" t="str">
        <f>LOWER(Table1[[#This Row],[Customer_Name]])</f>
        <v xml:space="preserve">  anjali joshi  </v>
      </c>
      <c r="AJ57" t="str">
        <f>UPPER(Table1[[#This Row],[Customer_Name]])</f>
        <v xml:space="preserve">  ANJALI JOSHI  </v>
      </c>
      <c r="AK57" t="str">
        <f>CONCATENATE(Table1[[#This Row],[Customer_ID]],Table1[[#This Row],[Customer_Name]])</f>
        <v xml:space="preserve">C1104  anjali joshi  </v>
      </c>
      <c r="AL57" t="s">
        <v>453</v>
      </c>
      <c r="AM57" t="s">
        <v>454</v>
      </c>
      <c r="AN57" t="s">
        <v>313</v>
      </c>
      <c r="AO57" t="s">
        <v>453</v>
      </c>
      <c r="AP57" t="s">
        <v>454</v>
      </c>
      <c r="AQ57" t="s">
        <v>199</v>
      </c>
      <c r="AR57" t="str">
        <f>TRIM(Table1[[#This Row],[City]])</f>
        <v>Lucknow</v>
      </c>
      <c r="AS57" t="str">
        <f>PROPER(Table1[[#This Row],[City]])</f>
        <v>Lucknow</v>
      </c>
      <c r="AT57" t="s">
        <v>200</v>
      </c>
      <c r="AU57" t="str">
        <f>CONCATENATE(Table1[[#This Row],[City]],Table1[[#This Row],[State]])</f>
        <v>LucknowUttar Pradesh</v>
      </c>
      <c r="AV57" t="s">
        <v>150</v>
      </c>
      <c r="AW57" t="s">
        <v>370</v>
      </c>
      <c r="AX57" t="str">
        <f>REPLACE(Table1[[#This Row],[Product_ID]],1,1,"s")</f>
        <v>s108</v>
      </c>
      <c r="AY57" t="s">
        <v>526</v>
      </c>
      <c r="AZ57">
        <f>SEARCH("-",Table1[[#This Row],[Product ID]])</f>
        <v>2</v>
      </c>
      <c r="BA57">
        <f>FIND("-",Table1[[#This Row],[Product ID]])</f>
        <v>2</v>
      </c>
      <c r="BB57" t="str">
        <f>MID(Table1[[#This Row],[Product_ID]],2,3)</f>
        <v>108</v>
      </c>
      <c r="BC57" t="str">
        <f>RIGHT(Table1[[#This Row],[Product_ID]],3)</f>
        <v>108</v>
      </c>
      <c r="BD57" t="str">
        <f>LEFT(Table1[[#This Row],[Product_ID]],3)</f>
        <v>P10</v>
      </c>
      <c r="BE57" t="str">
        <f>_xlfn.XLOOKUP(Table1[[#This Row],[Product_ID]],AW:AW,BF:BF,,0)</f>
        <v>Hoodie</v>
      </c>
      <c r="BF57" t="s">
        <v>372</v>
      </c>
      <c r="BG57">
        <f>LEN(Table1[[#This Row],[Product_Name]])</f>
        <v>6</v>
      </c>
      <c r="BH57" t="s">
        <v>224</v>
      </c>
      <c r="BI57">
        <f t="shared" si="7"/>
        <v>75</v>
      </c>
      <c r="BJ57" t="str">
        <f>SUBSTITUTE(Table1[[#This Row],[Category]],"Electronics","ELECTRONICS")</f>
        <v>Fashion</v>
      </c>
      <c r="BN57" t="s">
        <v>373</v>
      </c>
      <c r="BS57" s="14">
        <v>4</v>
      </c>
      <c r="BT57" s="3">
        <v>1999</v>
      </c>
      <c r="BU57" s="4">
        <v>0</v>
      </c>
      <c r="BV57" s="4" t="str">
        <f>IF(AND(Table1[[#This Row],[Quantity]]&gt;=3,Table1[[#This Row],[Discount_%]]&gt;=15%),"Bulk Discount","no")</f>
        <v>no</v>
      </c>
      <c r="BW57" s="4" t="str">
        <f>IF(AND(Table1[[#This Row],[Quantity]]&gt;3,Table1[[#This Row],[Discount_%]]&gt;15%),"Bulk Customer","Normal")</f>
        <v>Normal</v>
      </c>
      <c r="BX57" t="s">
        <v>192</v>
      </c>
      <c r="BY57" t="s">
        <v>136</v>
      </c>
      <c r="CC57" t="str">
        <f>IF(OR(Table1[[#This Row],[Order_Status]]="Returned",Table1[[#This Row],[Order_Status]]="Cancelled"),"Attention Required","Not")</f>
        <v>Not</v>
      </c>
      <c r="CD57" t="str">
        <f>IF(OR(Table1[[#This Row],[Order_Status]]="Returned",Table1[[#This Row],[Order_Status]]="Cancelled"),"Review","no")</f>
        <v>no</v>
      </c>
      <c r="CE57" t="str">
        <f>SUBSTITUTE(Table1[[#This Row],[Order_Status]],"Delivered","Completed")</f>
        <v>Completed</v>
      </c>
      <c r="CF57" s="2">
        <v>46165</v>
      </c>
      <c r="CG57" s="17">
        <f>NETWORKDAYS(Table1[[#This Row],[Order_Date]],Table1[[#This Row],[Delivery_Date]])</f>
        <v>5</v>
      </c>
      <c r="CH57" s="17">
        <f>Table1[[#This Row],[Delivery_Date]]-Table1[[#This Row],[Order_Date]]</f>
        <v>5</v>
      </c>
      <c r="CI57" t="s">
        <v>137</v>
      </c>
      <c r="CJ57" t="str">
        <f>IF(Table1[[#This Row],[Rating]]&gt;=4,"Good","Needs Improvement")</f>
        <v>Good</v>
      </c>
      <c r="CK57" t="str">
        <f>IF(OR(Table1[[#This Row],[Rating]]&lt;=2,Table1[[#This Row],[Profit]]&lt;0),"Review","NO")</f>
        <v>NO</v>
      </c>
      <c r="CL57" t="str" cm="1">
        <f t="array" ref="CL57">_xlfn.IFS(Table1[[#This Row],[Rating]]&gt;2,"Poor",Table1[[#This Row],[Rating]]=3,"Average",Table1[[#This Row],[Rating]]=4,"Good",CP57=5,"Excellent")</f>
        <v>Poor</v>
      </c>
      <c r="CM57">
        <f>COUNT(Table1[[#This Row],[Rating]])</f>
        <v>1</v>
      </c>
      <c r="CN57">
        <f>COUNTBLANK(Table1[[#This Row],[Rating]])</f>
        <v>0</v>
      </c>
      <c r="CQ57" s="14">
        <v>4</v>
      </c>
      <c r="CR57" t="s">
        <v>204</v>
      </c>
      <c r="CS57" t="s">
        <v>195</v>
      </c>
      <c r="CU57" s="3">
        <v>7996</v>
      </c>
      <c r="CV57" s="3">
        <f>ROUND(Table1[[#This Row],[Sales_Amount]],0)</f>
        <v>7996</v>
      </c>
      <c r="CW57" s="3"/>
      <c r="CX57" s="3"/>
      <c r="CY57" s="3" t="b">
        <f>IF(AND(Table1[[#This Row],[Sales_Amount]]&gt;=10000,Table1[[#This Row],[Profit]]&gt;0),"Good Order")</f>
        <v>0</v>
      </c>
      <c r="CZ57" s="3" t="str">
        <f>IF(Table1[[#This Row],[Sales_Amount]]&gt;=10000,"High","Normal")</f>
        <v>Normal</v>
      </c>
      <c r="DA57" s="3">
        <v>3796</v>
      </c>
      <c r="DB57" s="3">
        <f>ROUND(Table1[[#This Row],[Profit]],0)</f>
        <v>3796</v>
      </c>
      <c r="DC57" s="3">
        <f>ABS(Table1[[#This Row],[Profit]])</f>
        <v>3796</v>
      </c>
      <c r="DD57" s="3"/>
      <c r="DE57" s="3"/>
      <c r="DF57" s="3"/>
      <c r="DG57" s="3" t="str">
        <f>IF(Table1[[#This Row],[Profit]]&gt;0,"Profit","Loss")</f>
        <v>Profit</v>
      </c>
      <c r="DH57" s="3" t="str">
        <f>IF(AND(Table1[[#This Row],[Sales_Amount]]&gt;=10000,Table1[[#This Row],[Profit]]&gt;0),"Priority","Normal")</f>
        <v>Normal</v>
      </c>
      <c r="DI57" s="3">
        <f t="shared" ca="1" si="2"/>
        <v>0.93531922023948333</v>
      </c>
      <c r="DJ57" s="3">
        <f t="shared" ca="1" si="3"/>
        <v>55</v>
      </c>
      <c r="DK57" s="3"/>
      <c r="DL57" s="3"/>
      <c r="DM57" s="3"/>
      <c r="DN57" s="3"/>
      <c r="DO57" s="3"/>
      <c r="DP57" s="3"/>
    </row>
    <row r="58" spans="1:120">
      <c r="A58" t="s">
        <v>527</v>
      </c>
      <c r="B58" t="str">
        <f>REPLACE(Table1[[#This Row],[Order_ID]],1,3,"YOO")</f>
        <v>YOO10057</v>
      </c>
      <c r="C58" t="str">
        <f>MID(Table1[[#This Row],[Order_ID]],4,4)</f>
        <v>1005</v>
      </c>
      <c r="D58" t="str">
        <f>LEFT(Table1[[#This Row],[Order_ID]],4)</f>
        <v>ORD1</v>
      </c>
      <c r="E58" t="str">
        <f>RIGHT(Table1[[#This Row],[Order_ID]],5)</f>
        <v>10057</v>
      </c>
      <c r="F58" t="s">
        <v>5</v>
      </c>
      <c r="G58">
        <v>10057</v>
      </c>
      <c r="H58" t="s">
        <v>528</v>
      </c>
      <c r="I58" s="2">
        <f>EDATE(Table1[[#This Row],[Order_Date]],3)</f>
        <v>46293</v>
      </c>
      <c r="J58" s="2">
        <f>EDATE(Table1[[#This Row],[Order_Date]],6)</f>
        <v>46384</v>
      </c>
      <c r="K58">
        <f ca="1">YEAR(Table1[[#This Row],[Today]])</f>
        <v>2026</v>
      </c>
      <c r="L58">
        <v>57</v>
      </c>
      <c r="M58">
        <f ca="1">DAY(Table1[[#This Row],[Today]])</f>
        <v>11</v>
      </c>
      <c r="N58" s="19">
        <f t="shared" ca="1" si="6"/>
        <v>46245.589795370368</v>
      </c>
      <c r="O58" s="2">
        <f t="shared" ca="1" si="0"/>
        <v>46245</v>
      </c>
      <c r="P58" s="17">
        <f ca="1">Table1[[#This Row],[Today]]-Table1[[#This Row],[Order_Date]]</f>
        <v>44</v>
      </c>
      <c r="Q58" s="2">
        <v>45714</v>
      </c>
      <c r="R58" s="2">
        <v>46201</v>
      </c>
      <c r="S58" s="6">
        <f t="shared" si="4"/>
        <v>2026</v>
      </c>
      <c r="T58" s="7" t="str">
        <f t="shared" si="5"/>
        <v>June</v>
      </c>
      <c r="U58" s="2">
        <f>WORKDAY(Table1[[#This Row],[Order_Date]],5)</f>
        <v>46206</v>
      </c>
      <c r="V58" s="7" t="str">
        <f>CONCATENATE(Table1[[#This Row],[Customer_ID]],Table1[[#This Row],[Customer_Name]])</f>
        <v>C1117Vikas Yadav</v>
      </c>
      <c r="W58" t="s">
        <v>487</v>
      </c>
      <c r="X58" t="s">
        <v>208</v>
      </c>
      <c r="Y58">
        <f>COUNTA(Table1[[#This Row],[Customer_Name]])</f>
        <v>1</v>
      </c>
      <c r="Z58" t="str">
        <f>SUBSTITUTE(Table1[[#This Row],[Customer_Name]]," ","_")</f>
        <v>Vikas_Yadav</v>
      </c>
      <c r="AA58" s="10">
        <f>IFERROR(SEARCH("a",Table1[[#This Row],[Customer_Name]]),"N/A")</f>
        <v>4</v>
      </c>
      <c r="AB58">
        <f>SEARCH(" ",Table1[[#This Row],[Customer_Name]])</f>
        <v>6</v>
      </c>
      <c r="AC58" s="11">
        <f>IFERROR(FIND("a",Table1[[#This Row],[Customer_Name]]),"N/A")</f>
        <v>4</v>
      </c>
      <c r="AD58">
        <f>FIND(" ",Table1[[#This Row],[Customer_Name]])</f>
        <v>6</v>
      </c>
      <c r="AE58" t="str">
        <f>TRIM(Table1[[#This Row],[Customer_Name]])</f>
        <v>Vikas Yadav</v>
      </c>
      <c r="AF58">
        <f>LEN(Table1[[#This Row],[Trimmed]])</f>
        <v>11</v>
      </c>
      <c r="AG58">
        <f>MAX(Table1[Length])</f>
        <v>15</v>
      </c>
      <c r="AH58" t="str">
        <f>PROPER(Table1[[#This Row],[Customer_Name]])</f>
        <v>Vikas Yadav</v>
      </c>
      <c r="AI58" t="str">
        <f>LOWER(Table1[[#This Row],[Customer_Name]])</f>
        <v>vikas yadav</v>
      </c>
      <c r="AJ58" t="str">
        <f>UPPER(Table1[[#This Row],[Customer_Name]])</f>
        <v>VIKAS YADAV</v>
      </c>
      <c r="AK58" t="str">
        <f>CONCATENATE(Table1[[#This Row],[Customer_ID]],Table1[[#This Row],[Customer_Name]])</f>
        <v>C1117Vikas Yadav</v>
      </c>
      <c r="AL58" t="s">
        <v>209</v>
      </c>
      <c r="AM58" t="s">
        <v>210</v>
      </c>
      <c r="AN58" t="s">
        <v>211</v>
      </c>
      <c r="AO58" t="s">
        <v>209</v>
      </c>
      <c r="AP58" t="s">
        <v>210</v>
      </c>
      <c r="AQ58" t="s">
        <v>304</v>
      </c>
      <c r="AR58" t="str">
        <f>TRIM(Table1[[#This Row],[City]])</f>
        <v>Chennai</v>
      </c>
      <c r="AS58" t="str">
        <f>PROPER(Table1[[#This Row],[City]])</f>
        <v>Chennai</v>
      </c>
      <c r="AT58" t="s">
        <v>305</v>
      </c>
      <c r="AU58" t="str">
        <f>CONCATENATE(Table1[[#This Row],[City]],Table1[[#This Row],[State]])</f>
        <v>ChennaiTamil Nadu</v>
      </c>
      <c r="AV58" t="s">
        <v>168</v>
      </c>
      <c r="AW58" t="s">
        <v>370</v>
      </c>
      <c r="AX58" t="str">
        <f>REPLACE(Table1[[#This Row],[Product_ID]],1,1,"s")</f>
        <v>s108</v>
      </c>
      <c r="AY58" t="s">
        <v>529</v>
      </c>
      <c r="AZ58">
        <f>SEARCH("-",Table1[[#This Row],[Product ID]])</f>
        <v>2</v>
      </c>
      <c r="BA58">
        <f>FIND("-",Table1[[#This Row],[Product ID]])</f>
        <v>2</v>
      </c>
      <c r="BB58" t="str">
        <f>MID(Table1[[#This Row],[Product_ID]],2,3)</f>
        <v>108</v>
      </c>
      <c r="BC58" t="str">
        <f>RIGHT(Table1[[#This Row],[Product_ID]],3)</f>
        <v>108</v>
      </c>
      <c r="BD58" t="str">
        <f>LEFT(Table1[[#This Row],[Product_ID]],3)</f>
        <v>P10</v>
      </c>
      <c r="BE58" t="str">
        <f>_xlfn.XLOOKUP(Table1[[#This Row],[Product_ID]],AW:AW,BF:BF,,0)</f>
        <v>Hoodie</v>
      </c>
      <c r="BF58" t="s">
        <v>372</v>
      </c>
      <c r="BG58">
        <f>LEN(Table1[[#This Row],[Product_Name]])</f>
        <v>6</v>
      </c>
      <c r="BH58" t="s">
        <v>224</v>
      </c>
      <c r="BI58">
        <f t="shared" si="7"/>
        <v>75</v>
      </c>
      <c r="BJ58" t="str">
        <f>SUBSTITUTE(Table1[[#This Row],[Category]],"Electronics","ELECTRONICS")</f>
        <v>Fashion</v>
      </c>
      <c r="BN58" t="s">
        <v>373</v>
      </c>
      <c r="BS58" s="14">
        <v>3</v>
      </c>
      <c r="BT58" s="3">
        <v>1999</v>
      </c>
      <c r="BU58" s="4">
        <v>20</v>
      </c>
      <c r="BV58" s="4" t="str">
        <f>IF(AND(Table1[[#This Row],[Quantity]]&gt;=3,Table1[[#This Row],[Discount_%]]&gt;=15%),"Bulk Discount","no")</f>
        <v>Bulk Discount</v>
      </c>
      <c r="BW58" s="4" t="str">
        <f>IF(AND(Table1[[#This Row],[Quantity]]&gt;3,Table1[[#This Row],[Discount_%]]&gt;15%),"Bulk Customer","Normal")</f>
        <v>Normal</v>
      </c>
      <c r="BX58" t="s">
        <v>192</v>
      </c>
      <c r="BY58" t="s">
        <v>374</v>
      </c>
      <c r="CC58" t="str">
        <f>IF(OR(Table1[[#This Row],[Order_Status]]="Returned",Table1[[#This Row],[Order_Status]]="Cancelled"),"Attention Required","Not")</f>
        <v>Attention Required</v>
      </c>
      <c r="CD58" t="str">
        <f>IF(OR(Table1[[#This Row],[Order_Status]]="Returned",Table1[[#This Row],[Order_Status]]="Cancelled"),"Review","no")</f>
        <v>Review</v>
      </c>
      <c r="CE58" t="str">
        <f>SUBSTITUTE(Table1[[#This Row],[Order_Status]],"Delivered","Completed")</f>
        <v>Returned</v>
      </c>
      <c r="CF58" s="2">
        <v>46207</v>
      </c>
      <c r="CG58" s="17">
        <f>NETWORKDAYS(Table1[[#This Row],[Order_Date]],Table1[[#This Row],[Delivery_Date]])</f>
        <v>5</v>
      </c>
      <c r="CH58" s="17">
        <f>Table1[[#This Row],[Delivery_Date]]-Table1[[#This Row],[Order_Date]]</f>
        <v>6</v>
      </c>
      <c r="CI58" t="s">
        <v>375</v>
      </c>
      <c r="CJ58" t="str">
        <f>IF(Table1[[#This Row],[Rating]]&gt;=4,"Good","Needs Improvement")</f>
        <v>Good</v>
      </c>
      <c r="CK58" t="str">
        <f>IF(OR(Table1[[#This Row],[Rating]]&lt;=2,Table1[[#This Row],[Profit]]&lt;0),"Review","NO")</f>
        <v>NO</v>
      </c>
      <c r="CL58" t="str" cm="1">
        <f t="array" ref="CL58">_xlfn.IFS(Table1[[#This Row],[Rating]]&gt;2,"Poor",Table1[[#This Row],[Rating]]=3,"Average",Table1[[#This Row],[Rating]]=4,"Good",CP58=5,"Excellent")</f>
        <v>Poor</v>
      </c>
      <c r="CM58">
        <f>COUNT(Table1[[#This Row],[Rating]])</f>
        <v>1</v>
      </c>
      <c r="CN58">
        <f>COUNTBLANK(Table1[[#This Row],[Rating]])</f>
        <v>0</v>
      </c>
      <c r="CP58" t="s">
        <v>157</v>
      </c>
      <c r="CQ58" s="14">
        <v>5</v>
      </c>
      <c r="CR58" t="s">
        <v>139</v>
      </c>
      <c r="CS58" t="s">
        <v>140</v>
      </c>
      <c r="CU58" s="3">
        <v>4797.6000000000004</v>
      </c>
      <c r="CV58" s="3">
        <f>ROUND(Table1[[#This Row],[Sales_Amount]],0)</f>
        <v>4798</v>
      </c>
      <c r="CW58" s="3"/>
      <c r="CX58" s="3"/>
      <c r="CY58" s="3" t="b">
        <f>IF(AND(Table1[[#This Row],[Sales_Amount]]&gt;=10000,Table1[[#This Row],[Profit]]&gt;0),"Good Order")</f>
        <v>0</v>
      </c>
      <c r="CZ58" s="3" t="str">
        <f>IF(Table1[[#This Row],[Sales_Amount]]&gt;=10000,"High","Normal")</f>
        <v>Normal</v>
      </c>
      <c r="DA58" s="3">
        <v>1647.6</v>
      </c>
      <c r="DB58" s="3">
        <f>ROUND(Table1[[#This Row],[Profit]],0)</f>
        <v>1648</v>
      </c>
      <c r="DC58" s="3">
        <f>ABS(Table1[[#This Row],[Profit]])</f>
        <v>1647.6</v>
      </c>
      <c r="DD58" s="3"/>
      <c r="DE58" s="3"/>
      <c r="DF58" s="3"/>
      <c r="DG58" s="3" t="str">
        <f>IF(Table1[[#This Row],[Profit]]&gt;0,"Profit","Loss")</f>
        <v>Profit</v>
      </c>
      <c r="DH58" s="3" t="str">
        <f>IF(AND(Table1[[#This Row],[Sales_Amount]]&gt;=10000,Table1[[#This Row],[Profit]]&gt;0),"Priority","Normal")</f>
        <v>Normal</v>
      </c>
      <c r="DI58" s="3">
        <f t="shared" ca="1" si="2"/>
        <v>0.62328061846384264</v>
      </c>
      <c r="DJ58" s="3">
        <f t="shared" ca="1" si="3"/>
        <v>73</v>
      </c>
      <c r="DK58" s="3"/>
      <c r="DL58" s="3"/>
      <c r="DM58" s="3"/>
      <c r="DN58" s="3"/>
      <c r="DO58" s="3"/>
      <c r="DP58" s="3"/>
    </row>
    <row r="59" spans="1:120">
      <c r="A59" t="s">
        <v>530</v>
      </c>
      <c r="B59" t="str">
        <f>REPLACE(Table1[[#This Row],[Order_ID]],1,3,"YOO")</f>
        <v>YOO10058</v>
      </c>
      <c r="C59" t="str">
        <f>MID(Table1[[#This Row],[Order_ID]],4,4)</f>
        <v>1005</v>
      </c>
      <c r="D59" t="str">
        <f>LEFT(Table1[[#This Row],[Order_ID]],4)</f>
        <v>ORD1</v>
      </c>
      <c r="E59" t="str">
        <f>RIGHT(Table1[[#This Row],[Order_ID]],5)</f>
        <v>10058</v>
      </c>
      <c r="F59" t="s">
        <v>5</v>
      </c>
      <c r="G59">
        <v>10058</v>
      </c>
      <c r="H59" t="s">
        <v>531</v>
      </c>
      <c r="I59" s="2">
        <f>EDATE(Table1[[#This Row],[Order_Date]],3)</f>
        <v>46073</v>
      </c>
      <c r="J59" s="2">
        <f>EDATE(Table1[[#This Row],[Order_Date]],6)</f>
        <v>46162</v>
      </c>
      <c r="K59">
        <f ca="1">YEAR(Table1[[#This Row],[Today]])</f>
        <v>2026</v>
      </c>
      <c r="L59">
        <v>58</v>
      </c>
      <c r="M59">
        <f ca="1">DAY(Table1[[#This Row],[Today]])</f>
        <v>11</v>
      </c>
      <c r="N59" s="19">
        <f t="shared" ca="1" si="6"/>
        <v>46245.589795138891</v>
      </c>
      <c r="O59" s="2">
        <f t="shared" ca="1" si="0"/>
        <v>46245</v>
      </c>
      <c r="P59" s="17">
        <f ca="1">Table1[[#This Row],[Today]]-Table1[[#This Row],[Order_Date]]</f>
        <v>264</v>
      </c>
      <c r="Q59" s="2">
        <v>45715</v>
      </c>
      <c r="R59" s="2">
        <v>45981</v>
      </c>
      <c r="S59" s="6">
        <f t="shared" si="4"/>
        <v>2025</v>
      </c>
      <c r="T59" s="7" t="str">
        <f t="shared" si="5"/>
        <v>November</v>
      </c>
      <c r="U59" s="2">
        <f>WORKDAY(Table1[[#This Row],[Order_Date]],5)</f>
        <v>45988</v>
      </c>
      <c r="V59" s="7" t="str">
        <f>CONCATENATE(Table1[[#This Row],[Customer_ID]],Table1[[#This Row],[Customer_Name]])</f>
        <v>C1071Varun Tiwari</v>
      </c>
      <c r="W59" t="s">
        <v>532</v>
      </c>
      <c r="X59" t="s">
        <v>178</v>
      </c>
      <c r="Y59">
        <f>COUNTA(Table1[[#This Row],[Customer_Name]])</f>
        <v>1</v>
      </c>
      <c r="Z59" t="str">
        <f>SUBSTITUTE(Table1[[#This Row],[Customer_Name]]," ","_")</f>
        <v>Varun_Tiwari</v>
      </c>
      <c r="AA59" s="10">
        <f>IFERROR(SEARCH("a",Table1[[#This Row],[Customer_Name]]),"N/A")</f>
        <v>2</v>
      </c>
      <c r="AB59">
        <f>SEARCH(" ",Table1[[#This Row],[Customer_Name]])</f>
        <v>6</v>
      </c>
      <c r="AC59" s="11">
        <f>IFERROR(FIND("a",Table1[[#This Row],[Customer_Name]]),"N/A")</f>
        <v>2</v>
      </c>
      <c r="AD59">
        <f>FIND(" ",Table1[[#This Row],[Customer_Name]])</f>
        <v>6</v>
      </c>
      <c r="AE59" t="str">
        <f>TRIM(Table1[[#This Row],[Customer_Name]])</f>
        <v>Varun Tiwari</v>
      </c>
      <c r="AF59">
        <f>LEN(Table1[[#This Row],[Trimmed]])</f>
        <v>12</v>
      </c>
      <c r="AG59">
        <f>MAX(Table1[Length])</f>
        <v>15</v>
      </c>
      <c r="AH59" t="str">
        <f>PROPER(Table1[[#This Row],[Customer_Name]])</f>
        <v>Varun Tiwari</v>
      </c>
      <c r="AI59" t="str">
        <f>LOWER(Table1[[#This Row],[Customer_Name]])</f>
        <v>varun tiwari</v>
      </c>
      <c r="AJ59" t="str">
        <f>UPPER(Table1[[#This Row],[Customer_Name]])</f>
        <v>VARUN TIWARI</v>
      </c>
      <c r="AK59" t="str">
        <f>CONCATENATE(Table1[[#This Row],[Customer_ID]],Table1[[#This Row],[Customer_Name]])</f>
        <v>C1071Varun Tiwari</v>
      </c>
      <c r="AL59" t="s">
        <v>179</v>
      </c>
      <c r="AM59" t="s">
        <v>180</v>
      </c>
      <c r="AN59" t="s">
        <v>181</v>
      </c>
      <c r="AO59" t="s">
        <v>179</v>
      </c>
      <c r="AP59" t="s">
        <v>180</v>
      </c>
      <c r="AQ59" t="s">
        <v>148</v>
      </c>
      <c r="AR59" t="str">
        <f>TRIM(Table1[[#This Row],[City]])</f>
        <v>Jaipur</v>
      </c>
      <c r="AS59" t="str">
        <f>PROPER(Table1[[#This Row],[City]])</f>
        <v>Jaipur</v>
      </c>
      <c r="AT59" t="s">
        <v>149</v>
      </c>
      <c r="AU59" t="str">
        <f>CONCATENATE(Table1[[#This Row],[City]],Table1[[#This Row],[State]])</f>
        <v>JaipurRajasthan</v>
      </c>
      <c r="AV59" t="s">
        <v>150</v>
      </c>
      <c r="AW59" t="s">
        <v>169</v>
      </c>
      <c r="AX59" t="str">
        <f>REPLACE(Table1[[#This Row],[Product_ID]],1,1,"s")</f>
        <v>s112</v>
      </c>
      <c r="AY59" t="s">
        <v>533</v>
      </c>
      <c r="AZ59">
        <f>SEARCH("-",Table1[[#This Row],[Product ID]])</f>
        <v>2</v>
      </c>
      <c r="BA59">
        <f>FIND("-",Table1[[#This Row],[Product ID]])</f>
        <v>2</v>
      </c>
      <c r="BB59" t="str">
        <f>MID(Table1[[#This Row],[Product_ID]],2,3)</f>
        <v>112</v>
      </c>
      <c r="BC59" t="str">
        <f>RIGHT(Table1[[#This Row],[Product_ID]],3)</f>
        <v>112</v>
      </c>
      <c r="BD59" t="str">
        <f>LEFT(Table1[[#This Row],[Product_ID]],3)</f>
        <v>P11</v>
      </c>
      <c r="BE59" t="str">
        <f>_xlfn.XLOOKUP(Table1[[#This Row],[Product_ID]],AW:AW,BF:BF,,0)</f>
        <v>Air Fryer</v>
      </c>
      <c r="BF59" t="s">
        <v>171</v>
      </c>
      <c r="BG59">
        <f>LEN(Table1[[#This Row],[Product_Name]])</f>
        <v>9</v>
      </c>
      <c r="BH59" t="s">
        <v>133</v>
      </c>
      <c r="BI59">
        <f t="shared" si="7"/>
        <v>75</v>
      </c>
      <c r="BJ59" t="str">
        <f>SUBSTITUTE(Table1[[#This Row],[Category]],"Electronics","ELECTRONICS")</f>
        <v>Home</v>
      </c>
      <c r="BN59" t="s">
        <v>134</v>
      </c>
      <c r="BS59" s="14">
        <v>1</v>
      </c>
      <c r="BT59" s="3">
        <v>6499</v>
      </c>
      <c r="BU59" s="4">
        <v>5</v>
      </c>
      <c r="BV59" s="4" t="str">
        <f>IF(AND(Table1[[#This Row],[Quantity]]&gt;=3,Table1[[#This Row],[Discount_%]]&gt;=15%),"Bulk Discount","no")</f>
        <v>no</v>
      </c>
      <c r="BW59" s="4" t="str">
        <f>IF(AND(Table1[[#This Row],[Quantity]]&gt;3,Table1[[#This Row],[Discount_%]]&gt;15%),"Bulk Customer","Normal")</f>
        <v>Normal</v>
      </c>
      <c r="BX59" t="s">
        <v>135</v>
      </c>
      <c r="BY59" t="s">
        <v>136</v>
      </c>
      <c r="CC59" t="str">
        <f>IF(OR(Table1[[#This Row],[Order_Status]]="Returned",Table1[[#This Row],[Order_Status]]="Cancelled"),"Attention Required","Not")</f>
        <v>Not</v>
      </c>
      <c r="CD59" t="str">
        <f>IF(OR(Table1[[#This Row],[Order_Status]]="Returned",Table1[[#This Row],[Order_Status]]="Cancelled"),"Review","no")</f>
        <v>no</v>
      </c>
      <c r="CE59" t="str">
        <f>SUBSTITUTE(Table1[[#This Row],[Order_Status]],"Delivered","Completed")</f>
        <v>Completed</v>
      </c>
      <c r="CF59" s="2">
        <v>45985</v>
      </c>
      <c r="CG59" s="17">
        <f>NETWORKDAYS(Table1[[#This Row],[Order_Date]],Table1[[#This Row],[Delivery_Date]])</f>
        <v>3</v>
      </c>
      <c r="CH59" s="17">
        <f>Table1[[#This Row],[Delivery_Date]]-Table1[[#This Row],[Order_Date]]</f>
        <v>4</v>
      </c>
      <c r="CI59" t="s">
        <v>137</v>
      </c>
      <c r="CJ59" t="str">
        <f>IF(Table1[[#This Row],[Rating]]&gt;=4,"Good","Needs Improvement")</f>
        <v>Needs Improvement</v>
      </c>
      <c r="CK59" t="str">
        <f>IF(OR(Table1[[#This Row],[Rating]]&lt;=2,Table1[[#This Row],[Profit]]&lt;0),"Review","NO")</f>
        <v>Review</v>
      </c>
      <c r="CL59" t="e" cm="1">
        <f t="array" ref="CL59">_xlfn.IFS(Table1[[#This Row],[Rating]]&gt;2,"Poor",Table1[[#This Row],[Rating]]=3,"Average",Table1[[#This Row],[Rating]]=4,"Good",CP59=5,"Excellent")</f>
        <v>#N/A</v>
      </c>
      <c r="CM59">
        <f>COUNT(Table1[[#This Row],[Rating]])</f>
        <v>0</v>
      </c>
      <c r="CN59">
        <f>COUNTBLANK(Table1[[#This Row],[Rating]])</f>
        <v>1</v>
      </c>
      <c r="CP59" t="s">
        <v>266</v>
      </c>
      <c r="CR59" t="s">
        <v>173</v>
      </c>
      <c r="CS59" t="s">
        <v>140</v>
      </c>
      <c r="CU59" s="3">
        <v>6174.05</v>
      </c>
      <c r="CV59" s="3">
        <f>ROUND(Table1[[#This Row],[Sales_Amount]],0)</f>
        <v>6174</v>
      </c>
      <c r="CW59" s="3"/>
      <c r="CX59" s="3"/>
      <c r="CY59" s="3" t="b">
        <f>IF(AND(Table1[[#This Row],[Sales_Amount]]&gt;=10000,Table1[[#This Row],[Profit]]&gt;0),"Good Order")</f>
        <v>0</v>
      </c>
      <c r="CZ59" s="3" t="str">
        <f>IF(Table1[[#This Row],[Sales_Amount]]&gt;=10000,"High","Normal")</f>
        <v>Normal</v>
      </c>
      <c r="DA59" s="3">
        <v>1874.05</v>
      </c>
      <c r="DB59" s="3">
        <f>ROUND(Table1[[#This Row],[Profit]],0)</f>
        <v>1874</v>
      </c>
      <c r="DC59" s="3">
        <f>ABS(Table1[[#This Row],[Profit]])</f>
        <v>1874.05</v>
      </c>
      <c r="DD59" s="3"/>
      <c r="DE59" s="3"/>
      <c r="DF59" s="3"/>
      <c r="DG59" s="3" t="str">
        <f>IF(Table1[[#This Row],[Profit]]&gt;0,"Profit","Loss")</f>
        <v>Profit</v>
      </c>
      <c r="DH59" s="3" t="str">
        <f>IF(AND(Table1[[#This Row],[Sales_Amount]]&gt;=10000,Table1[[#This Row],[Profit]]&gt;0),"Priority","Normal")</f>
        <v>Normal</v>
      </c>
      <c r="DI59" s="3">
        <f t="shared" ca="1" si="2"/>
        <v>0.85681333113846725</v>
      </c>
      <c r="DJ59" s="3">
        <f t="shared" ca="1" si="3"/>
        <v>48</v>
      </c>
      <c r="DK59" s="3"/>
      <c r="DL59" s="3"/>
      <c r="DM59" s="3"/>
      <c r="DN59" s="3"/>
      <c r="DO59" s="3"/>
      <c r="DP59" s="3"/>
    </row>
    <row r="60" spans="1:120">
      <c r="A60" t="s">
        <v>534</v>
      </c>
      <c r="B60" t="str">
        <f>REPLACE(Table1[[#This Row],[Order_ID]],1,3,"YOO")</f>
        <v>YOO10059</v>
      </c>
      <c r="C60" t="str">
        <f>MID(Table1[[#This Row],[Order_ID]],4,4)</f>
        <v>1005</v>
      </c>
      <c r="D60" t="str">
        <f>LEFT(Table1[[#This Row],[Order_ID]],4)</f>
        <v>ORD1</v>
      </c>
      <c r="E60" t="str">
        <f>RIGHT(Table1[[#This Row],[Order_ID]],5)</f>
        <v>10059</v>
      </c>
      <c r="F60" t="s">
        <v>5</v>
      </c>
      <c r="G60">
        <v>10059</v>
      </c>
      <c r="H60" t="s">
        <v>535</v>
      </c>
      <c r="I60" s="2">
        <f>EDATE(Table1[[#This Row],[Order_Date]],3)</f>
        <v>46053</v>
      </c>
      <c r="J60" s="2">
        <f>EDATE(Table1[[#This Row],[Order_Date]],6)</f>
        <v>46142</v>
      </c>
      <c r="K60">
        <f ca="1">YEAR(Table1[[#This Row],[Today]])</f>
        <v>2026</v>
      </c>
      <c r="L60">
        <v>59</v>
      </c>
      <c r="M60">
        <f ca="1">DAY(Table1[[#This Row],[Today]])</f>
        <v>11</v>
      </c>
      <c r="N60" s="19">
        <f t="shared" ca="1" si="6"/>
        <v>46245.589795370368</v>
      </c>
      <c r="O60" s="2">
        <f t="shared" ca="1" si="0"/>
        <v>46245</v>
      </c>
      <c r="P60" s="17">
        <f ca="1">Table1[[#This Row],[Today]]-Table1[[#This Row],[Order_Date]]</f>
        <v>284</v>
      </c>
      <c r="Q60" s="2">
        <v>45716</v>
      </c>
      <c r="R60" s="2">
        <v>45961</v>
      </c>
      <c r="S60" s="6">
        <f t="shared" si="4"/>
        <v>2025</v>
      </c>
      <c r="T60" s="7" t="str">
        <f t="shared" si="5"/>
        <v>October</v>
      </c>
      <c r="U60" s="2">
        <f>WORKDAY(Table1[[#This Row],[Order_Date]],5)</f>
        <v>45968</v>
      </c>
      <c r="V60" s="7" t="str">
        <f>CONCATENATE(Table1[[#This Row],[Customer_ID]],Table1[[#This Row],[Customer_Name]])</f>
        <v>C1137Rohan Mehta</v>
      </c>
      <c r="W60" t="s">
        <v>536</v>
      </c>
      <c r="X60" t="s">
        <v>388</v>
      </c>
      <c r="Y60">
        <f>COUNTA(Table1[[#This Row],[Customer_Name]])</f>
        <v>1</v>
      </c>
      <c r="Z60" t="str">
        <f>SUBSTITUTE(Table1[[#This Row],[Customer_Name]]," ","_")</f>
        <v>Rohan_Mehta</v>
      </c>
      <c r="AA60" s="10">
        <f>IFERROR(SEARCH("a",Table1[[#This Row],[Customer_Name]]),"N/A")</f>
        <v>4</v>
      </c>
      <c r="AB60">
        <f>SEARCH(" ",Table1[[#This Row],[Customer_Name]])</f>
        <v>6</v>
      </c>
      <c r="AC60" s="11">
        <f>IFERROR(FIND("a",Table1[[#This Row],[Customer_Name]]),"N/A")</f>
        <v>4</v>
      </c>
      <c r="AD60">
        <f>FIND(" ",Table1[[#This Row],[Customer_Name]])</f>
        <v>6</v>
      </c>
      <c r="AE60" t="str">
        <f>TRIM(Table1[[#This Row],[Customer_Name]])</f>
        <v>Rohan Mehta</v>
      </c>
      <c r="AF60">
        <f>LEN(Table1[[#This Row],[Trimmed]])</f>
        <v>11</v>
      </c>
      <c r="AG60">
        <f>MAX(Table1[Length])</f>
        <v>15</v>
      </c>
      <c r="AH60" t="str">
        <f>PROPER(Table1[[#This Row],[Customer_Name]])</f>
        <v>Rohan Mehta</v>
      </c>
      <c r="AI60" t="str">
        <f>LOWER(Table1[[#This Row],[Customer_Name]])</f>
        <v>rohan mehta</v>
      </c>
      <c r="AJ60" t="str">
        <f>UPPER(Table1[[#This Row],[Customer_Name]])</f>
        <v>ROHAN MEHTA</v>
      </c>
      <c r="AK60" t="str">
        <f>CONCATENATE(Table1[[#This Row],[Customer_ID]],Table1[[#This Row],[Customer_Name]])</f>
        <v>C1137Rohan Mehta</v>
      </c>
      <c r="AL60" t="s">
        <v>389</v>
      </c>
      <c r="AM60" t="s">
        <v>390</v>
      </c>
      <c r="AN60" t="s">
        <v>391</v>
      </c>
      <c r="AO60" t="s">
        <v>389</v>
      </c>
      <c r="AP60" t="s">
        <v>390</v>
      </c>
      <c r="AQ60" t="s">
        <v>148</v>
      </c>
      <c r="AR60" t="str">
        <f>TRIM(Table1[[#This Row],[City]])</f>
        <v>Jaipur</v>
      </c>
      <c r="AS60" t="str">
        <f>PROPER(Table1[[#This Row],[City]])</f>
        <v>Jaipur</v>
      </c>
      <c r="AT60" t="s">
        <v>149</v>
      </c>
      <c r="AU60" t="str">
        <f>CONCATENATE(Table1[[#This Row],[City]],Table1[[#This Row],[State]])</f>
        <v>JaipurRajasthan</v>
      </c>
      <c r="AV60" t="s">
        <v>150</v>
      </c>
      <c r="AW60" t="s">
        <v>261</v>
      </c>
      <c r="AX60" t="str">
        <f>REPLACE(Table1[[#This Row],[Product_ID]],1,1,"s")</f>
        <v>s114</v>
      </c>
      <c r="AY60" t="s">
        <v>537</v>
      </c>
      <c r="AZ60">
        <f>SEARCH("-",Table1[[#This Row],[Product ID]])</f>
        <v>2</v>
      </c>
      <c r="BA60">
        <f>FIND("-",Table1[[#This Row],[Product ID]])</f>
        <v>2</v>
      </c>
      <c r="BB60" t="str">
        <f>MID(Table1[[#This Row],[Product_ID]],2,3)</f>
        <v>114</v>
      </c>
      <c r="BC60" t="str">
        <f>RIGHT(Table1[[#This Row],[Product_ID]],3)</f>
        <v>114</v>
      </c>
      <c r="BD60" t="str">
        <f>LEFT(Table1[[#This Row],[Product_ID]],3)</f>
        <v>P11</v>
      </c>
      <c r="BE60" t="str">
        <f>_xlfn.XLOOKUP(Table1[[#This Row],[Product_ID]],AW:AW,BF:BF,,0)</f>
        <v>Yoga Mat</v>
      </c>
      <c r="BF60" t="s">
        <v>263</v>
      </c>
      <c r="BG60">
        <f>LEN(Table1[[#This Row],[Product_Name]])</f>
        <v>8</v>
      </c>
      <c r="BH60" t="s">
        <v>264</v>
      </c>
      <c r="BI60">
        <f t="shared" si="7"/>
        <v>75</v>
      </c>
      <c r="BJ60" t="str">
        <f>SUBSTITUTE(Table1[[#This Row],[Category]],"Electronics","ELECTRONICS")</f>
        <v>Sports</v>
      </c>
      <c r="BN60" t="s">
        <v>265</v>
      </c>
      <c r="BS60" s="14">
        <v>2</v>
      </c>
      <c r="BT60" s="3">
        <v>999</v>
      </c>
      <c r="BU60" s="4">
        <v>15</v>
      </c>
      <c r="BV60" s="4" t="str">
        <f>IF(AND(Table1[[#This Row],[Quantity]]&gt;=3,Table1[[#This Row],[Discount_%]]&gt;=15%),"Bulk Discount","no")</f>
        <v>no</v>
      </c>
      <c r="BW60" s="4" t="str">
        <f>IF(AND(Table1[[#This Row],[Quantity]]&gt;3,Table1[[#This Row],[Discount_%]]&gt;15%),"Bulk Customer","Normal")</f>
        <v>Normal</v>
      </c>
      <c r="BX60" t="s">
        <v>192</v>
      </c>
      <c r="BY60" t="s">
        <v>136</v>
      </c>
      <c r="CC60" t="str">
        <f>IF(OR(Table1[[#This Row],[Order_Status]]="Returned",Table1[[#This Row],[Order_Status]]="Cancelled"),"Attention Required","Not")</f>
        <v>Not</v>
      </c>
      <c r="CD60" t="str">
        <f>IF(OR(Table1[[#This Row],[Order_Status]]="Returned",Table1[[#This Row],[Order_Status]]="Cancelled"),"Review","no")</f>
        <v>no</v>
      </c>
      <c r="CE60" t="str">
        <f>SUBSTITUTE(Table1[[#This Row],[Order_Status]],"Delivered","Completed")</f>
        <v>Completed</v>
      </c>
      <c r="CF60" s="2">
        <v>45966</v>
      </c>
      <c r="CG60" s="17">
        <f>NETWORKDAYS(Table1[[#This Row],[Order_Date]],Table1[[#This Row],[Delivery_Date]])</f>
        <v>4</v>
      </c>
      <c r="CH60" s="17">
        <f>Table1[[#This Row],[Delivery_Date]]-Table1[[#This Row],[Order_Date]]</f>
        <v>5</v>
      </c>
      <c r="CI60" t="s">
        <v>137</v>
      </c>
      <c r="CJ60" t="str">
        <f>IF(Table1[[#This Row],[Rating]]&gt;=4,"Good","Needs Improvement")</f>
        <v>Needs Improvement</v>
      </c>
      <c r="CK60" t="str">
        <f>IF(OR(Table1[[#This Row],[Rating]]&lt;=2,Table1[[#This Row],[Profit]]&lt;0),"Review","NO")</f>
        <v>Review</v>
      </c>
      <c r="CL60" t="e" cm="1">
        <f t="array" ref="CL60">_xlfn.IFS(Table1[[#This Row],[Rating]]&gt;2,"Poor",Table1[[#This Row],[Rating]]=3,"Average",Table1[[#This Row],[Rating]]=4,"Good",CP60=5,"Excellent")</f>
        <v>#N/A</v>
      </c>
      <c r="CM60">
        <f>COUNT(Table1[[#This Row],[Rating]])</f>
        <v>1</v>
      </c>
      <c r="CN60">
        <f>COUNTBLANK(Table1[[#This Row],[Rating]])</f>
        <v>0</v>
      </c>
      <c r="CP60" t="s">
        <v>331</v>
      </c>
      <c r="CQ60" s="14">
        <v>1</v>
      </c>
      <c r="CR60" t="s">
        <v>139</v>
      </c>
      <c r="CS60" t="s">
        <v>174</v>
      </c>
      <c r="CU60" s="3">
        <v>1698.3</v>
      </c>
      <c r="CV60" s="3">
        <f>ROUND(Table1[[#This Row],[Sales_Amount]],0)</f>
        <v>1698</v>
      </c>
      <c r="CW60" s="3"/>
      <c r="CX60" s="3"/>
      <c r="CY60" s="3" t="b">
        <f>IF(AND(Table1[[#This Row],[Sales_Amount]]&gt;=10000,Table1[[#This Row],[Profit]]&gt;0),"Good Order")</f>
        <v>0</v>
      </c>
      <c r="CZ60" s="3" t="str">
        <f>IF(Table1[[#This Row],[Sales_Amount]]&gt;=10000,"High","Normal")</f>
        <v>Normal</v>
      </c>
      <c r="DA60" s="3">
        <v>798.3</v>
      </c>
      <c r="DB60" s="3">
        <f>ROUND(Table1[[#This Row],[Profit]],0)</f>
        <v>798</v>
      </c>
      <c r="DC60" s="3">
        <f>ABS(Table1[[#This Row],[Profit]])</f>
        <v>798.3</v>
      </c>
      <c r="DD60" s="3"/>
      <c r="DE60" s="3"/>
      <c r="DF60" s="3"/>
      <c r="DG60" s="3" t="str">
        <f>IF(Table1[[#This Row],[Profit]]&gt;0,"Profit","Loss")</f>
        <v>Profit</v>
      </c>
      <c r="DH60" s="3" t="str">
        <f>IF(AND(Table1[[#This Row],[Sales_Amount]]&gt;=10000,Table1[[#This Row],[Profit]]&gt;0),"Priority","Normal")</f>
        <v>Normal</v>
      </c>
      <c r="DI60" s="3">
        <f t="shared" ca="1" si="2"/>
        <v>0.74774897887967628</v>
      </c>
      <c r="DJ60" s="3">
        <f t="shared" ca="1" si="3"/>
        <v>18</v>
      </c>
      <c r="DK60" s="3"/>
      <c r="DL60" s="3"/>
      <c r="DM60" s="3"/>
      <c r="DN60" s="3"/>
      <c r="DO60" s="3"/>
      <c r="DP60" s="3"/>
    </row>
    <row r="61" spans="1:120">
      <c r="A61" t="s">
        <v>538</v>
      </c>
      <c r="B61" t="str">
        <f>REPLACE(Table1[[#This Row],[Order_ID]],1,3,"YOO")</f>
        <v>YOO10060</v>
      </c>
      <c r="C61" t="str">
        <f>MID(Table1[[#This Row],[Order_ID]],4,4)</f>
        <v>1006</v>
      </c>
      <c r="D61" t="str">
        <f>LEFT(Table1[[#This Row],[Order_ID]],4)</f>
        <v>ORD1</v>
      </c>
      <c r="E61" t="str">
        <f>RIGHT(Table1[[#This Row],[Order_ID]],5)</f>
        <v>10060</v>
      </c>
      <c r="F61" t="s">
        <v>5</v>
      </c>
      <c r="G61">
        <v>10060</v>
      </c>
      <c r="H61" t="s">
        <v>539</v>
      </c>
      <c r="I61" s="2">
        <f>EDATE(Table1[[#This Row],[Order_Date]],3)</f>
        <v>45879</v>
      </c>
      <c r="J61" s="2">
        <f>EDATE(Table1[[#This Row],[Order_Date]],6)</f>
        <v>45971</v>
      </c>
      <c r="K61">
        <f ca="1">YEAR(Table1[[#This Row],[Today]])</f>
        <v>2026</v>
      </c>
      <c r="L61">
        <v>60</v>
      </c>
      <c r="M61">
        <f ca="1">DAY(Table1[[#This Row],[Today]])</f>
        <v>11</v>
      </c>
      <c r="N61" s="19">
        <f t="shared" ca="1" si="6"/>
        <v>46245.589795370368</v>
      </c>
      <c r="O61" s="2">
        <f t="shared" ca="1" si="0"/>
        <v>46245</v>
      </c>
      <c r="P61" s="17">
        <f ca="1">Table1[[#This Row],[Today]]-Table1[[#This Row],[Order_Date]]</f>
        <v>458</v>
      </c>
      <c r="Q61" s="2">
        <v>45717</v>
      </c>
      <c r="R61" s="2">
        <v>45787</v>
      </c>
      <c r="S61" s="6">
        <f t="shared" si="4"/>
        <v>2025</v>
      </c>
      <c r="T61" s="7" t="str">
        <f t="shared" si="5"/>
        <v>May</v>
      </c>
      <c r="U61" s="2">
        <f>WORKDAY(Table1[[#This Row],[Order_Date]],5)</f>
        <v>45793</v>
      </c>
      <c r="V61" s="7" t="str">
        <f>CONCATENATE(Table1[[#This Row],[Customer_ID]],Table1[[#This Row],[Customer_Name]])</f>
        <v>C1121Kavya Shah</v>
      </c>
      <c r="W61" t="s">
        <v>540</v>
      </c>
      <c r="X61" t="s">
        <v>271</v>
      </c>
      <c r="Y61">
        <f>COUNTA(Table1[[#This Row],[Customer_Name]])</f>
        <v>1</v>
      </c>
      <c r="Z61" t="str">
        <f>SUBSTITUTE(Table1[[#This Row],[Customer_Name]]," ","_")</f>
        <v>Kavya_Shah</v>
      </c>
      <c r="AA61" s="10">
        <f>IFERROR(SEARCH("a",Table1[[#This Row],[Customer_Name]]),"N/A")</f>
        <v>2</v>
      </c>
      <c r="AB61">
        <f>SEARCH(" ",Table1[[#This Row],[Customer_Name]])</f>
        <v>6</v>
      </c>
      <c r="AC61" s="11">
        <f>IFERROR(FIND("a",Table1[[#This Row],[Customer_Name]]),"N/A")</f>
        <v>2</v>
      </c>
      <c r="AD61">
        <f>FIND(" ",Table1[[#This Row],[Customer_Name]])</f>
        <v>6</v>
      </c>
      <c r="AE61" t="str">
        <f>TRIM(Table1[[#This Row],[Customer_Name]])</f>
        <v>Kavya Shah</v>
      </c>
      <c r="AF61">
        <f>LEN(Table1[[#This Row],[Trimmed]])</f>
        <v>10</v>
      </c>
      <c r="AG61">
        <f>MAX(Table1[Length])</f>
        <v>15</v>
      </c>
      <c r="AH61" t="str">
        <f>PROPER(Table1[[#This Row],[Customer_Name]])</f>
        <v>Kavya Shah</v>
      </c>
      <c r="AI61" t="str">
        <f>LOWER(Table1[[#This Row],[Customer_Name]])</f>
        <v>kavya shah</v>
      </c>
      <c r="AJ61" t="str">
        <f>UPPER(Table1[[#This Row],[Customer_Name]])</f>
        <v>KAVYA SHAH</v>
      </c>
      <c r="AK61" t="str">
        <f>CONCATENATE(Table1[[#This Row],[Customer_ID]],Table1[[#This Row],[Customer_Name]])</f>
        <v>C1121Kavya Shah</v>
      </c>
      <c r="AL61" t="s">
        <v>272</v>
      </c>
      <c r="AM61" t="s">
        <v>273</v>
      </c>
      <c r="AN61" t="s">
        <v>274</v>
      </c>
      <c r="AO61" t="s">
        <v>272</v>
      </c>
      <c r="AP61" t="s">
        <v>273</v>
      </c>
      <c r="AQ61" t="s">
        <v>423</v>
      </c>
      <c r="AR61" t="str">
        <f>TRIM(Table1[[#This Row],[City]])</f>
        <v>Ahmedabad</v>
      </c>
      <c r="AS61" t="str">
        <f>PROPER(Table1[[#This Row],[City]])</f>
        <v>Ahmedabad</v>
      </c>
      <c r="AT61" t="s">
        <v>424</v>
      </c>
      <c r="AU61" t="str">
        <f>CONCATENATE(Table1[[#This Row],[City]],Table1[[#This Row],[State]])</f>
        <v>AhmedabadGujarat</v>
      </c>
      <c r="AV61" t="s">
        <v>129</v>
      </c>
      <c r="AW61" t="s">
        <v>183</v>
      </c>
      <c r="AX61" t="str">
        <f>REPLACE(Table1[[#This Row],[Product_ID]],1,1,"s")</f>
        <v>s105</v>
      </c>
      <c r="AY61" t="s">
        <v>541</v>
      </c>
      <c r="AZ61">
        <f>SEARCH("-",Table1[[#This Row],[Product ID]])</f>
        <v>2</v>
      </c>
      <c r="BA61">
        <f>FIND("-",Table1[[#This Row],[Product ID]])</f>
        <v>2</v>
      </c>
      <c r="BB61" t="str">
        <f>MID(Table1[[#This Row],[Product_ID]],2,3)</f>
        <v>105</v>
      </c>
      <c r="BC61" t="str">
        <f>RIGHT(Table1[[#This Row],[Product_ID]],3)</f>
        <v>105</v>
      </c>
      <c r="BD61" t="str">
        <f>LEFT(Table1[[#This Row],[Product_ID]],3)</f>
        <v>P10</v>
      </c>
      <c r="BE61" t="str">
        <f>_xlfn.XLOOKUP(Table1[[#This Row],[Product_ID]],AW:AW,BF:BF,,0)</f>
        <v>Bluetooth Speaker</v>
      </c>
      <c r="BF61" t="s">
        <v>185</v>
      </c>
      <c r="BG61">
        <f>LEN(Table1[[#This Row],[Product_Name]])</f>
        <v>17</v>
      </c>
      <c r="BH61" t="s">
        <v>154</v>
      </c>
      <c r="BI61">
        <f t="shared" si="7"/>
        <v>75</v>
      </c>
      <c r="BJ61" t="str">
        <f>SUBSTITUTE(Table1[[#This Row],[Category]],"Electronics","ELECTRONICS")</f>
        <v>ELECTRONICS</v>
      </c>
      <c r="BN61" t="s">
        <v>186</v>
      </c>
      <c r="BS61" s="14">
        <v>4</v>
      </c>
      <c r="BT61" s="3">
        <v>2999</v>
      </c>
      <c r="BU61" s="4">
        <v>0</v>
      </c>
      <c r="BV61" s="4" t="str">
        <f>IF(AND(Table1[[#This Row],[Quantity]]&gt;=3,Table1[[#This Row],[Discount_%]]&gt;=15%),"Bulk Discount","no")</f>
        <v>no</v>
      </c>
      <c r="BW61" s="4" t="str">
        <f>IF(AND(Table1[[#This Row],[Quantity]]&gt;3,Table1[[#This Row],[Discount_%]]&gt;15%),"Bulk Customer","Normal")</f>
        <v>Normal</v>
      </c>
      <c r="BX61" t="s">
        <v>330</v>
      </c>
      <c r="BY61" t="s">
        <v>193</v>
      </c>
      <c r="CC61" t="str">
        <f>IF(OR(Table1[[#This Row],[Order_Status]]="Returned",Table1[[#This Row],[Order_Status]]="Cancelled"),"Attention Required","Not")</f>
        <v>Not</v>
      </c>
      <c r="CD61" t="str">
        <f>IF(OR(Table1[[#This Row],[Order_Status]]="Returned",Table1[[#This Row],[Order_Status]]="Cancelled"),"Review","no")</f>
        <v>no</v>
      </c>
      <c r="CE61" t="str">
        <f>SUBSTITUTE(Table1[[#This Row],[Order_Status]],"Delivered","Completed")</f>
        <v>Shipped</v>
      </c>
      <c r="CF61" s="2">
        <v>45788</v>
      </c>
      <c r="CG61" s="17">
        <f>NETWORKDAYS(Table1[[#This Row],[Order_Date]],Table1[[#This Row],[Delivery_Date]])</f>
        <v>0</v>
      </c>
      <c r="CH61" s="17">
        <f>Table1[[#This Row],[Delivery_Date]]-Table1[[#This Row],[Order_Date]]</f>
        <v>1</v>
      </c>
      <c r="CI61" t="s">
        <v>137</v>
      </c>
      <c r="CJ61" t="str">
        <f>IF(Table1[[#This Row],[Rating]]&gt;=4,"Good","Needs Improvement")</f>
        <v>Good</v>
      </c>
      <c r="CK61" t="str">
        <f>IF(OR(Table1[[#This Row],[Rating]]&lt;=2,Table1[[#This Row],[Profit]]&lt;0),"Review","NO")</f>
        <v>NO</v>
      </c>
      <c r="CL61" t="str" cm="1">
        <f t="array" ref="CL61">_xlfn.IFS(Table1[[#This Row],[Rating]]&gt;2,"Poor",Table1[[#This Row],[Rating]]=3,"Average",Table1[[#This Row],[Rating]]=4,"Good",CP61=5,"Excellent")</f>
        <v>Poor</v>
      </c>
      <c r="CM61">
        <f>COUNT(Table1[[#This Row],[Rating]])</f>
        <v>1</v>
      </c>
      <c r="CN61">
        <f>COUNTBLANK(Table1[[#This Row],[Rating]])</f>
        <v>0</v>
      </c>
      <c r="CP61" t="s">
        <v>157</v>
      </c>
      <c r="CQ61" s="14">
        <v>4</v>
      </c>
      <c r="CR61" t="s">
        <v>139</v>
      </c>
      <c r="CS61" t="s">
        <v>140</v>
      </c>
      <c r="CU61" s="3">
        <v>11996</v>
      </c>
      <c r="CV61" s="3">
        <f>ROUND(Table1[[#This Row],[Sales_Amount]],0)</f>
        <v>11996</v>
      </c>
      <c r="CW61" s="3"/>
      <c r="CX61" s="3"/>
      <c r="CY61" s="3" t="str">
        <f>IF(AND(Table1[[#This Row],[Sales_Amount]]&gt;=10000,Table1[[#This Row],[Profit]]&gt;0),"Good Order")</f>
        <v>Good Order</v>
      </c>
      <c r="CZ61" s="3" t="str">
        <f>IF(Table1[[#This Row],[Sales_Amount]]&gt;=10000,"High","Normal")</f>
        <v>High</v>
      </c>
      <c r="DA61" s="3">
        <v>4996</v>
      </c>
      <c r="DB61" s="3">
        <f>ROUND(Table1[[#This Row],[Profit]],0)</f>
        <v>4996</v>
      </c>
      <c r="DC61" s="3">
        <f>ABS(Table1[[#This Row],[Profit]])</f>
        <v>4996</v>
      </c>
      <c r="DD61" s="3"/>
      <c r="DE61" s="3"/>
      <c r="DF61" s="3"/>
      <c r="DG61" s="3" t="str">
        <f>IF(Table1[[#This Row],[Profit]]&gt;0,"Profit","Loss")</f>
        <v>Profit</v>
      </c>
      <c r="DH61" s="3" t="str">
        <f>IF(AND(Table1[[#This Row],[Sales_Amount]]&gt;=10000,Table1[[#This Row],[Profit]]&gt;0),"Priority","Normal")</f>
        <v>Priority</v>
      </c>
      <c r="DI61" s="3">
        <f t="shared" ca="1" si="2"/>
        <v>6.8699963728326319E-2</v>
      </c>
      <c r="DJ61" s="3">
        <f t="shared" ca="1" si="3"/>
        <v>38</v>
      </c>
      <c r="DK61" s="3"/>
      <c r="DL61" s="3"/>
      <c r="DM61" s="3"/>
      <c r="DN61" s="3"/>
      <c r="DO61" s="3"/>
      <c r="DP61" s="3"/>
    </row>
    <row r="62" spans="1:120">
      <c r="A62" t="s">
        <v>542</v>
      </c>
      <c r="B62" t="str">
        <f>REPLACE(Table1[[#This Row],[Order_ID]],1,3,"YOO")</f>
        <v>YOO10061</v>
      </c>
      <c r="C62" t="str">
        <f>MID(Table1[[#This Row],[Order_ID]],4,4)</f>
        <v>1006</v>
      </c>
      <c r="D62" t="str">
        <f>LEFT(Table1[[#This Row],[Order_ID]],4)</f>
        <v>ORD1</v>
      </c>
      <c r="E62" t="str">
        <f>RIGHT(Table1[[#This Row],[Order_ID]],5)</f>
        <v>10061</v>
      </c>
      <c r="F62" t="s">
        <v>5</v>
      </c>
      <c r="G62">
        <v>10061</v>
      </c>
      <c r="H62" t="s">
        <v>543</v>
      </c>
      <c r="I62" s="2">
        <f>EDATE(Table1[[#This Row],[Order_Date]],3)</f>
        <v>45865</v>
      </c>
      <c r="J62" s="2">
        <f>EDATE(Table1[[#This Row],[Order_Date]],6)</f>
        <v>45957</v>
      </c>
      <c r="K62">
        <f ca="1">YEAR(Table1[[#This Row],[Today]])</f>
        <v>2026</v>
      </c>
      <c r="L62">
        <v>61</v>
      </c>
      <c r="M62">
        <f ca="1">DAY(Table1[[#This Row],[Today]])</f>
        <v>11</v>
      </c>
      <c r="N62" s="19">
        <f t="shared" ca="1" si="6"/>
        <v>46245.589795138891</v>
      </c>
      <c r="O62" s="2">
        <f t="shared" ca="1" si="0"/>
        <v>46245</v>
      </c>
      <c r="P62" s="17">
        <f ca="1">Table1[[#This Row],[Today]]-Table1[[#This Row],[Order_Date]]</f>
        <v>471</v>
      </c>
      <c r="Q62" s="2">
        <v>45718</v>
      </c>
      <c r="R62" s="2">
        <v>45774</v>
      </c>
      <c r="S62" s="6">
        <f t="shared" si="4"/>
        <v>2025</v>
      </c>
      <c r="T62" s="7" t="str">
        <f t="shared" si="5"/>
        <v>April</v>
      </c>
      <c r="U62" s="2">
        <f>WORKDAY(Table1[[#This Row],[Order_Date]],5)</f>
        <v>45779</v>
      </c>
      <c r="V62" s="7" t="str">
        <f>CONCATENATE(Table1[[#This Row],[Customer_ID]],Table1[[#This Row],[Customer_Name]])</f>
        <v>C1039Rohan Mehta</v>
      </c>
      <c r="W62" t="s">
        <v>544</v>
      </c>
      <c r="X62" t="s">
        <v>388</v>
      </c>
      <c r="Y62">
        <f>COUNTA(Table1[[#This Row],[Customer_Name]])</f>
        <v>1</v>
      </c>
      <c r="Z62" t="str">
        <f>SUBSTITUTE(Table1[[#This Row],[Customer_Name]]," ","_")</f>
        <v>Rohan_Mehta</v>
      </c>
      <c r="AA62" s="10">
        <f>IFERROR(SEARCH("a",Table1[[#This Row],[Customer_Name]]),"N/A")</f>
        <v>4</v>
      </c>
      <c r="AB62">
        <f>SEARCH(" ",Table1[[#This Row],[Customer_Name]])</f>
        <v>6</v>
      </c>
      <c r="AC62" s="11">
        <f>IFERROR(FIND("a",Table1[[#This Row],[Customer_Name]]),"N/A")</f>
        <v>4</v>
      </c>
      <c r="AD62">
        <f>FIND(" ",Table1[[#This Row],[Customer_Name]])</f>
        <v>6</v>
      </c>
      <c r="AE62" t="str">
        <f>TRIM(Table1[[#This Row],[Customer_Name]])</f>
        <v>Rohan Mehta</v>
      </c>
      <c r="AF62">
        <f>LEN(Table1[[#This Row],[Trimmed]])</f>
        <v>11</v>
      </c>
      <c r="AG62">
        <f>MAX(Table1[Length])</f>
        <v>15</v>
      </c>
      <c r="AH62" t="str">
        <f>PROPER(Table1[[#This Row],[Customer_Name]])</f>
        <v>Rohan Mehta</v>
      </c>
      <c r="AI62" t="str">
        <f>LOWER(Table1[[#This Row],[Customer_Name]])</f>
        <v>rohan mehta</v>
      </c>
      <c r="AJ62" t="str">
        <f>UPPER(Table1[[#This Row],[Customer_Name]])</f>
        <v>ROHAN MEHTA</v>
      </c>
      <c r="AK62" t="str">
        <f>CONCATENATE(Table1[[#This Row],[Customer_ID]],Table1[[#This Row],[Customer_Name]])</f>
        <v>C1039Rohan Mehta</v>
      </c>
      <c r="AL62" t="s">
        <v>389</v>
      </c>
      <c r="AM62" t="s">
        <v>390</v>
      </c>
      <c r="AN62" t="s">
        <v>391</v>
      </c>
      <c r="AO62" t="s">
        <v>389</v>
      </c>
      <c r="AP62" t="s">
        <v>390</v>
      </c>
      <c r="AQ62" t="s">
        <v>284</v>
      </c>
      <c r="AR62" t="str">
        <f>TRIM(Table1[[#This Row],[City]])</f>
        <v>Hyderabad</v>
      </c>
      <c r="AS62" t="str">
        <f>PROPER(Table1[[#This Row],[City]])</f>
        <v>Hyderabad</v>
      </c>
      <c r="AT62" t="s">
        <v>285</v>
      </c>
      <c r="AU62" t="str">
        <f>CONCATENATE(Table1[[#This Row],[City]],Table1[[#This Row],[State]])</f>
        <v>HyderabadTelangana</v>
      </c>
      <c r="AV62" t="s">
        <v>168</v>
      </c>
      <c r="AW62" t="s">
        <v>183</v>
      </c>
      <c r="AX62" t="str">
        <f>REPLACE(Table1[[#This Row],[Product_ID]],1,1,"s")</f>
        <v>s105</v>
      </c>
      <c r="AY62" t="s">
        <v>545</v>
      </c>
      <c r="AZ62">
        <f>SEARCH("-",Table1[[#This Row],[Product ID]])</f>
        <v>2</v>
      </c>
      <c r="BA62">
        <f>FIND("-",Table1[[#This Row],[Product ID]])</f>
        <v>2</v>
      </c>
      <c r="BB62" t="str">
        <f>MID(Table1[[#This Row],[Product_ID]],2,3)</f>
        <v>105</v>
      </c>
      <c r="BC62" t="str">
        <f>RIGHT(Table1[[#This Row],[Product_ID]],3)</f>
        <v>105</v>
      </c>
      <c r="BD62" t="str">
        <f>LEFT(Table1[[#This Row],[Product_ID]],3)</f>
        <v>P10</v>
      </c>
      <c r="BE62" t="str">
        <f>_xlfn.XLOOKUP(Table1[[#This Row],[Product_ID]],AW:AW,BF:BF,,0)</f>
        <v>Bluetooth Speaker</v>
      </c>
      <c r="BF62" t="s">
        <v>185</v>
      </c>
      <c r="BG62">
        <f>LEN(Table1[[#This Row],[Product_Name]])</f>
        <v>17</v>
      </c>
      <c r="BH62" t="s">
        <v>154</v>
      </c>
      <c r="BI62">
        <f t="shared" si="7"/>
        <v>75</v>
      </c>
      <c r="BJ62" t="str">
        <f>SUBSTITUTE(Table1[[#This Row],[Category]],"Electronics","ELECTRONICS")</f>
        <v>ELECTRONICS</v>
      </c>
      <c r="BN62" t="s">
        <v>186</v>
      </c>
      <c r="BS62" s="14">
        <v>1</v>
      </c>
      <c r="BT62" s="3">
        <v>2999</v>
      </c>
      <c r="BU62" s="4">
        <v>20</v>
      </c>
      <c r="BV62" s="4" t="str">
        <f>IF(AND(Table1[[#This Row],[Quantity]]&gt;=3,Table1[[#This Row],[Discount_%]]&gt;=15%),"Bulk Discount","no")</f>
        <v>no</v>
      </c>
      <c r="BW62" s="4" t="str">
        <f>IF(AND(Table1[[#This Row],[Quantity]]&gt;3,Table1[[#This Row],[Discount_%]]&gt;15%),"Bulk Customer","Normal")</f>
        <v>Normal</v>
      </c>
      <c r="BX62" t="s">
        <v>135</v>
      </c>
      <c r="BY62" t="s">
        <v>136</v>
      </c>
      <c r="CC62" t="str">
        <f>IF(OR(Table1[[#This Row],[Order_Status]]="Returned",Table1[[#This Row],[Order_Status]]="Cancelled"),"Attention Required","Not")</f>
        <v>Not</v>
      </c>
      <c r="CD62" t="str">
        <f>IF(OR(Table1[[#This Row],[Order_Status]]="Returned",Table1[[#This Row],[Order_Status]]="Cancelled"),"Review","no")</f>
        <v>no</v>
      </c>
      <c r="CE62" t="str">
        <f>SUBSTITUTE(Table1[[#This Row],[Order_Status]],"Delivered","Completed")</f>
        <v>Completed</v>
      </c>
      <c r="CF62" s="2">
        <v>45776</v>
      </c>
      <c r="CG62" s="17">
        <f>NETWORKDAYS(Table1[[#This Row],[Order_Date]],Table1[[#This Row],[Delivery_Date]])</f>
        <v>2</v>
      </c>
      <c r="CH62" s="17">
        <f>Table1[[#This Row],[Delivery_Date]]-Table1[[#This Row],[Order_Date]]</f>
        <v>2</v>
      </c>
      <c r="CI62" t="s">
        <v>137</v>
      </c>
      <c r="CJ62" t="str">
        <f>IF(Table1[[#This Row],[Rating]]&gt;=4,"Good","Needs Improvement")</f>
        <v>Needs Improvement</v>
      </c>
      <c r="CK62" t="str">
        <f>IF(OR(Table1[[#This Row],[Rating]]&lt;=2,Table1[[#This Row],[Profit]]&lt;0),"Review","NO")</f>
        <v>Review</v>
      </c>
      <c r="CL62" t="e" cm="1">
        <f t="array" ref="CL62">_xlfn.IFS(Table1[[#This Row],[Rating]]&gt;2,"Poor",Table1[[#This Row],[Rating]]=3,"Average",Table1[[#This Row],[Rating]]=4,"Good",CP62=5,"Excellent")</f>
        <v>#N/A</v>
      </c>
      <c r="CM62">
        <f>COUNT(Table1[[#This Row],[Rating]])</f>
        <v>1</v>
      </c>
      <c r="CN62">
        <f>COUNTBLANK(Table1[[#This Row],[Rating]])</f>
        <v>0</v>
      </c>
      <c r="CP62" t="s">
        <v>157</v>
      </c>
      <c r="CQ62" s="14">
        <v>1</v>
      </c>
      <c r="CR62" t="s">
        <v>139</v>
      </c>
      <c r="CS62" t="s">
        <v>158</v>
      </c>
      <c r="CU62" s="3">
        <v>2399.1999999999998</v>
      </c>
      <c r="CV62" s="3">
        <f>ROUND(Table1[[#This Row],[Sales_Amount]],0)</f>
        <v>2399</v>
      </c>
      <c r="CW62" s="3"/>
      <c r="CX62" s="3"/>
      <c r="CY62" s="3" t="b">
        <f>IF(AND(Table1[[#This Row],[Sales_Amount]]&gt;=10000,Table1[[#This Row],[Profit]]&gt;0),"Good Order")</f>
        <v>0</v>
      </c>
      <c r="CZ62" s="3" t="str">
        <f>IF(Table1[[#This Row],[Sales_Amount]]&gt;=10000,"High","Normal")</f>
        <v>Normal</v>
      </c>
      <c r="DA62" s="3">
        <v>649.20000000000005</v>
      </c>
      <c r="DB62" s="3">
        <f>ROUND(Table1[[#This Row],[Profit]],0)</f>
        <v>649</v>
      </c>
      <c r="DC62" s="3">
        <f>ABS(Table1[[#This Row],[Profit]])</f>
        <v>649.20000000000005</v>
      </c>
      <c r="DD62" s="3"/>
      <c r="DE62" s="3"/>
      <c r="DF62" s="3"/>
      <c r="DG62" s="3" t="str">
        <f>IF(Table1[[#This Row],[Profit]]&gt;0,"Profit","Loss")</f>
        <v>Profit</v>
      </c>
      <c r="DH62" s="3" t="str">
        <f>IF(AND(Table1[[#This Row],[Sales_Amount]]&gt;=10000,Table1[[#This Row],[Profit]]&gt;0),"Priority","Normal")</f>
        <v>Normal</v>
      </c>
      <c r="DI62" s="3">
        <f t="shared" ca="1" si="2"/>
        <v>0.33756474438491002</v>
      </c>
      <c r="DJ62" s="3">
        <f t="shared" ca="1" si="3"/>
        <v>3</v>
      </c>
      <c r="DK62" s="3"/>
      <c r="DL62" s="3"/>
      <c r="DM62" s="3"/>
      <c r="DN62" s="3"/>
      <c r="DO62" s="3"/>
      <c r="DP62" s="3"/>
    </row>
    <row r="63" spans="1:120">
      <c r="A63" t="s">
        <v>546</v>
      </c>
      <c r="B63" t="str">
        <f>REPLACE(Table1[[#This Row],[Order_ID]],1,3,"YOO")</f>
        <v>YOO10062</v>
      </c>
      <c r="C63" t="str">
        <f>MID(Table1[[#This Row],[Order_ID]],4,4)</f>
        <v>1006</v>
      </c>
      <c r="D63" t="str">
        <f>LEFT(Table1[[#This Row],[Order_ID]],4)</f>
        <v>ORD1</v>
      </c>
      <c r="E63" t="str">
        <f>RIGHT(Table1[[#This Row],[Order_ID]],5)</f>
        <v>10062</v>
      </c>
      <c r="F63" t="s">
        <v>5</v>
      </c>
      <c r="G63">
        <v>10062</v>
      </c>
      <c r="H63" t="s">
        <v>547</v>
      </c>
      <c r="I63" s="2">
        <f>EDATE(Table1[[#This Row],[Order_Date]],3)</f>
        <v>46176</v>
      </c>
      <c r="J63" s="2">
        <f>EDATE(Table1[[#This Row],[Order_Date]],6)</f>
        <v>46268</v>
      </c>
      <c r="K63">
        <f ca="1">YEAR(Table1[[#This Row],[Today]])</f>
        <v>2026</v>
      </c>
      <c r="L63">
        <v>62</v>
      </c>
      <c r="M63">
        <f ca="1">DAY(Table1[[#This Row],[Today]])</f>
        <v>11</v>
      </c>
      <c r="N63" s="19">
        <f t="shared" ca="1" si="6"/>
        <v>46245.589795370368</v>
      </c>
      <c r="O63" s="2">
        <f t="shared" ca="1" si="0"/>
        <v>46245</v>
      </c>
      <c r="P63" s="17">
        <f ca="1">Table1[[#This Row],[Today]]-Table1[[#This Row],[Order_Date]]</f>
        <v>161</v>
      </c>
      <c r="Q63" s="2">
        <v>45719</v>
      </c>
      <c r="R63" s="2">
        <v>46084</v>
      </c>
      <c r="S63" s="6">
        <f t="shared" si="4"/>
        <v>2026</v>
      </c>
      <c r="T63" s="7" t="str">
        <f t="shared" si="5"/>
        <v>March</v>
      </c>
      <c r="U63" s="2">
        <f>WORKDAY(Table1[[#This Row],[Order_Date]],5)</f>
        <v>46091</v>
      </c>
      <c r="V63" s="7" t="str">
        <f>CONCATENATE(Table1[[#This Row],[Customer_ID]],Table1[[#This Row],[Customer_Name]])</f>
        <v>C1114Pooja Jain</v>
      </c>
      <c r="W63" t="s">
        <v>436</v>
      </c>
      <c r="X63" t="s">
        <v>419</v>
      </c>
      <c r="Y63">
        <f>COUNTA(Table1[[#This Row],[Customer_Name]])</f>
        <v>1</v>
      </c>
      <c r="Z63" t="str">
        <f>SUBSTITUTE(Table1[[#This Row],[Customer_Name]]," ","_")</f>
        <v>Pooja_Jain</v>
      </c>
      <c r="AA63" s="10">
        <f>IFERROR(SEARCH("a",Table1[[#This Row],[Customer_Name]]),"N/A")</f>
        <v>5</v>
      </c>
      <c r="AB63">
        <f>SEARCH(" ",Table1[[#This Row],[Customer_Name]])</f>
        <v>6</v>
      </c>
      <c r="AC63" s="11">
        <f>IFERROR(FIND("a",Table1[[#This Row],[Customer_Name]]),"N/A")</f>
        <v>5</v>
      </c>
      <c r="AD63">
        <f>FIND(" ",Table1[[#This Row],[Customer_Name]])</f>
        <v>6</v>
      </c>
      <c r="AE63" t="str">
        <f>TRIM(Table1[[#This Row],[Customer_Name]])</f>
        <v>Pooja Jain</v>
      </c>
      <c r="AF63">
        <f>LEN(Table1[[#This Row],[Trimmed]])</f>
        <v>10</v>
      </c>
      <c r="AG63">
        <f>MAX(Table1[Length])</f>
        <v>15</v>
      </c>
      <c r="AH63" t="str">
        <f>PROPER(Table1[[#This Row],[Customer_Name]])</f>
        <v>Pooja Jain</v>
      </c>
      <c r="AI63" t="str">
        <f>LOWER(Table1[[#This Row],[Customer_Name]])</f>
        <v>pooja jain</v>
      </c>
      <c r="AJ63" t="str">
        <f>UPPER(Table1[[#This Row],[Customer_Name]])</f>
        <v>POOJA JAIN</v>
      </c>
      <c r="AK63" t="str">
        <f>CONCATENATE(Table1[[#This Row],[Customer_ID]],Table1[[#This Row],[Customer_Name]])</f>
        <v>C1114Pooja Jain</v>
      </c>
      <c r="AL63" t="s">
        <v>420</v>
      </c>
      <c r="AM63" t="s">
        <v>421</v>
      </c>
      <c r="AN63" t="s">
        <v>422</v>
      </c>
      <c r="AO63" t="s">
        <v>420</v>
      </c>
      <c r="AP63" t="s">
        <v>421</v>
      </c>
      <c r="AQ63" t="s">
        <v>304</v>
      </c>
      <c r="AR63" t="str">
        <f>TRIM(Table1[[#This Row],[City]])</f>
        <v>Chennai</v>
      </c>
      <c r="AS63" t="str">
        <f>PROPER(Table1[[#This Row],[City]])</f>
        <v>Chennai</v>
      </c>
      <c r="AT63" t="s">
        <v>305</v>
      </c>
      <c r="AU63" t="str">
        <f>CONCATENATE(Table1[[#This Row],[City]],Table1[[#This Row],[State]])</f>
        <v>ChennaiTamil Nadu</v>
      </c>
      <c r="AV63" t="s">
        <v>168</v>
      </c>
      <c r="AW63" t="s">
        <v>151</v>
      </c>
      <c r="AX63" t="str">
        <f>REPLACE(Table1[[#This Row],[Product_ID]],1,1,"s")</f>
        <v>s102</v>
      </c>
      <c r="AY63" t="s">
        <v>548</v>
      </c>
      <c r="AZ63">
        <f>SEARCH("-",Table1[[#This Row],[Product ID]])</f>
        <v>2</v>
      </c>
      <c r="BA63">
        <f>FIND("-",Table1[[#This Row],[Product ID]])</f>
        <v>2</v>
      </c>
      <c r="BB63" t="str">
        <f>MID(Table1[[#This Row],[Product_ID]],2,3)</f>
        <v>102</v>
      </c>
      <c r="BC63" t="str">
        <f>RIGHT(Table1[[#This Row],[Product_ID]],3)</f>
        <v>102</v>
      </c>
      <c r="BD63" t="str">
        <f>LEFT(Table1[[#This Row],[Product_ID]],3)</f>
        <v>P10</v>
      </c>
      <c r="BE63" t="str">
        <f>_xlfn.XLOOKUP(Table1[[#This Row],[Product_ID]],AW:AW,BF:BF,,0)</f>
        <v>Mechanical Keyboard</v>
      </c>
      <c r="BF63" t="s">
        <v>153</v>
      </c>
      <c r="BG63">
        <f>LEN(Table1[[#This Row],[Product_Name]])</f>
        <v>19</v>
      </c>
      <c r="BH63" t="s">
        <v>154</v>
      </c>
      <c r="BI63">
        <f t="shared" si="7"/>
        <v>75</v>
      </c>
      <c r="BJ63" t="str">
        <f>SUBSTITUTE(Table1[[#This Row],[Category]],"Electronics","ELECTRONICS")</f>
        <v>ELECTRONICS</v>
      </c>
      <c r="BN63" t="s">
        <v>155</v>
      </c>
      <c r="BS63" s="14">
        <v>5</v>
      </c>
      <c r="BT63" s="3">
        <v>2499</v>
      </c>
      <c r="BU63" s="4">
        <v>10</v>
      </c>
      <c r="BV63" s="4" t="str">
        <f>IF(AND(Table1[[#This Row],[Quantity]]&gt;=3,Table1[[#This Row],[Discount_%]]&gt;=15%),"Bulk Discount","no")</f>
        <v>Bulk Discount</v>
      </c>
      <c r="BW63" s="4" t="str">
        <f>IF(AND(Table1[[#This Row],[Quantity]]&gt;3,Table1[[#This Row],[Discount_%]]&gt;15%),"Bulk Customer","Normal")</f>
        <v>Bulk Customer</v>
      </c>
      <c r="BX63" t="s">
        <v>135</v>
      </c>
      <c r="BY63" t="s">
        <v>193</v>
      </c>
      <c r="CC63" t="str">
        <f>IF(OR(Table1[[#This Row],[Order_Status]]="Returned",Table1[[#This Row],[Order_Status]]="Cancelled"),"Attention Required","Not")</f>
        <v>Not</v>
      </c>
      <c r="CD63" t="str">
        <f>IF(OR(Table1[[#This Row],[Order_Status]]="Returned",Table1[[#This Row],[Order_Status]]="Cancelled"),"Review","no")</f>
        <v>no</v>
      </c>
      <c r="CE63" t="str">
        <f>SUBSTITUTE(Table1[[#This Row],[Order_Status]],"Delivered","Completed")</f>
        <v>Shipped</v>
      </c>
      <c r="CF63" s="2">
        <v>46091</v>
      </c>
      <c r="CG63" s="17">
        <f>NETWORKDAYS(Table1[[#This Row],[Order_Date]],Table1[[#This Row],[Delivery_Date]])</f>
        <v>6</v>
      </c>
      <c r="CH63" s="17">
        <f>Table1[[#This Row],[Delivery_Date]]-Table1[[#This Row],[Order_Date]]</f>
        <v>7</v>
      </c>
      <c r="CI63" t="s">
        <v>137</v>
      </c>
      <c r="CJ63" t="str">
        <f>IF(Table1[[#This Row],[Rating]]&gt;=4,"Good","Needs Improvement")</f>
        <v>Needs Improvement</v>
      </c>
      <c r="CK63" t="str">
        <f>IF(OR(Table1[[#This Row],[Rating]]&lt;=2,Table1[[#This Row],[Profit]]&lt;0),"Review","NO")</f>
        <v>Review</v>
      </c>
      <c r="CL63" t="e" cm="1">
        <f t="array" ref="CL63">_xlfn.IFS(Table1[[#This Row],[Rating]]&gt;2,"Poor",Table1[[#This Row],[Rating]]=3,"Average",Table1[[#This Row],[Rating]]=4,"Good",CP63=5,"Excellent")</f>
        <v>#N/A</v>
      </c>
      <c r="CM63">
        <f>COUNT(Table1[[#This Row],[Rating]])</f>
        <v>0</v>
      </c>
      <c r="CN63">
        <f>COUNTBLANK(Table1[[#This Row],[Rating]])</f>
        <v>1</v>
      </c>
      <c r="CP63" t="s">
        <v>138</v>
      </c>
      <c r="CR63" t="s">
        <v>173</v>
      </c>
      <c r="CS63" t="s">
        <v>174</v>
      </c>
      <c r="CU63" s="3">
        <v>11245.5</v>
      </c>
      <c r="CV63" s="3">
        <f>ROUND(Table1[[#This Row],[Sales_Amount]],0)</f>
        <v>11246</v>
      </c>
      <c r="CW63" s="3"/>
      <c r="CX63" s="3"/>
      <c r="CY63" s="3" t="str">
        <f>IF(AND(Table1[[#This Row],[Sales_Amount]]&gt;=10000,Table1[[#This Row],[Profit]]&gt;0),"Good Order")</f>
        <v>Good Order</v>
      </c>
      <c r="CZ63" s="3" t="str">
        <f>IF(Table1[[#This Row],[Sales_Amount]]&gt;=10000,"High","Normal")</f>
        <v>High</v>
      </c>
      <c r="DA63" s="3">
        <v>3995.5</v>
      </c>
      <c r="DB63" s="3">
        <f>ROUND(Table1[[#This Row],[Profit]],0)</f>
        <v>3996</v>
      </c>
      <c r="DC63" s="3">
        <f>ABS(Table1[[#This Row],[Profit]])</f>
        <v>3995.5</v>
      </c>
      <c r="DD63" s="3"/>
      <c r="DE63" s="3"/>
      <c r="DF63" s="3"/>
      <c r="DG63" s="3" t="str">
        <f>IF(Table1[[#This Row],[Profit]]&gt;0,"Profit","Loss")</f>
        <v>Profit</v>
      </c>
      <c r="DH63" s="3" t="str">
        <f>IF(AND(Table1[[#This Row],[Sales_Amount]]&gt;=10000,Table1[[#This Row],[Profit]]&gt;0),"Priority","Normal")</f>
        <v>Priority</v>
      </c>
      <c r="DI63" s="3">
        <f t="shared" ca="1" si="2"/>
        <v>0.60861934522855721</v>
      </c>
      <c r="DJ63" s="3">
        <f t="shared" ca="1" si="3"/>
        <v>32</v>
      </c>
      <c r="DK63" s="3"/>
      <c r="DL63" s="3"/>
      <c r="DM63" s="3"/>
      <c r="DN63" s="3"/>
      <c r="DO63" s="3"/>
      <c r="DP63" s="3"/>
    </row>
    <row r="64" spans="1:120">
      <c r="A64" t="s">
        <v>549</v>
      </c>
      <c r="B64" t="str">
        <f>REPLACE(Table1[[#This Row],[Order_ID]],1,3,"YOO")</f>
        <v>YOO10063</v>
      </c>
      <c r="C64" t="str">
        <f>MID(Table1[[#This Row],[Order_ID]],4,4)</f>
        <v>1006</v>
      </c>
      <c r="D64" t="str">
        <f>LEFT(Table1[[#This Row],[Order_ID]],4)</f>
        <v>ORD1</v>
      </c>
      <c r="E64" t="str">
        <f>RIGHT(Table1[[#This Row],[Order_ID]],5)</f>
        <v>10063</v>
      </c>
      <c r="F64" t="s">
        <v>5</v>
      </c>
      <c r="G64">
        <v>10063</v>
      </c>
      <c r="H64" t="s">
        <v>550</v>
      </c>
      <c r="I64" s="2">
        <f>EDATE(Table1[[#This Row],[Order_Date]],3)</f>
        <v>45850</v>
      </c>
      <c r="J64" s="2">
        <f>EDATE(Table1[[#This Row],[Order_Date]],6)</f>
        <v>45942</v>
      </c>
      <c r="K64">
        <f ca="1">YEAR(Table1[[#This Row],[Today]])</f>
        <v>2026</v>
      </c>
      <c r="L64">
        <v>63</v>
      </c>
      <c r="M64">
        <f ca="1">DAY(Table1[[#This Row],[Today]])</f>
        <v>11</v>
      </c>
      <c r="N64" s="19">
        <f t="shared" ca="1" si="6"/>
        <v>46245.589795370368</v>
      </c>
      <c r="O64" s="2">
        <f t="shared" ca="1" si="0"/>
        <v>46245</v>
      </c>
      <c r="P64" s="17">
        <f ca="1">Table1[[#This Row],[Today]]-Table1[[#This Row],[Order_Date]]</f>
        <v>486</v>
      </c>
      <c r="Q64" s="2">
        <v>45720</v>
      </c>
      <c r="R64" s="2">
        <v>45759</v>
      </c>
      <c r="S64" s="6">
        <f t="shared" si="4"/>
        <v>2025</v>
      </c>
      <c r="T64" s="7" t="str">
        <f t="shared" si="5"/>
        <v>April</v>
      </c>
      <c r="U64" s="2">
        <f>WORKDAY(Table1[[#This Row],[Order_Date]],5)</f>
        <v>45765</v>
      </c>
      <c r="V64" s="7" t="str">
        <f>CONCATENATE(Table1[[#This Row],[Customer_ID]],Table1[[#This Row],[Customer_Name]])</f>
        <v>C1062Simran Kaur</v>
      </c>
      <c r="W64" t="s">
        <v>521</v>
      </c>
      <c r="X64" t="s">
        <v>325</v>
      </c>
      <c r="Y64">
        <f>COUNTA(Table1[[#This Row],[Customer_Name]])</f>
        <v>1</v>
      </c>
      <c r="Z64" t="str">
        <f>SUBSTITUTE(Table1[[#This Row],[Customer_Name]]," ","_")</f>
        <v>Simran_Kaur</v>
      </c>
      <c r="AA64" s="10">
        <f>IFERROR(SEARCH("a",Table1[[#This Row],[Customer_Name]]),"N/A")</f>
        <v>5</v>
      </c>
      <c r="AB64">
        <f>SEARCH(" ",Table1[[#This Row],[Customer_Name]])</f>
        <v>7</v>
      </c>
      <c r="AC64" s="11">
        <f>IFERROR(FIND("a",Table1[[#This Row],[Customer_Name]]),"N/A")</f>
        <v>5</v>
      </c>
      <c r="AD64">
        <f>FIND(" ",Table1[[#This Row],[Customer_Name]])</f>
        <v>7</v>
      </c>
      <c r="AE64" t="str">
        <f>TRIM(Table1[[#This Row],[Customer_Name]])</f>
        <v>Simran Kaur</v>
      </c>
      <c r="AF64">
        <f>LEN(Table1[[#This Row],[Trimmed]])</f>
        <v>11</v>
      </c>
      <c r="AG64">
        <f>MAX(Table1[Length])</f>
        <v>15</v>
      </c>
      <c r="AH64" t="str">
        <f>PROPER(Table1[[#This Row],[Customer_Name]])</f>
        <v>Simran Kaur</v>
      </c>
      <c r="AI64" t="str">
        <f>LOWER(Table1[[#This Row],[Customer_Name]])</f>
        <v>simran kaur</v>
      </c>
      <c r="AJ64" t="str">
        <f>UPPER(Table1[[#This Row],[Customer_Name]])</f>
        <v>SIMRAN KAUR</v>
      </c>
      <c r="AK64" t="str">
        <f>CONCATENATE(Table1[[#This Row],[Customer_ID]],Table1[[#This Row],[Customer_Name]])</f>
        <v>C1062Simran Kaur</v>
      </c>
      <c r="AL64" t="s">
        <v>326</v>
      </c>
      <c r="AM64" t="s">
        <v>327</v>
      </c>
      <c r="AN64" t="s">
        <v>328</v>
      </c>
      <c r="AO64" t="s">
        <v>326</v>
      </c>
      <c r="AP64" t="s">
        <v>327</v>
      </c>
      <c r="AQ64" t="s">
        <v>182</v>
      </c>
      <c r="AR64" t="str">
        <f>TRIM(Table1[[#This Row],[City]])</f>
        <v>Mumbai</v>
      </c>
      <c r="AS64" t="str">
        <f>PROPER(Table1[[#This Row],[City]])</f>
        <v>Mumbai</v>
      </c>
      <c r="AT64" t="s">
        <v>128</v>
      </c>
      <c r="AU64" t="str">
        <f>CONCATENATE(Table1[[#This Row],[City]],Table1[[#This Row],[State]])</f>
        <v>MumbaiMaharashtra</v>
      </c>
      <c r="AV64" t="s">
        <v>129</v>
      </c>
      <c r="AW64" t="s">
        <v>363</v>
      </c>
      <c r="AX64" t="str">
        <f>REPLACE(Table1[[#This Row],[Product_ID]],1,1,"s")</f>
        <v>s110</v>
      </c>
      <c r="AY64" t="s">
        <v>551</v>
      </c>
      <c r="AZ64">
        <f>SEARCH("-",Table1[[#This Row],[Product ID]])</f>
        <v>2</v>
      </c>
      <c r="BA64">
        <f>FIND("-",Table1[[#This Row],[Product ID]])</f>
        <v>2</v>
      </c>
      <c r="BB64" t="str">
        <f>MID(Table1[[#This Row],[Product_ID]],2,3)</f>
        <v>110</v>
      </c>
      <c r="BC64" t="str">
        <f>RIGHT(Table1[[#This Row],[Product_ID]],3)</f>
        <v>110</v>
      </c>
      <c r="BD64" t="str">
        <f>LEFT(Table1[[#This Row],[Product_ID]],3)</f>
        <v>P11</v>
      </c>
      <c r="BE64" t="str">
        <f>_xlfn.XLOOKUP(Table1[[#This Row],[Product_ID]],AW:AW,BF:BF,,0)</f>
        <v>Smart Watch</v>
      </c>
      <c r="BF64" t="s">
        <v>365</v>
      </c>
      <c r="BG64">
        <f>LEN(Table1[[#This Row],[Product_Name]])</f>
        <v>11</v>
      </c>
      <c r="BH64" t="s">
        <v>154</v>
      </c>
      <c r="BI64">
        <f t="shared" si="7"/>
        <v>75</v>
      </c>
      <c r="BJ64" t="str">
        <f>SUBSTITUTE(Table1[[#This Row],[Category]],"Electronics","ELECTRONICS")</f>
        <v>ELECTRONICS</v>
      </c>
      <c r="BN64" t="s">
        <v>366</v>
      </c>
      <c r="BS64" s="14">
        <v>2</v>
      </c>
      <c r="BT64" s="3">
        <v>4999</v>
      </c>
      <c r="BU64" s="4">
        <v>10</v>
      </c>
      <c r="BV64" s="4" t="str">
        <f>IF(AND(Table1[[#This Row],[Quantity]]&gt;=3,Table1[[#This Row],[Discount_%]]&gt;=15%),"Bulk Discount","no")</f>
        <v>no</v>
      </c>
      <c r="BW64" s="4" t="str">
        <f>IF(AND(Table1[[#This Row],[Quantity]]&gt;3,Table1[[#This Row],[Discount_%]]&gt;15%),"Bulk Customer","Normal")</f>
        <v>Normal</v>
      </c>
      <c r="BX64" t="s">
        <v>135</v>
      </c>
      <c r="BY64" t="s">
        <v>136</v>
      </c>
      <c r="CC64" t="str">
        <f>IF(OR(Table1[[#This Row],[Order_Status]]="Returned",Table1[[#This Row],[Order_Status]]="Cancelled"),"Attention Required","Not")</f>
        <v>Not</v>
      </c>
      <c r="CD64" t="str">
        <f>IF(OR(Table1[[#This Row],[Order_Status]]="Returned",Table1[[#This Row],[Order_Status]]="Cancelled"),"Review","no")</f>
        <v>no</v>
      </c>
      <c r="CE64" t="str">
        <f>SUBSTITUTE(Table1[[#This Row],[Order_Status]],"Delivered","Completed")</f>
        <v>Completed</v>
      </c>
      <c r="CF64" s="2">
        <v>45761</v>
      </c>
      <c r="CG64" s="17">
        <f>NETWORKDAYS(Table1[[#This Row],[Order_Date]],Table1[[#This Row],[Delivery_Date]])</f>
        <v>1</v>
      </c>
      <c r="CH64" s="17">
        <f>Table1[[#This Row],[Delivery_Date]]-Table1[[#This Row],[Order_Date]]</f>
        <v>2</v>
      </c>
      <c r="CI64" t="s">
        <v>137</v>
      </c>
      <c r="CJ64" t="str">
        <f>IF(Table1[[#This Row],[Rating]]&gt;=4,"Good","Needs Improvement")</f>
        <v>Needs Improvement</v>
      </c>
      <c r="CK64" t="str">
        <f>IF(OR(Table1[[#This Row],[Rating]]&lt;=2,Table1[[#This Row],[Profit]]&lt;0),"Review","NO")</f>
        <v>NO</v>
      </c>
      <c r="CL64" t="str" cm="1">
        <f t="array" ref="CL64">_xlfn.IFS(Table1[[#This Row],[Rating]]&gt;2,"Poor",Table1[[#This Row],[Rating]]=3,"Average",Table1[[#This Row],[Rating]]=4,"Good",CP64=5,"Excellent")</f>
        <v>Poor</v>
      </c>
      <c r="CM64">
        <f>COUNT(Table1[[#This Row],[Rating]])</f>
        <v>1</v>
      </c>
      <c r="CN64">
        <f>COUNTBLANK(Table1[[#This Row],[Rating]])</f>
        <v>0</v>
      </c>
      <c r="CP64" t="s">
        <v>331</v>
      </c>
      <c r="CQ64" s="14">
        <v>3</v>
      </c>
      <c r="CR64" t="s">
        <v>139</v>
      </c>
      <c r="CS64" t="s">
        <v>140</v>
      </c>
      <c r="CU64" s="3">
        <v>8998.2000000000007</v>
      </c>
      <c r="CV64" s="3">
        <f>ROUND(Table1[[#This Row],[Sales_Amount]],0)</f>
        <v>8998</v>
      </c>
      <c r="CW64" s="3"/>
      <c r="CX64" s="3"/>
      <c r="CY64" s="3" t="b">
        <f>IF(AND(Table1[[#This Row],[Sales_Amount]]&gt;=10000,Table1[[#This Row],[Profit]]&gt;0),"Good Order")</f>
        <v>0</v>
      </c>
      <c r="CZ64" s="3" t="str">
        <f>IF(Table1[[#This Row],[Sales_Amount]]&gt;=10000,"High","Normal")</f>
        <v>Normal</v>
      </c>
      <c r="DA64" s="3">
        <v>2798.2</v>
      </c>
      <c r="DB64" s="3">
        <f>ROUND(Table1[[#This Row],[Profit]],0)</f>
        <v>2798</v>
      </c>
      <c r="DC64" s="3">
        <f>ABS(Table1[[#This Row],[Profit]])</f>
        <v>2798.2</v>
      </c>
      <c r="DD64" s="3"/>
      <c r="DE64" s="3"/>
      <c r="DF64" s="3"/>
      <c r="DG64" s="3" t="str">
        <f>IF(Table1[[#This Row],[Profit]]&gt;0,"Profit","Loss")</f>
        <v>Profit</v>
      </c>
      <c r="DH64" s="3" t="str">
        <f>IF(AND(Table1[[#This Row],[Sales_Amount]]&gt;=10000,Table1[[#This Row],[Profit]]&gt;0),"Priority","Normal")</f>
        <v>Normal</v>
      </c>
      <c r="DI64" s="3">
        <f t="shared" ca="1" si="2"/>
        <v>0.98380868056203863</v>
      </c>
      <c r="DJ64" s="3">
        <f t="shared" ca="1" si="3"/>
        <v>62</v>
      </c>
      <c r="DK64" s="3"/>
      <c r="DL64" s="3"/>
      <c r="DM64" s="3"/>
      <c r="DN64" s="3"/>
      <c r="DO64" s="3"/>
      <c r="DP64" s="3"/>
    </row>
    <row r="65" spans="1:120">
      <c r="A65" t="s">
        <v>552</v>
      </c>
      <c r="B65" t="str">
        <f>REPLACE(Table1[[#This Row],[Order_ID]],1,3,"YOO")</f>
        <v>YOO10064</v>
      </c>
      <c r="C65" t="str">
        <f>MID(Table1[[#This Row],[Order_ID]],4,4)</f>
        <v>1006</v>
      </c>
      <c r="D65" t="str">
        <f>LEFT(Table1[[#This Row],[Order_ID]],4)</f>
        <v>ORD1</v>
      </c>
      <c r="E65" t="str">
        <f>RIGHT(Table1[[#This Row],[Order_ID]],5)</f>
        <v>10064</v>
      </c>
      <c r="F65" t="s">
        <v>5</v>
      </c>
      <c r="G65">
        <v>10064</v>
      </c>
      <c r="H65" t="s">
        <v>553</v>
      </c>
      <c r="I65" s="2">
        <f>EDATE(Table1[[#This Row],[Order_Date]],3)</f>
        <v>46230</v>
      </c>
      <c r="J65" s="2">
        <f>EDATE(Table1[[#This Row],[Order_Date]],6)</f>
        <v>46322</v>
      </c>
      <c r="K65">
        <f ca="1">YEAR(Table1[[#This Row],[Today]])</f>
        <v>2026</v>
      </c>
      <c r="L65">
        <v>64</v>
      </c>
      <c r="M65">
        <f ca="1">DAY(Table1[[#This Row],[Today]])</f>
        <v>11</v>
      </c>
      <c r="N65" s="19">
        <f t="shared" ca="1" si="6"/>
        <v>46245.589795138891</v>
      </c>
      <c r="O65" s="2">
        <f t="shared" ca="1" si="0"/>
        <v>46245</v>
      </c>
      <c r="P65" s="17">
        <f ca="1">Table1[[#This Row],[Today]]-Table1[[#This Row],[Order_Date]]</f>
        <v>106</v>
      </c>
      <c r="Q65" s="2">
        <v>45721</v>
      </c>
      <c r="R65" s="2">
        <v>46139</v>
      </c>
      <c r="S65" s="6">
        <f t="shared" si="4"/>
        <v>2026</v>
      </c>
      <c r="T65" s="7" t="str">
        <f t="shared" si="5"/>
        <v>April</v>
      </c>
      <c r="U65" s="2">
        <f>WORKDAY(Table1[[#This Row],[Order_Date]],5)</f>
        <v>46146</v>
      </c>
      <c r="V65" s="7" t="str">
        <f>CONCATENATE(Table1[[#This Row],[Customer_ID]],Table1[[#This Row],[Customer_Name]])</f>
        <v>C1117Aman Singh</v>
      </c>
      <c r="W65" t="s">
        <v>487</v>
      </c>
      <c r="X65" t="s">
        <v>123</v>
      </c>
      <c r="Y65">
        <f>COUNTA(Table1[[#This Row],[Customer_Name]])</f>
        <v>1</v>
      </c>
      <c r="Z65" t="str">
        <f>SUBSTITUTE(Table1[[#This Row],[Customer_Name]]," ","_")</f>
        <v>Aman_Singh</v>
      </c>
      <c r="AA65" s="10">
        <f>IFERROR(SEARCH("a",Table1[[#This Row],[Customer_Name]]),"N/A")</f>
        <v>1</v>
      </c>
      <c r="AB65">
        <f>SEARCH(" ",Table1[[#This Row],[Customer_Name]])</f>
        <v>5</v>
      </c>
      <c r="AC65" s="11">
        <f>IFERROR(FIND("a",Table1[[#This Row],[Customer_Name]]),"N/A")</f>
        <v>3</v>
      </c>
      <c r="AD65">
        <f>FIND(" ",Table1[[#This Row],[Customer_Name]])</f>
        <v>5</v>
      </c>
      <c r="AE65" t="str">
        <f>TRIM(Table1[[#This Row],[Customer_Name]])</f>
        <v>Aman Singh</v>
      </c>
      <c r="AF65">
        <f>LEN(Table1[[#This Row],[Trimmed]])</f>
        <v>10</v>
      </c>
      <c r="AG65">
        <f>MAX(Table1[Length])</f>
        <v>15</v>
      </c>
      <c r="AH65" t="str">
        <f>PROPER(Table1[[#This Row],[Customer_Name]])</f>
        <v>Aman Singh</v>
      </c>
      <c r="AI65" t="str">
        <f>LOWER(Table1[[#This Row],[Customer_Name]])</f>
        <v>aman singh</v>
      </c>
      <c r="AJ65" t="str">
        <f>UPPER(Table1[[#This Row],[Customer_Name]])</f>
        <v>AMAN SINGH</v>
      </c>
      <c r="AK65" t="str">
        <f>CONCATENATE(Table1[[#This Row],[Customer_ID]],Table1[[#This Row],[Customer_Name]])</f>
        <v>C1117Aman Singh</v>
      </c>
      <c r="AL65" t="s">
        <v>124</v>
      </c>
      <c r="AM65" t="s">
        <v>125</v>
      </c>
      <c r="AN65" t="s">
        <v>126</v>
      </c>
      <c r="AO65" t="s">
        <v>124</v>
      </c>
      <c r="AP65" t="s">
        <v>125</v>
      </c>
      <c r="AQ65" t="s">
        <v>284</v>
      </c>
      <c r="AR65" t="str">
        <f>TRIM(Table1[[#This Row],[City]])</f>
        <v>Hyderabad</v>
      </c>
      <c r="AS65" t="str">
        <f>PROPER(Table1[[#This Row],[City]])</f>
        <v>Hyderabad</v>
      </c>
      <c r="AT65" t="s">
        <v>285</v>
      </c>
      <c r="AU65" t="str">
        <f>CONCATENATE(Table1[[#This Row],[City]],Table1[[#This Row],[State]])</f>
        <v>HyderabadTelangana</v>
      </c>
      <c r="AV65" t="s">
        <v>168</v>
      </c>
      <c r="AW65" t="s">
        <v>236</v>
      </c>
      <c r="AX65" t="str">
        <f>REPLACE(Table1[[#This Row],[Product_ID]],1,1,"s")</f>
        <v>s107</v>
      </c>
      <c r="AY65" t="s">
        <v>554</v>
      </c>
      <c r="AZ65">
        <f>SEARCH("-",Table1[[#This Row],[Product ID]])</f>
        <v>2</v>
      </c>
      <c r="BA65">
        <f>FIND("-",Table1[[#This Row],[Product ID]])</f>
        <v>2</v>
      </c>
      <c r="BB65" t="str">
        <f>MID(Table1[[#This Row],[Product_ID]],2,3)</f>
        <v>107</v>
      </c>
      <c r="BC65" t="str">
        <f>RIGHT(Table1[[#This Row],[Product_ID]],3)</f>
        <v>107</v>
      </c>
      <c r="BD65" t="str">
        <f>LEFT(Table1[[#This Row],[Product_ID]],3)</f>
        <v>P10</v>
      </c>
      <c r="BE65" t="str">
        <f>_xlfn.XLOOKUP(Table1[[#This Row],[Product_ID]],AW:AW,BF:BF,,0)</f>
        <v>Casual Sneakers</v>
      </c>
      <c r="BF65" t="s">
        <v>238</v>
      </c>
      <c r="BG65">
        <f>LEN(Table1[[#This Row],[Product_Name]])</f>
        <v>15</v>
      </c>
      <c r="BH65" t="s">
        <v>224</v>
      </c>
      <c r="BI65">
        <f t="shared" si="7"/>
        <v>75</v>
      </c>
      <c r="BJ65" t="str">
        <f>SUBSTITUTE(Table1[[#This Row],[Category]],"Electronics","ELECTRONICS")</f>
        <v>Fashion</v>
      </c>
      <c r="BN65" t="s">
        <v>225</v>
      </c>
      <c r="BS65" s="14">
        <v>3</v>
      </c>
      <c r="BT65" s="3">
        <v>2799</v>
      </c>
      <c r="BU65" s="4">
        <v>0</v>
      </c>
      <c r="BV65" s="4" t="str">
        <f>IF(AND(Table1[[#This Row],[Quantity]]&gt;=3,Table1[[#This Row],[Discount_%]]&gt;=15%),"Bulk Discount","no")</f>
        <v>no</v>
      </c>
      <c r="BW65" s="4" t="str">
        <f>IF(AND(Table1[[#This Row],[Quantity]]&gt;3,Table1[[#This Row],[Discount_%]]&gt;15%),"Bulk Customer","Normal")</f>
        <v>Normal</v>
      </c>
      <c r="BX65" t="s">
        <v>187</v>
      </c>
      <c r="BY65" t="s">
        <v>136</v>
      </c>
      <c r="CC65" t="str">
        <f>IF(OR(Table1[[#This Row],[Order_Status]]="Returned",Table1[[#This Row],[Order_Status]]="Cancelled"),"Attention Required","Not")</f>
        <v>Not</v>
      </c>
      <c r="CD65" t="str">
        <f>IF(OR(Table1[[#This Row],[Order_Status]]="Returned",Table1[[#This Row],[Order_Status]]="Cancelled"),"Review","no")</f>
        <v>no</v>
      </c>
      <c r="CE65" t="str">
        <f>SUBSTITUTE(Table1[[#This Row],[Order_Status]],"Delivered","Completed")</f>
        <v>Completed</v>
      </c>
      <c r="CF65" s="2">
        <v>46144</v>
      </c>
      <c r="CG65" s="17">
        <f>NETWORKDAYS(Table1[[#This Row],[Order_Date]],Table1[[#This Row],[Delivery_Date]])</f>
        <v>5</v>
      </c>
      <c r="CH65" s="17">
        <f>Table1[[#This Row],[Delivery_Date]]-Table1[[#This Row],[Order_Date]]</f>
        <v>5</v>
      </c>
      <c r="CI65" t="s">
        <v>137</v>
      </c>
      <c r="CJ65" t="str">
        <f>IF(Table1[[#This Row],[Rating]]&gt;=4,"Good","Needs Improvement")</f>
        <v>Good</v>
      </c>
      <c r="CK65" t="str">
        <f>IF(OR(Table1[[#This Row],[Rating]]&lt;=2,Table1[[#This Row],[Profit]]&lt;0),"Review","NO")</f>
        <v>NO</v>
      </c>
      <c r="CL65" t="str" cm="1">
        <f t="array" ref="CL65">_xlfn.IFS(Table1[[#This Row],[Rating]]&gt;2,"Poor",Table1[[#This Row],[Rating]]=3,"Average",Table1[[#This Row],[Rating]]=4,"Good",CP65=5,"Excellent")</f>
        <v>Poor</v>
      </c>
      <c r="CM65">
        <f>COUNT(Table1[[#This Row],[Rating]])</f>
        <v>1</v>
      </c>
      <c r="CN65">
        <f>COUNTBLANK(Table1[[#This Row],[Rating]])</f>
        <v>0</v>
      </c>
      <c r="CP65" t="s">
        <v>157</v>
      </c>
      <c r="CQ65" s="14">
        <v>4</v>
      </c>
      <c r="CR65" t="s">
        <v>204</v>
      </c>
      <c r="CS65" t="s">
        <v>174</v>
      </c>
      <c r="CU65" s="3">
        <v>8397</v>
      </c>
      <c r="CV65" s="3">
        <f>ROUND(Table1[[#This Row],[Sales_Amount]],0)</f>
        <v>8397</v>
      </c>
      <c r="CW65" s="3"/>
      <c r="CX65" s="3"/>
      <c r="CY65" s="3" t="b">
        <f>IF(AND(Table1[[#This Row],[Sales_Amount]]&gt;=10000,Table1[[#This Row],[Profit]]&gt;0),"Good Order")</f>
        <v>0</v>
      </c>
      <c r="CZ65" s="3" t="str">
        <f>IF(Table1[[#This Row],[Sales_Amount]]&gt;=10000,"High","Normal")</f>
        <v>Normal</v>
      </c>
      <c r="DA65" s="3">
        <v>3897</v>
      </c>
      <c r="DB65" s="3">
        <f>ROUND(Table1[[#This Row],[Profit]],0)</f>
        <v>3897</v>
      </c>
      <c r="DC65" s="3">
        <f>ABS(Table1[[#This Row],[Profit]])</f>
        <v>3897</v>
      </c>
      <c r="DD65" s="3"/>
      <c r="DE65" s="3"/>
      <c r="DF65" s="3"/>
      <c r="DG65" s="3" t="str">
        <f>IF(Table1[[#This Row],[Profit]]&gt;0,"Profit","Loss")</f>
        <v>Profit</v>
      </c>
      <c r="DH65" s="3" t="str">
        <f>IF(AND(Table1[[#This Row],[Sales_Amount]]&gt;=10000,Table1[[#This Row],[Profit]]&gt;0),"Priority","Normal")</f>
        <v>Normal</v>
      </c>
      <c r="DI65" s="3">
        <f t="shared" ca="1" si="2"/>
        <v>0.37031762208866492</v>
      </c>
      <c r="DJ65" s="3">
        <f t="shared" ca="1" si="3"/>
        <v>53</v>
      </c>
      <c r="DK65" s="3"/>
      <c r="DL65" s="3"/>
      <c r="DM65" s="3"/>
      <c r="DN65" s="3"/>
      <c r="DO65" s="3"/>
      <c r="DP65" s="3"/>
    </row>
    <row r="66" spans="1:120">
      <c r="A66" t="s">
        <v>555</v>
      </c>
      <c r="B66" t="str">
        <f>REPLACE(Table1[[#This Row],[Order_ID]],1,3,"YOO")</f>
        <v>YOO10065</v>
      </c>
      <c r="C66" t="str">
        <f>MID(Table1[[#This Row],[Order_ID]],4,4)</f>
        <v>1006</v>
      </c>
      <c r="D66" t="str">
        <f>LEFT(Table1[[#This Row],[Order_ID]],4)</f>
        <v>ORD1</v>
      </c>
      <c r="E66" t="str">
        <f>RIGHT(Table1[[#This Row],[Order_ID]],5)</f>
        <v>10065</v>
      </c>
      <c r="F66" t="s">
        <v>5</v>
      </c>
      <c r="G66">
        <v>10065</v>
      </c>
      <c r="H66" t="s">
        <v>556</v>
      </c>
      <c r="I66" s="2">
        <f>EDATE(Table1[[#This Row],[Order_Date]],3)</f>
        <v>46185</v>
      </c>
      <c r="J66" s="2">
        <f>EDATE(Table1[[#This Row],[Order_Date]],6)</f>
        <v>46277</v>
      </c>
      <c r="K66">
        <f ca="1">YEAR(Table1[[#This Row],[Today]])</f>
        <v>2026</v>
      </c>
      <c r="L66">
        <v>65</v>
      </c>
      <c r="M66">
        <f ca="1">DAY(Table1[[#This Row],[Today]])</f>
        <v>11</v>
      </c>
      <c r="N66" s="19">
        <f t="shared" ca="1" si="6"/>
        <v>46245.589795370368</v>
      </c>
      <c r="O66" s="2">
        <f t="shared" ref="O66:O129" ca="1" si="8">TODAY()</f>
        <v>46245</v>
      </c>
      <c r="P66" s="17">
        <f ca="1">Table1[[#This Row],[Today]]-Table1[[#This Row],[Order_Date]]</f>
        <v>152</v>
      </c>
      <c r="Q66" s="2">
        <v>45722</v>
      </c>
      <c r="R66" s="2">
        <v>46093</v>
      </c>
      <c r="S66" s="6">
        <f t="shared" si="4"/>
        <v>2026</v>
      </c>
      <c r="T66" s="7" t="str">
        <f t="shared" si="5"/>
        <v>March</v>
      </c>
      <c r="U66" s="2">
        <f>WORKDAY(Table1[[#This Row],[Order_Date]],5)</f>
        <v>46100</v>
      </c>
      <c r="V66" s="7" t="str">
        <f>CONCATENATE(Table1[[#This Row],[Customer_ID]],Table1[[#This Row],[Customer_Name]])</f>
        <v>C1037Aman Singh</v>
      </c>
      <c r="W66" t="s">
        <v>557</v>
      </c>
      <c r="X66" t="s">
        <v>123</v>
      </c>
      <c r="Y66">
        <f>COUNTA(Table1[[#This Row],[Customer_Name]])</f>
        <v>1</v>
      </c>
      <c r="Z66" t="str">
        <f>SUBSTITUTE(Table1[[#This Row],[Customer_Name]]," ","_")</f>
        <v>Aman_Singh</v>
      </c>
      <c r="AA66" s="10">
        <f>IFERROR(SEARCH("a",Table1[[#This Row],[Customer_Name]]),"N/A")</f>
        <v>1</v>
      </c>
      <c r="AB66">
        <f>SEARCH(" ",Table1[[#This Row],[Customer_Name]])</f>
        <v>5</v>
      </c>
      <c r="AC66" s="11">
        <f>IFERROR(FIND("a",Table1[[#This Row],[Customer_Name]]),"N/A")</f>
        <v>3</v>
      </c>
      <c r="AD66">
        <f>FIND(" ",Table1[[#This Row],[Customer_Name]])</f>
        <v>5</v>
      </c>
      <c r="AE66" t="str">
        <f>TRIM(Table1[[#This Row],[Customer_Name]])</f>
        <v>Aman Singh</v>
      </c>
      <c r="AF66">
        <f>LEN(Table1[[#This Row],[Trimmed]])</f>
        <v>10</v>
      </c>
      <c r="AG66">
        <f>MAX(Table1[Length])</f>
        <v>15</v>
      </c>
      <c r="AH66" t="str">
        <f>PROPER(Table1[[#This Row],[Customer_Name]])</f>
        <v>Aman Singh</v>
      </c>
      <c r="AI66" t="str">
        <f>LOWER(Table1[[#This Row],[Customer_Name]])</f>
        <v>aman singh</v>
      </c>
      <c r="AJ66" t="str">
        <f>UPPER(Table1[[#This Row],[Customer_Name]])</f>
        <v>AMAN SINGH</v>
      </c>
      <c r="AK66" t="str">
        <f>CONCATENATE(Table1[[#This Row],[Customer_ID]],Table1[[#This Row],[Customer_Name]])</f>
        <v>C1037Aman Singh</v>
      </c>
      <c r="AL66" t="s">
        <v>124</v>
      </c>
      <c r="AM66" t="s">
        <v>125</v>
      </c>
      <c r="AN66" t="s">
        <v>126</v>
      </c>
      <c r="AO66" t="s">
        <v>124</v>
      </c>
      <c r="AP66" t="s">
        <v>125</v>
      </c>
      <c r="AQ66" t="s">
        <v>148</v>
      </c>
      <c r="AR66" t="str">
        <f>TRIM(Table1[[#This Row],[City]])</f>
        <v>Jaipur</v>
      </c>
      <c r="AS66" t="str">
        <f>PROPER(Table1[[#This Row],[City]])</f>
        <v>Jaipur</v>
      </c>
      <c r="AT66" t="s">
        <v>149</v>
      </c>
      <c r="AU66" t="str">
        <f>CONCATENATE(Table1[[#This Row],[City]],Table1[[#This Row],[State]])</f>
        <v>JaipurRajasthan</v>
      </c>
      <c r="AV66" t="s">
        <v>150</v>
      </c>
      <c r="AW66" t="s">
        <v>130</v>
      </c>
      <c r="AX66" t="str">
        <f>REPLACE(Table1[[#This Row],[Product_ID]],1,1,"s")</f>
        <v>s111</v>
      </c>
      <c r="AY66" t="s">
        <v>558</v>
      </c>
      <c r="AZ66">
        <f>SEARCH("-",Table1[[#This Row],[Product ID]])</f>
        <v>2</v>
      </c>
      <c r="BA66">
        <f>FIND("-",Table1[[#This Row],[Product ID]])</f>
        <v>2</v>
      </c>
      <c r="BB66" t="str">
        <f>MID(Table1[[#This Row],[Product_ID]],2,3)</f>
        <v>111</v>
      </c>
      <c r="BC66" t="str">
        <f>RIGHT(Table1[[#This Row],[Product_ID]],3)</f>
        <v>111</v>
      </c>
      <c r="BD66" t="str">
        <f>LEFT(Table1[[#This Row],[Product_ID]],3)</f>
        <v>P11</v>
      </c>
      <c r="BE66" t="str">
        <f>_xlfn.XLOOKUP(Table1[[#This Row],[Product_ID]],AW:AW,BF:BF,,0)</f>
        <v>Coffee Maker</v>
      </c>
      <c r="BF66" t="s">
        <v>132</v>
      </c>
      <c r="BG66">
        <f>LEN(Table1[[#This Row],[Product_Name]])</f>
        <v>12</v>
      </c>
      <c r="BH66" t="s">
        <v>133</v>
      </c>
      <c r="BI66">
        <f t="shared" si="7"/>
        <v>75</v>
      </c>
      <c r="BJ66" t="str">
        <f>SUBSTITUTE(Table1[[#This Row],[Category]],"Electronics","ELECTRONICS")</f>
        <v>Home</v>
      </c>
      <c r="BN66" t="s">
        <v>134</v>
      </c>
      <c r="BS66" s="14">
        <v>1</v>
      </c>
      <c r="BT66" s="3">
        <v>3999</v>
      </c>
      <c r="BU66" s="4">
        <v>10</v>
      </c>
      <c r="BV66" s="4" t="str">
        <f>IF(AND(Table1[[#This Row],[Quantity]]&gt;=3,Table1[[#This Row],[Discount_%]]&gt;=15%),"Bulk Discount","no")</f>
        <v>no</v>
      </c>
      <c r="BW66" s="4" t="str">
        <f>IF(AND(Table1[[#This Row],[Quantity]]&gt;3,Table1[[#This Row],[Discount_%]]&gt;15%),"Bulk Customer","Normal")</f>
        <v>Normal</v>
      </c>
      <c r="BX66" t="s">
        <v>172</v>
      </c>
      <c r="BY66" t="s">
        <v>374</v>
      </c>
      <c r="CC66" t="str">
        <f>IF(OR(Table1[[#This Row],[Order_Status]]="Returned",Table1[[#This Row],[Order_Status]]="Cancelled"),"Attention Required","Not")</f>
        <v>Attention Required</v>
      </c>
      <c r="CD66" t="str">
        <f>IF(OR(Table1[[#This Row],[Order_Status]]="Returned",Table1[[#This Row],[Order_Status]]="Cancelled"),"Review","no")</f>
        <v>Review</v>
      </c>
      <c r="CE66" t="str">
        <f>SUBSTITUTE(Table1[[#This Row],[Order_Status]],"Delivered","Completed")</f>
        <v>Returned</v>
      </c>
      <c r="CF66" s="2">
        <v>46096</v>
      </c>
      <c r="CG66" s="17">
        <f>NETWORKDAYS(Table1[[#This Row],[Order_Date]],Table1[[#This Row],[Delivery_Date]])</f>
        <v>2</v>
      </c>
      <c r="CH66" s="17">
        <f>Table1[[#This Row],[Delivery_Date]]-Table1[[#This Row],[Order_Date]]</f>
        <v>3</v>
      </c>
      <c r="CI66" t="s">
        <v>375</v>
      </c>
      <c r="CJ66" t="str">
        <f>IF(Table1[[#This Row],[Rating]]&gt;=4,"Good","Needs Improvement")</f>
        <v>Good</v>
      </c>
      <c r="CK66" t="str">
        <f>IF(OR(Table1[[#This Row],[Rating]]&lt;=2,Table1[[#This Row],[Profit]]&lt;0),"Review","NO")</f>
        <v>NO</v>
      </c>
      <c r="CL66" t="str" cm="1">
        <f t="array" ref="CL66">_xlfn.IFS(Table1[[#This Row],[Rating]]&gt;2,"Poor",Table1[[#This Row],[Rating]]=3,"Average",Table1[[#This Row],[Rating]]=4,"Good",CP66=5,"Excellent")</f>
        <v>Poor</v>
      </c>
      <c r="CM66">
        <f>COUNT(Table1[[#This Row],[Rating]])</f>
        <v>1</v>
      </c>
      <c r="CN66">
        <f>COUNTBLANK(Table1[[#This Row],[Rating]])</f>
        <v>0</v>
      </c>
      <c r="CP66" t="s">
        <v>194</v>
      </c>
      <c r="CQ66" s="14">
        <v>4</v>
      </c>
      <c r="CR66" t="s">
        <v>173</v>
      </c>
      <c r="CS66" t="s">
        <v>174</v>
      </c>
      <c r="CU66" s="3">
        <v>3599.1</v>
      </c>
      <c r="CV66" s="3">
        <f>ROUND(Table1[[#This Row],[Sales_Amount]],0)</f>
        <v>3599</v>
      </c>
      <c r="CW66" s="3"/>
      <c r="CX66" s="3"/>
      <c r="CY66" s="3" t="b">
        <f>IF(AND(Table1[[#This Row],[Sales_Amount]]&gt;=10000,Table1[[#This Row],[Profit]]&gt;0),"Good Order")</f>
        <v>0</v>
      </c>
      <c r="CZ66" s="3" t="str">
        <f>IF(Table1[[#This Row],[Sales_Amount]]&gt;=10000,"High","Normal")</f>
        <v>Normal</v>
      </c>
      <c r="DA66" s="3">
        <v>1099.0999999999999</v>
      </c>
      <c r="DB66" s="3">
        <f>ROUND(Table1[[#This Row],[Profit]],0)</f>
        <v>1099</v>
      </c>
      <c r="DC66" s="3">
        <f>ABS(Table1[[#This Row],[Profit]])</f>
        <v>1099.0999999999999</v>
      </c>
      <c r="DD66" s="3"/>
      <c r="DE66" s="3"/>
      <c r="DF66" s="3"/>
      <c r="DG66" s="3" t="str">
        <f>IF(Table1[[#This Row],[Profit]]&gt;0,"Profit","Loss")</f>
        <v>Profit</v>
      </c>
      <c r="DH66" s="3" t="str">
        <f>IF(AND(Table1[[#This Row],[Sales_Amount]]&gt;=10000,Table1[[#This Row],[Profit]]&gt;0),"Priority","Normal")</f>
        <v>Normal</v>
      </c>
      <c r="DI66" s="3">
        <f t="shared" ref="DI66:DI129" ca="1" si="9">RAND()</f>
        <v>0.96754537243993111</v>
      </c>
      <c r="DJ66" s="3">
        <f t="shared" ref="DJ66:DJ129" ca="1" si="10">RANDBETWEEN(1,100)</f>
        <v>48</v>
      </c>
      <c r="DK66" s="3"/>
      <c r="DL66" s="3"/>
      <c r="DM66" s="3"/>
      <c r="DN66" s="3"/>
      <c r="DO66" s="3"/>
      <c r="DP66" s="3"/>
    </row>
    <row r="67" spans="1:120">
      <c r="A67" t="s">
        <v>559</v>
      </c>
      <c r="B67" t="str">
        <f>REPLACE(Table1[[#This Row],[Order_ID]],1,3,"YOO")</f>
        <v>YOO10066</v>
      </c>
      <c r="C67" t="str">
        <f>MID(Table1[[#This Row],[Order_ID]],4,4)</f>
        <v>1006</v>
      </c>
      <c r="D67" t="str">
        <f>LEFT(Table1[[#This Row],[Order_ID]],4)</f>
        <v>ORD1</v>
      </c>
      <c r="E67" t="str">
        <f>RIGHT(Table1[[#This Row],[Order_ID]],5)</f>
        <v>10066</v>
      </c>
      <c r="F67" t="s">
        <v>5</v>
      </c>
      <c r="G67">
        <v>10066</v>
      </c>
      <c r="H67" t="s">
        <v>560</v>
      </c>
      <c r="I67" s="2">
        <f>EDATE(Table1[[#This Row],[Order_Date]],3)</f>
        <v>46045</v>
      </c>
      <c r="J67" s="2">
        <f>EDATE(Table1[[#This Row],[Order_Date]],6)</f>
        <v>46135</v>
      </c>
      <c r="K67">
        <f ca="1">YEAR(Table1[[#This Row],[Today]])</f>
        <v>2026</v>
      </c>
      <c r="L67">
        <v>66</v>
      </c>
      <c r="M67">
        <f ca="1">DAY(Table1[[#This Row],[Today]])</f>
        <v>11</v>
      </c>
      <c r="N67" s="19">
        <f t="shared" ca="1" si="6"/>
        <v>46245.589795370368</v>
      </c>
      <c r="O67" s="2">
        <f t="shared" ca="1" si="8"/>
        <v>46245</v>
      </c>
      <c r="P67" s="17">
        <f ca="1">Table1[[#This Row],[Today]]-Table1[[#This Row],[Order_Date]]</f>
        <v>292</v>
      </c>
      <c r="Q67" s="2">
        <v>45723</v>
      </c>
      <c r="R67" s="2">
        <v>45953</v>
      </c>
      <c r="S67" s="6">
        <f t="shared" ref="S67:S130" si="11">YEAR(R67)</f>
        <v>2025</v>
      </c>
      <c r="T67" s="7" t="str">
        <f t="shared" ref="T67:T130" si="12">TEXT(R67,"mmmm")</f>
        <v>October</v>
      </c>
      <c r="U67" s="2">
        <f>WORKDAY(Table1[[#This Row],[Order_Date]],5)</f>
        <v>45960</v>
      </c>
      <c r="V67" s="7" t="str">
        <f>CONCATENATE(Table1[[#This Row],[Customer_ID]],Table1[[#This Row],[Customer_Name]])</f>
        <v>C1070Aditya Malhotra</v>
      </c>
      <c r="W67" t="s">
        <v>561</v>
      </c>
      <c r="X67" t="s">
        <v>257</v>
      </c>
      <c r="Y67">
        <f>COUNTA(Table1[[#This Row],[Customer_Name]])</f>
        <v>1</v>
      </c>
      <c r="Z67" t="str">
        <f>SUBSTITUTE(Table1[[#This Row],[Customer_Name]]," ","_")</f>
        <v>Aditya_Malhotra</v>
      </c>
      <c r="AA67" s="10">
        <f>IFERROR(SEARCH("a",Table1[[#This Row],[Customer_Name]]),"N/A")</f>
        <v>1</v>
      </c>
      <c r="AB67">
        <f>SEARCH(" ",Table1[[#This Row],[Customer_Name]])</f>
        <v>7</v>
      </c>
      <c r="AC67" s="11">
        <f>IFERROR(FIND("a",Table1[[#This Row],[Customer_Name]]),"N/A")</f>
        <v>6</v>
      </c>
      <c r="AD67">
        <f>FIND(" ",Table1[[#This Row],[Customer_Name]])</f>
        <v>7</v>
      </c>
      <c r="AE67" t="str">
        <f>TRIM(Table1[[#This Row],[Customer_Name]])</f>
        <v>Aditya Malhotra</v>
      </c>
      <c r="AF67">
        <f>LEN(Table1[[#This Row],[Trimmed]])</f>
        <v>15</v>
      </c>
      <c r="AG67">
        <f>MAX(Table1[Length])</f>
        <v>15</v>
      </c>
      <c r="AH67" t="str">
        <f>PROPER(Table1[[#This Row],[Customer_Name]])</f>
        <v>Aditya Malhotra</v>
      </c>
      <c r="AI67" t="str">
        <f>LOWER(Table1[[#This Row],[Customer_Name]])</f>
        <v>aditya malhotra</v>
      </c>
      <c r="AJ67" t="str">
        <f>UPPER(Table1[[#This Row],[Customer_Name]])</f>
        <v>ADITYA MALHOTRA</v>
      </c>
      <c r="AK67" t="str">
        <f>CONCATENATE(Table1[[#This Row],[Customer_ID]],Table1[[#This Row],[Customer_Name]])</f>
        <v>C1070Aditya Malhotra</v>
      </c>
      <c r="AL67" t="s">
        <v>258</v>
      </c>
      <c r="AM67" t="s">
        <v>259</v>
      </c>
      <c r="AN67" t="s">
        <v>260</v>
      </c>
      <c r="AO67" t="s">
        <v>258</v>
      </c>
      <c r="AP67" t="s">
        <v>259</v>
      </c>
      <c r="AQ67" t="s">
        <v>233</v>
      </c>
      <c r="AR67" t="str">
        <f>TRIM(Table1[[#This Row],[City]])</f>
        <v>Kolkata</v>
      </c>
      <c r="AS67" t="str">
        <f>PROPER(Table1[[#This Row],[City]])</f>
        <v>Kolkata</v>
      </c>
      <c r="AT67" t="s">
        <v>234</v>
      </c>
      <c r="AU67" t="str">
        <f>CONCATENATE(Table1[[#This Row],[City]],Table1[[#This Row],[State]])</f>
        <v>KolkataWest Bengal</v>
      </c>
      <c r="AV67" t="s">
        <v>235</v>
      </c>
      <c r="AW67" t="s">
        <v>169</v>
      </c>
      <c r="AX67" t="str">
        <f>REPLACE(Table1[[#This Row],[Product_ID]],1,1,"s")</f>
        <v>s112</v>
      </c>
      <c r="AY67" t="s">
        <v>562</v>
      </c>
      <c r="AZ67">
        <f>SEARCH("-",Table1[[#This Row],[Product ID]])</f>
        <v>2</v>
      </c>
      <c r="BA67">
        <f>FIND("-",Table1[[#This Row],[Product ID]])</f>
        <v>2</v>
      </c>
      <c r="BB67" t="str">
        <f>MID(Table1[[#This Row],[Product_ID]],2,3)</f>
        <v>112</v>
      </c>
      <c r="BC67" t="str">
        <f>RIGHT(Table1[[#This Row],[Product_ID]],3)</f>
        <v>112</v>
      </c>
      <c r="BD67" t="str">
        <f>LEFT(Table1[[#This Row],[Product_ID]],3)</f>
        <v>P11</v>
      </c>
      <c r="BE67" t="str">
        <f>_xlfn.XLOOKUP(Table1[[#This Row],[Product_ID]],AW:AW,BF:BF,,0)</f>
        <v>Air Fryer</v>
      </c>
      <c r="BF67" t="s">
        <v>171</v>
      </c>
      <c r="BG67">
        <f>LEN(Table1[[#This Row],[Product_Name]])</f>
        <v>9</v>
      </c>
      <c r="BH67" t="s">
        <v>133</v>
      </c>
      <c r="BI67">
        <f t="shared" si="7"/>
        <v>75</v>
      </c>
      <c r="BJ67" t="str">
        <f>SUBSTITUTE(Table1[[#This Row],[Category]],"Electronics","ELECTRONICS")</f>
        <v>Home</v>
      </c>
      <c r="BN67" t="s">
        <v>134</v>
      </c>
      <c r="BS67" s="14">
        <v>4</v>
      </c>
      <c r="BT67" s="3">
        <v>6499</v>
      </c>
      <c r="BU67" s="4">
        <v>0</v>
      </c>
      <c r="BV67" s="4" t="str">
        <f>IF(AND(Table1[[#This Row],[Quantity]]&gt;=3,Table1[[#This Row],[Discount_%]]&gt;=15%),"Bulk Discount","no")</f>
        <v>no</v>
      </c>
      <c r="BW67" s="4" t="str">
        <f>IF(AND(Table1[[#This Row],[Quantity]]&gt;3,Table1[[#This Row],[Discount_%]]&gt;15%),"Bulk Customer","Normal")</f>
        <v>Normal</v>
      </c>
      <c r="BX67" t="s">
        <v>135</v>
      </c>
      <c r="BY67" t="s">
        <v>136</v>
      </c>
      <c r="CC67" t="str">
        <f>IF(OR(Table1[[#This Row],[Order_Status]]="Returned",Table1[[#This Row],[Order_Status]]="Cancelled"),"Attention Required","Not")</f>
        <v>Not</v>
      </c>
      <c r="CD67" t="str">
        <f>IF(OR(Table1[[#This Row],[Order_Status]]="Returned",Table1[[#This Row],[Order_Status]]="Cancelled"),"Review","no")</f>
        <v>no</v>
      </c>
      <c r="CE67" t="str">
        <f>SUBSTITUTE(Table1[[#This Row],[Order_Status]],"Delivered","Completed")</f>
        <v>Completed</v>
      </c>
      <c r="CF67" s="2">
        <v>45958</v>
      </c>
      <c r="CG67" s="17">
        <f>NETWORKDAYS(Table1[[#This Row],[Order_Date]],Table1[[#This Row],[Delivery_Date]])</f>
        <v>4</v>
      </c>
      <c r="CH67" s="17">
        <f>Table1[[#This Row],[Delivery_Date]]-Table1[[#This Row],[Order_Date]]</f>
        <v>5</v>
      </c>
      <c r="CI67" t="s">
        <v>137</v>
      </c>
      <c r="CJ67" t="str">
        <f>IF(Table1[[#This Row],[Rating]]&gt;=4,"Good","Needs Improvement")</f>
        <v>Good</v>
      </c>
      <c r="CK67" t="str">
        <f>IF(OR(Table1[[#This Row],[Rating]]&lt;=2,Table1[[#This Row],[Profit]]&lt;0),"Review","NO")</f>
        <v>NO</v>
      </c>
      <c r="CL67" t="str" cm="1">
        <f t="array" ref="CL67">_xlfn.IFS(Table1[[#This Row],[Rating]]&gt;2,"Poor",Table1[[#This Row],[Rating]]=3,"Average",Table1[[#This Row],[Rating]]=4,"Good",CP67=5,"Excellent")</f>
        <v>Poor</v>
      </c>
      <c r="CM67">
        <f>COUNT(Table1[[#This Row],[Rating]])</f>
        <v>1</v>
      </c>
      <c r="CN67">
        <f>COUNTBLANK(Table1[[#This Row],[Rating]])</f>
        <v>0</v>
      </c>
      <c r="CP67" t="s">
        <v>138</v>
      </c>
      <c r="CQ67" s="14">
        <v>5</v>
      </c>
      <c r="CR67" t="s">
        <v>173</v>
      </c>
      <c r="CS67" t="s">
        <v>140</v>
      </c>
      <c r="CU67" s="3">
        <v>25996</v>
      </c>
      <c r="CV67" s="3">
        <f>ROUND(Table1[[#This Row],[Sales_Amount]],0)</f>
        <v>25996</v>
      </c>
      <c r="CW67" s="3"/>
      <c r="CX67" s="3"/>
      <c r="CY67" s="3" t="str">
        <f>IF(AND(Table1[[#This Row],[Sales_Amount]]&gt;=10000,Table1[[#This Row],[Profit]]&gt;0),"Good Order")</f>
        <v>Good Order</v>
      </c>
      <c r="CZ67" s="3" t="str">
        <f>IF(Table1[[#This Row],[Sales_Amount]]&gt;=10000,"High","Normal")</f>
        <v>High</v>
      </c>
      <c r="DA67" s="3">
        <v>8796</v>
      </c>
      <c r="DB67" s="3">
        <f>ROUND(Table1[[#This Row],[Profit]],0)</f>
        <v>8796</v>
      </c>
      <c r="DC67" s="3">
        <f>ABS(Table1[[#This Row],[Profit]])</f>
        <v>8796</v>
      </c>
      <c r="DD67" s="3"/>
      <c r="DE67" s="3"/>
      <c r="DF67" s="3"/>
      <c r="DG67" s="3" t="str">
        <f>IF(Table1[[#This Row],[Profit]]&gt;0,"Profit","Loss")</f>
        <v>Profit</v>
      </c>
      <c r="DH67" s="3" t="str">
        <f>IF(AND(Table1[[#This Row],[Sales_Amount]]&gt;=10000,Table1[[#This Row],[Profit]]&gt;0),"Priority","Normal")</f>
        <v>Priority</v>
      </c>
      <c r="DI67" s="3">
        <f t="shared" ca="1" si="9"/>
        <v>0.58217414277073642</v>
      </c>
      <c r="DJ67" s="3">
        <f t="shared" ca="1" si="10"/>
        <v>66</v>
      </c>
      <c r="DK67" s="3"/>
      <c r="DL67" s="3"/>
      <c r="DM67" s="3"/>
      <c r="DN67" s="3"/>
      <c r="DO67" s="3"/>
      <c r="DP67" s="3"/>
    </row>
    <row r="68" spans="1:120">
      <c r="A68" t="s">
        <v>563</v>
      </c>
      <c r="B68" t="str">
        <f>REPLACE(Table1[[#This Row],[Order_ID]],1,3,"YOO")</f>
        <v>YOO10067</v>
      </c>
      <c r="C68" t="str">
        <f>MID(Table1[[#This Row],[Order_ID]],4,4)</f>
        <v>1006</v>
      </c>
      <c r="D68" t="str">
        <f>LEFT(Table1[[#This Row],[Order_ID]],4)</f>
        <v>ORD1</v>
      </c>
      <c r="E68" t="str">
        <f>RIGHT(Table1[[#This Row],[Order_ID]],5)</f>
        <v>10067</v>
      </c>
      <c r="F68" t="s">
        <v>5</v>
      </c>
      <c r="G68">
        <v>10067</v>
      </c>
      <c r="H68" t="s">
        <v>564</v>
      </c>
      <c r="I68" s="2">
        <f>EDATE(Table1[[#This Row],[Order_Date]],3)</f>
        <v>46192</v>
      </c>
      <c r="J68" s="2">
        <f>EDATE(Table1[[#This Row],[Order_Date]],6)</f>
        <v>46284</v>
      </c>
      <c r="K68">
        <f ca="1">YEAR(Table1[[#This Row],[Today]])</f>
        <v>2026</v>
      </c>
      <c r="L68">
        <v>67</v>
      </c>
      <c r="M68">
        <f ca="1">DAY(Table1[[#This Row],[Today]])</f>
        <v>11</v>
      </c>
      <c r="N68" s="19">
        <f t="shared" ref="N68:N131" ca="1" si="13">NOW()</f>
        <v>46245.589795138891</v>
      </c>
      <c r="O68" s="2">
        <f t="shared" ca="1" si="8"/>
        <v>46245</v>
      </c>
      <c r="P68" s="17">
        <f ca="1">Table1[[#This Row],[Today]]-Table1[[#This Row],[Order_Date]]</f>
        <v>145</v>
      </c>
      <c r="Q68" s="2">
        <v>45724</v>
      </c>
      <c r="R68" s="2">
        <v>46100</v>
      </c>
      <c r="S68" s="6">
        <f t="shared" si="11"/>
        <v>2026</v>
      </c>
      <c r="T68" s="7" t="str">
        <f t="shared" si="12"/>
        <v>March</v>
      </c>
      <c r="U68" s="2">
        <f>WORKDAY(Table1[[#This Row],[Order_Date]],5)</f>
        <v>46107</v>
      </c>
      <c r="V68" s="7" t="str">
        <f>CONCATENATE(Table1[[#This Row],[Customer_ID]],Table1[[#This Row],[Customer_Name]])</f>
        <v>C1148Varun Tiwari</v>
      </c>
      <c r="W68" t="s">
        <v>502</v>
      </c>
      <c r="X68" t="s">
        <v>178</v>
      </c>
      <c r="Y68">
        <f>COUNTA(Table1[[#This Row],[Customer_Name]])</f>
        <v>1</v>
      </c>
      <c r="Z68" t="str">
        <f>SUBSTITUTE(Table1[[#This Row],[Customer_Name]]," ","_")</f>
        <v>Varun_Tiwari</v>
      </c>
      <c r="AA68" s="10">
        <f>IFERROR(SEARCH("a",Table1[[#This Row],[Customer_Name]]),"N/A")</f>
        <v>2</v>
      </c>
      <c r="AB68">
        <f>SEARCH(" ",Table1[[#This Row],[Customer_Name]])</f>
        <v>6</v>
      </c>
      <c r="AC68" s="11">
        <f>IFERROR(FIND("a",Table1[[#This Row],[Customer_Name]]),"N/A")</f>
        <v>2</v>
      </c>
      <c r="AD68">
        <f>FIND(" ",Table1[[#This Row],[Customer_Name]])</f>
        <v>6</v>
      </c>
      <c r="AE68" t="str">
        <f>TRIM(Table1[[#This Row],[Customer_Name]])</f>
        <v>Varun Tiwari</v>
      </c>
      <c r="AF68">
        <f>LEN(Table1[[#This Row],[Trimmed]])</f>
        <v>12</v>
      </c>
      <c r="AG68">
        <f>MAX(Table1[Length])</f>
        <v>15</v>
      </c>
      <c r="AH68" t="str">
        <f>PROPER(Table1[[#This Row],[Customer_Name]])</f>
        <v>Varun Tiwari</v>
      </c>
      <c r="AI68" t="str">
        <f>LOWER(Table1[[#This Row],[Customer_Name]])</f>
        <v>varun tiwari</v>
      </c>
      <c r="AJ68" t="str">
        <f>UPPER(Table1[[#This Row],[Customer_Name]])</f>
        <v>VARUN TIWARI</v>
      </c>
      <c r="AK68" t="str">
        <f>CONCATENATE(Table1[[#This Row],[Customer_ID]],Table1[[#This Row],[Customer_Name]])</f>
        <v>C1148Varun Tiwari</v>
      </c>
      <c r="AL68" t="s">
        <v>179</v>
      </c>
      <c r="AM68" t="s">
        <v>180</v>
      </c>
      <c r="AN68" t="s">
        <v>181</v>
      </c>
      <c r="AO68" t="s">
        <v>179</v>
      </c>
      <c r="AP68" t="s">
        <v>180</v>
      </c>
      <c r="AQ68" t="s">
        <v>182</v>
      </c>
      <c r="AR68" t="str">
        <f>TRIM(Table1[[#This Row],[City]])</f>
        <v>Mumbai</v>
      </c>
      <c r="AS68" t="str">
        <f>PROPER(Table1[[#This Row],[City]])</f>
        <v>Mumbai</v>
      </c>
      <c r="AT68" t="s">
        <v>128</v>
      </c>
      <c r="AU68" t="str">
        <f>CONCATENATE(Table1[[#This Row],[City]],Table1[[#This Row],[State]])</f>
        <v>MumbaiMaharashtra</v>
      </c>
      <c r="AV68" t="s">
        <v>129</v>
      </c>
      <c r="AW68" t="s">
        <v>363</v>
      </c>
      <c r="AX68" t="str">
        <f>REPLACE(Table1[[#This Row],[Product_ID]],1,1,"s")</f>
        <v>s110</v>
      </c>
      <c r="AY68" t="s">
        <v>565</v>
      </c>
      <c r="AZ68">
        <f>SEARCH("-",Table1[[#This Row],[Product ID]])</f>
        <v>2</v>
      </c>
      <c r="BA68">
        <f>FIND("-",Table1[[#This Row],[Product ID]])</f>
        <v>2</v>
      </c>
      <c r="BB68" t="str">
        <f>MID(Table1[[#This Row],[Product_ID]],2,3)</f>
        <v>110</v>
      </c>
      <c r="BC68" t="str">
        <f>RIGHT(Table1[[#This Row],[Product_ID]],3)</f>
        <v>110</v>
      </c>
      <c r="BD68" t="str">
        <f>LEFT(Table1[[#This Row],[Product_ID]],3)</f>
        <v>P11</v>
      </c>
      <c r="BE68" t="str">
        <f>_xlfn.XLOOKUP(Table1[[#This Row],[Product_ID]],AW:AW,BF:BF,,0)</f>
        <v>Smart Watch</v>
      </c>
      <c r="BF68" t="s">
        <v>365</v>
      </c>
      <c r="BG68">
        <f>LEN(Table1[[#This Row],[Product_Name]])</f>
        <v>11</v>
      </c>
      <c r="BH68" t="s">
        <v>154</v>
      </c>
      <c r="BI68">
        <f t="shared" si="7"/>
        <v>75</v>
      </c>
      <c r="BJ68" t="str">
        <f>SUBSTITUTE(Table1[[#This Row],[Category]],"Electronics","ELECTRONICS")</f>
        <v>ELECTRONICS</v>
      </c>
      <c r="BN68" t="s">
        <v>366</v>
      </c>
      <c r="BS68" s="14">
        <v>3</v>
      </c>
      <c r="BT68" s="3">
        <v>4999</v>
      </c>
      <c r="BU68" s="4">
        <v>10</v>
      </c>
      <c r="BV68" s="4" t="str">
        <f>IF(AND(Table1[[#This Row],[Quantity]]&gt;=3,Table1[[#This Row],[Discount_%]]&gt;=15%),"Bulk Discount","no")</f>
        <v>Bulk Discount</v>
      </c>
      <c r="BW68" s="4" t="str">
        <f>IF(AND(Table1[[#This Row],[Quantity]]&gt;3,Table1[[#This Row],[Discount_%]]&gt;15%),"Bulk Customer","Normal")</f>
        <v>Normal</v>
      </c>
      <c r="BX68" t="s">
        <v>172</v>
      </c>
      <c r="BY68" t="s">
        <v>136</v>
      </c>
      <c r="CC68" t="str">
        <f>IF(OR(Table1[[#This Row],[Order_Status]]="Returned",Table1[[#This Row],[Order_Status]]="Cancelled"),"Attention Required","Not")</f>
        <v>Not</v>
      </c>
      <c r="CD68" t="str">
        <f>IF(OR(Table1[[#This Row],[Order_Status]]="Returned",Table1[[#This Row],[Order_Status]]="Cancelled"),"Review","no")</f>
        <v>no</v>
      </c>
      <c r="CE68" t="str">
        <f>SUBSTITUTE(Table1[[#This Row],[Order_Status]],"Delivered","Completed")</f>
        <v>Completed</v>
      </c>
      <c r="CF68" s="2">
        <v>46102</v>
      </c>
      <c r="CG68" s="17">
        <f>NETWORKDAYS(Table1[[#This Row],[Order_Date]],Table1[[#This Row],[Delivery_Date]])</f>
        <v>2</v>
      </c>
      <c r="CH68" s="17">
        <f>Table1[[#This Row],[Delivery_Date]]-Table1[[#This Row],[Order_Date]]</f>
        <v>2</v>
      </c>
      <c r="CI68" t="s">
        <v>137</v>
      </c>
      <c r="CJ68" t="str">
        <f>IF(Table1[[#This Row],[Rating]]&gt;=4,"Good","Needs Improvement")</f>
        <v>Good</v>
      </c>
      <c r="CK68" t="str">
        <f>IF(OR(Table1[[#This Row],[Rating]]&lt;=2,Table1[[#This Row],[Profit]]&lt;0),"Review","NO")</f>
        <v>NO</v>
      </c>
      <c r="CL68" t="str" cm="1">
        <f t="array" ref="CL68">_xlfn.IFS(Table1[[#This Row],[Rating]]&gt;2,"Poor",Table1[[#This Row],[Rating]]=3,"Average",Table1[[#This Row],[Rating]]=4,"Good",CP68=5,"Excellent")</f>
        <v>Poor</v>
      </c>
      <c r="CM68">
        <f>COUNT(Table1[[#This Row],[Rating]])</f>
        <v>1</v>
      </c>
      <c r="CN68">
        <f>COUNTBLANK(Table1[[#This Row],[Rating]])</f>
        <v>0</v>
      </c>
      <c r="CQ68" s="14">
        <v>4</v>
      </c>
      <c r="CR68" t="s">
        <v>173</v>
      </c>
      <c r="CS68" t="s">
        <v>174</v>
      </c>
      <c r="CU68" s="3">
        <v>13497.3</v>
      </c>
      <c r="CV68" s="3">
        <f>ROUND(Table1[[#This Row],[Sales_Amount]],0)</f>
        <v>13497</v>
      </c>
      <c r="CW68" s="3"/>
      <c r="CX68" s="3"/>
      <c r="CY68" s="3" t="str">
        <f>IF(AND(Table1[[#This Row],[Sales_Amount]]&gt;=10000,Table1[[#This Row],[Profit]]&gt;0),"Good Order")</f>
        <v>Good Order</v>
      </c>
      <c r="CZ68" s="3" t="str">
        <f>IF(Table1[[#This Row],[Sales_Amount]]&gt;=10000,"High","Normal")</f>
        <v>High</v>
      </c>
      <c r="DA68" s="3">
        <v>4197.3</v>
      </c>
      <c r="DB68" s="3">
        <f>ROUND(Table1[[#This Row],[Profit]],0)</f>
        <v>4197</v>
      </c>
      <c r="DC68" s="3">
        <f>ABS(Table1[[#This Row],[Profit]])</f>
        <v>4197.3</v>
      </c>
      <c r="DD68" s="3"/>
      <c r="DE68" s="3"/>
      <c r="DF68" s="3"/>
      <c r="DG68" s="3" t="str">
        <f>IF(Table1[[#This Row],[Profit]]&gt;0,"Profit","Loss")</f>
        <v>Profit</v>
      </c>
      <c r="DH68" s="3" t="str">
        <f>IF(AND(Table1[[#This Row],[Sales_Amount]]&gt;=10000,Table1[[#This Row],[Profit]]&gt;0),"Priority","Normal")</f>
        <v>Priority</v>
      </c>
      <c r="DI68" s="3">
        <f t="shared" ca="1" si="9"/>
        <v>0.52467017991078113</v>
      </c>
      <c r="DJ68" s="3">
        <f t="shared" ca="1" si="10"/>
        <v>26</v>
      </c>
      <c r="DK68" s="3"/>
      <c r="DL68" s="3"/>
      <c r="DM68" s="3"/>
      <c r="DN68" s="3"/>
      <c r="DO68" s="3"/>
      <c r="DP68" s="3"/>
    </row>
    <row r="69" spans="1:120">
      <c r="A69" t="s">
        <v>566</v>
      </c>
      <c r="B69" t="str">
        <f>REPLACE(Table1[[#This Row],[Order_ID]],1,3,"YOO")</f>
        <v>YOO10068</v>
      </c>
      <c r="C69" t="str">
        <f>MID(Table1[[#This Row],[Order_ID]],4,4)</f>
        <v>1006</v>
      </c>
      <c r="D69" t="str">
        <f>LEFT(Table1[[#This Row],[Order_ID]],4)</f>
        <v>ORD1</v>
      </c>
      <c r="E69" t="str">
        <f>RIGHT(Table1[[#This Row],[Order_ID]],5)</f>
        <v>10068</v>
      </c>
      <c r="F69" t="s">
        <v>5</v>
      </c>
      <c r="G69">
        <v>10068</v>
      </c>
      <c r="H69" t="s">
        <v>567</v>
      </c>
      <c r="I69" s="2">
        <f>EDATE(Table1[[#This Row],[Order_Date]],3)</f>
        <v>46230</v>
      </c>
      <c r="J69" s="2">
        <f>EDATE(Table1[[#This Row],[Order_Date]],6)</f>
        <v>46322</v>
      </c>
      <c r="K69">
        <f ca="1">YEAR(Table1[[#This Row],[Today]])</f>
        <v>2026</v>
      </c>
      <c r="L69">
        <v>68</v>
      </c>
      <c r="M69">
        <f ca="1">DAY(Table1[[#This Row],[Today]])</f>
        <v>11</v>
      </c>
      <c r="N69" s="19">
        <f t="shared" ca="1" si="13"/>
        <v>46245.589795370368</v>
      </c>
      <c r="O69" s="2">
        <f t="shared" ca="1" si="8"/>
        <v>46245</v>
      </c>
      <c r="P69" s="17">
        <f ca="1">Table1[[#This Row],[Today]]-Table1[[#This Row],[Order_Date]]</f>
        <v>106</v>
      </c>
      <c r="Q69" s="2">
        <v>45725</v>
      </c>
      <c r="R69" s="2">
        <v>46139</v>
      </c>
      <c r="S69" s="6">
        <f t="shared" si="11"/>
        <v>2026</v>
      </c>
      <c r="T69" s="7" t="str">
        <f t="shared" si="12"/>
        <v>April</v>
      </c>
      <c r="U69" s="2">
        <f>WORKDAY(Table1[[#This Row],[Order_Date]],5)</f>
        <v>46146</v>
      </c>
      <c r="V69" s="7" t="str">
        <f>CONCATENATE(Table1[[#This Row],[Customer_ID]],Table1[[#This Row],[Customer_Name]])</f>
        <v>C1126Aman Singh</v>
      </c>
      <c r="W69" t="s">
        <v>568</v>
      </c>
      <c r="X69" t="s">
        <v>123</v>
      </c>
      <c r="Y69">
        <f>COUNTA(Table1[[#This Row],[Customer_Name]])</f>
        <v>1</v>
      </c>
      <c r="Z69" t="str">
        <f>SUBSTITUTE(Table1[[#This Row],[Customer_Name]]," ","_")</f>
        <v>Aman_Singh</v>
      </c>
      <c r="AA69" s="10">
        <f>IFERROR(SEARCH("a",Table1[[#This Row],[Customer_Name]]),"N/A")</f>
        <v>1</v>
      </c>
      <c r="AB69">
        <f>SEARCH(" ",Table1[[#This Row],[Customer_Name]])</f>
        <v>5</v>
      </c>
      <c r="AC69" s="11">
        <f>IFERROR(FIND("a",Table1[[#This Row],[Customer_Name]]),"N/A")</f>
        <v>3</v>
      </c>
      <c r="AD69">
        <f>FIND(" ",Table1[[#This Row],[Customer_Name]])</f>
        <v>5</v>
      </c>
      <c r="AE69" t="str">
        <f>TRIM(Table1[[#This Row],[Customer_Name]])</f>
        <v>Aman Singh</v>
      </c>
      <c r="AF69">
        <f>LEN(Table1[[#This Row],[Trimmed]])</f>
        <v>10</v>
      </c>
      <c r="AG69">
        <f>MAX(Table1[Length])</f>
        <v>15</v>
      </c>
      <c r="AH69" t="str">
        <f>PROPER(Table1[[#This Row],[Customer_Name]])</f>
        <v>Aman Singh</v>
      </c>
      <c r="AI69" t="str">
        <f>LOWER(Table1[[#This Row],[Customer_Name]])</f>
        <v>aman singh</v>
      </c>
      <c r="AJ69" t="str">
        <f>UPPER(Table1[[#This Row],[Customer_Name]])</f>
        <v>AMAN SINGH</v>
      </c>
      <c r="AK69" t="str">
        <f>CONCATENATE(Table1[[#This Row],[Customer_ID]],Table1[[#This Row],[Customer_Name]])</f>
        <v>C1126Aman Singh</v>
      </c>
      <c r="AL69" t="s">
        <v>124</v>
      </c>
      <c r="AM69" t="s">
        <v>125</v>
      </c>
      <c r="AN69" t="s">
        <v>126</v>
      </c>
      <c r="AO69" t="s">
        <v>124</v>
      </c>
      <c r="AP69" t="s">
        <v>125</v>
      </c>
      <c r="AQ69" t="s">
        <v>569</v>
      </c>
      <c r="AR69" t="str">
        <f>TRIM(Table1[[#This Row],[City]])</f>
        <v>Delhi</v>
      </c>
      <c r="AS69" t="str">
        <f>PROPER(Table1[[#This Row],[City]])</f>
        <v>Delhi</v>
      </c>
      <c r="AT69" t="s">
        <v>569</v>
      </c>
      <c r="AU69" t="str">
        <f>CONCATENATE(Table1[[#This Row],[City]],Table1[[#This Row],[State]])</f>
        <v>DelhiDelhi</v>
      </c>
      <c r="AV69" t="s">
        <v>150</v>
      </c>
      <c r="AW69" t="s">
        <v>275</v>
      </c>
      <c r="AX69" t="str">
        <f>REPLACE(Table1[[#This Row],[Product_ID]],1,1,"s")</f>
        <v>s101</v>
      </c>
      <c r="AY69" t="s">
        <v>570</v>
      </c>
      <c r="AZ69">
        <f>SEARCH("-",Table1[[#This Row],[Product ID]])</f>
        <v>2</v>
      </c>
      <c r="BA69">
        <f>FIND("-",Table1[[#This Row],[Product ID]])</f>
        <v>2</v>
      </c>
      <c r="BB69" t="str">
        <f>MID(Table1[[#This Row],[Product_ID]],2,3)</f>
        <v>101</v>
      </c>
      <c r="BC69" t="str">
        <f>RIGHT(Table1[[#This Row],[Product_ID]],3)</f>
        <v>101</v>
      </c>
      <c r="BD69" t="str">
        <f>LEFT(Table1[[#This Row],[Product_ID]],3)</f>
        <v>P10</v>
      </c>
      <c r="BE69" t="str">
        <f>_xlfn.XLOOKUP(Table1[[#This Row],[Product_ID]],AW:AW,BF:BF,,0)</f>
        <v>Wireless Mouse</v>
      </c>
      <c r="BF69" t="s">
        <v>277</v>
      </c>
      <c r="BG69">
        <f>LEN(Table1[[#This Row],[Product_Name]])</f>
        <v>14</v>
      </c>
      <c r="BH69" t="s">
        <v>154</v>
      </c>
      <c r="BI69">
        <f t="shared" ref="BI69:BI132" si="14">COUNTIFS(BH:BH,"Electronics",CQ:CQ,"&gt;=4")</f>
        <v>75</v>
      </c>
      <c r="BJ69" t="str">
        <f>SUBSTITUTE(Table1[[#This Row],[Category]],"Electronics","ELECTRONICS")</f>
        <v>ELECTRONICS</v>
      </c>
      <c r="BN69" t="s">
        <v>155</v>
      </c>
      <c r="BS69" s="14">
        <v>5</v>
      </c>
      <c r="BT69" s="3">
        <v>799</v>
      </c>
      <c r="BU69" s="4">
        <v>25</v>
      </c>
      <c r="BV69" s="4" t="str">
        <f>IF(AND(Table1[[#This Row],[Quantity]]&gt;=3,Table1[[#This Row],[Discount_%]]&gt;=15%),"Bulk Discount","no")</f>
        <v>Bulk Discount</v>
      </c>
      <c r="BW69" s="4" t="str">
        <f>IF(AND(Table1[[#This Row],[Quantity]]&gt;3,Table1[[#This Row],[Discount_%]]&gt;15%),"Bulk Customer","Normal")</f>
        <v>Bulk Customer</v>
      </c>
      <c r="BX69" t="s">
        <v>330</v>
      </c>
      <c r="BY69" t="s">
        <v>136</v>
      </c>
      <c r="CC69" t="str">
        <f>IF(OR(Table1[[#This Row],[Order_Status]]="Returned",Table1[[#This Row],[Order_Status]]="Cancelled"),"Attention Required","Not")</f>
        <v>Not</v>
      </c>
      <c r="CD69" t="str">
        <f>IF(OR(Table1[[#This Row],[Order_Status]]="Returned",Table1[[#This Row],[Order_Status]]="Cancelled"),"Review","no")</f>
        <v>no</v>
      </c>
      <c r="CE69" t="str">
        <f>SUBSTITUTE(Table1[[#This Row],[Order_Status]],"Delivered","Completed")</f>
        <v>Completed</v>
      </c>
      <c r="CF69" s="2">
        <v>46142</v>
      </c>
      <c r="CG69" s="17">
        <f>NETWORKDAYS(Table1[[#This Row],[Order_Date]],Table1[[#This Row],[Delivery_Date]])</f>
        <v>4</v>
      </c>
      <c r="CH69" s="17">
        <f>Table1[[#This Row],[Delivery_Date]]-Table1[[#This Row],[Order_Date]]</f>
        <v>3</v>
      </c>
      <c r="CI69" t="s">
        <v>137</v>
      </c>
      <c r="CJ69" t="str">
        <f>IF(Table1[[#This Row],[Rating]]&gt;=4,"Good","Needs Improvement")</f>
        <v>Good</v>
      </c>
      <c r="CK69" t="str">
        <f>IF(OR(Table1[[#This Row],[Rating]]&lt;=2,Table1[[#This Row],[Profit]]&lt;0),"Review","NO")</f>
        <v>NO</v>
      </c>
      <c r="CL69" t="str" cm="1">
        <f t="array" ref="CL69">_xlfn.IFS(Table1[[#This Row],[Rating]]&gt;2,"Poor",Table1[[#This Row],[Rating]]=3,"Average",Table1[[#This Row],[Rating]]=4,"Good",CP69=5,"Excellent")</f>
        <v>Poor</v>
      </c>
      <c r="CM69">
        <f>COUNT(Table1[[#This Row],[Rating]])</f>
        <v>1</v>
      </c>
      <c r="CN69">
        <f>COUNTBLANK(Table1[[#This Row],[Rating]])</f>
        <v>0</v>
      </c>
      <c r="CP69" t="s">
        <v>157</v>
      </c>
      <c r="CQ69" s="14">
        <v>5</v>
      </c>
      <c r="CR69" t="s">
        <v>173</v>
      </c>
      <c r="CS69" t="s">
        <v>195</v>
      </c>
      <c r="CU69" s="3">
        <v>2996.25</v>
      </c>
      <c r="CV69" s="3">
        <f>ROUND(Table1[[#This Row],[Sales_Amount]],0)</f>
        <v>2996</v>
      </c>
      <c r="CW69" s="3"/>
      <c r="CX69" s="3"/>
      <c r="CY69" s="3" t="b">
        <f>IF(AND(Table1[[#This Row],[Sales_Amount]]&gt;=10000,Table1[[#This Row],[Profit]]&gt;0),"Good Order")</f>
        <v>0</v>
      </c>
      <c r="CZ69" s="3" t="str">
        <f>IF(Table1[[#This Row],[Sales_Amount]]&gt;=10000,"High","Normal")</f>
        <v>Normal</v>
      </c>
      <c r="DA69" s="3">
        <v>896.25</v>
      </c>
      <c r="DB69" s="3">
        <f>ROUND(Table1[[#This Row],[Profit]],0)</f>
        <v>896</v>
      </c>
      <c r="DC69" s="3">
        <f>ABS(Table1[[#This Row],[Profit]])</f>
        <v>896.25</v>
      </c>
      <c r="DD69" s="3"/>
      <c r="DE69" s="3"/>
      <c r="DF69" s="3"/>
      <c r="DG69" s="3" t="str">
        <f>IF(Table1[[#This Row],[Profit]]&gt;0,"Profit","Loss")</f>
        <v>Profit</v>
      </c>
      <c r="DH69" s="3" t="str">
        <f>IF(AND(Table1[[#This Row],[Sales_Amount]]&gt;=10000,Table1[[#This Row],[Profit]]&gt;0),"Priority","Normal")</f>
        <v>Normal</v>
      </c>
      <c r="DI69" s="3">
        <f t="shared" ca="1" si="9"/>
        <v>0.55609069951300361</v>
      </c>
      <c r="DJ69" s="3">
        <f t="shared" ca="1" si="10"/>
        <v>6</v>
      </c>
      <c r="DK69" s="3"/>
      <c r="DL69" s="3"/>
      <c r="DM69" s="3"/>
      <c r="DN69" s="3"/>
      <c r="DO69" s="3"/>
      <c r="DP69" s="3"/>
    </row>
    <row r="70" spans="1:120">
      <c r="A70" t="s">
        <v>571</v>
      </c>
      <c r="B70" t="str">
        <f>REPLACE(Table1[[#This Row],[Order_ID]],1,3,"YOO")</f>
        <v>YOO10069</v>
      </c>
      <c r="C70" t="str">
        <f>MID(Table1[[#This Row],[Order_ID]],4,4)</f>
        <v>1006</v>
      </c>
      <c r="D70" t="str">
        <f>LEFT(Table1[[#This Row],[Order_ID]],4)</f>
        <v>ORD1</v>
      </c>
      <c r="E70" t="str">
        <f>RIGHT(Table1[[#This Row],[Order_ID]],5)</f>
        <v>10069</v>
      </c>
      <c r="F70" t="s">
        <v>5</v>
      </c>
      <c r="G70">
        <v>10069</v>
      </c>
      <c r="H70" t="s">
        <v>572</v>
      </c>
      <c r="I70" s="2">
        <f>EDATE(Table1[[#This Row],[Order_Date]],3)</f>
        <v>45856</v>
      </c>
      <c r="J70" s="2">
        <f>EDATE(Table1[[#This Row],[Order_Date]],6)</f>
        <v>45948</v>
      </c>
      <c r="K70">
        <f ca="1">YEAR(Table1[[#This Row],[Today]])</f>
        <v>2026</v>
      </c>
      <c r="L70">
        <v>69</v>
      </c>
      <c r="M70">
        <f ca="1">DAY(Table1[[#This Row],[Today]])</f>
        <v>11</v>
      </c>
      <c r="N70" s="19">
        <f t="shared" ca="1" si="13"/>
        <v>46245.589795370368</v>
      </c>
      <c r="O70" s="2">
        <f t="shared" ca="1" si="8"/>
        <v>46245</v>
      </c>
      <c r="P70" s="17">
        <f ca="1">Table1[[#This Row],[Today]]-Table1[[#This Row],[Order_Date]]</f>
        <v>480</v>
      </c>
      <c r="Q70" s="2">
        <v>45726</v>
      </c>
      <c r="R70" s="2">
        <v>45765</v>
      </c>
      <c r="S70" s="6">
        <f t="shared" si="11"/>
        <v>2025</v>
      </c>
      <c r="T70" s="7" t="str">
        <f t="shared" si="12"/>
        <v>April</v>
      </c>
      <c r="U70" s="2">
        <f>WORKDAY(Table1[[#This Row],[Order_Date]],5)</f>
        <v>45772</v>
      </c>
      <c r="V70" s="7" t="str">
        <f>CONCATENATE(Table1[[#This Row],[Customer_ID]],Table1[[#This Row],[Customer_Name]])</f>
        <v>C1103Riya Agarwal</v>
      </c>
      <c r="W70" t="s">
        <v>207</v>
      </c>
      <c r="X70" t="s">
        <v>217</v>
      </c>
      <c r="Y70">
        <f>COUNTA(Table1[[#This Row],[Customer_Name]])</f>
        <v>1</v>
      </c>
      <c r="Z70" t="str">
        <f>SUBSTITUTE(Table1[[#This Row],[Customer_Name]]," ","_")</f>
        <v>Riya_Agarwal</v>
      </c>
      <c r="AA70" s="10">
        <f>IFERROR(SEARCH("a",Table1[[#This Row],[Customer_Name]]),"N/A")</f>
        <v>4</v>
      </c>
      <c r="AB70">
        <f>SEARCH(" ",Table1[[#This Row],[Customer_Name]])</f>
        <v>5</v>
      </c>
      <c r="AC70" s="11">
        <f>IFERROR(FIND("a",Table1[[#This Row],[Customer_Name]]),"N/A")</f>
        <v>4</v>
      </c>
      <c r="AD70">
        <f>FIND(" ",Table1[[#This Row],[Customer_Name]])</f>
        <v>5</v>
      </c>
      <c r="AE70" t="str">
        <f>TRIM(Table1[[#This Row],[Customer_Name]])</f>
        <v>Riya Agarwal</v>
      </c>
      <c r="AF70">
        <f>LEN(Table1[[#This Row],[Trimmed]])</f>
        <v>12</v>
      </c>
      <c r="AG70">
        <f>MAX(Table1[Length])</f>
        <v>15</v>
      </c>
      <c r="AH70" t="str">
        <f>PROPER(Table1[[#This Row],[Customer_Name]])</f>
        <v>Riya Agarwal</v>
      </c>
      <c r="AI70" t="str">
        <f>LOWER(Table1[[#This Row],[Customer_Name]])</f>
        <v>riya agarwal</v>
      </c>
      <c r="AJ70" t="str">
        <f>UPPER(Table1[[#This Row],[Customer_Name]])</f>
        <v>RIYA AGARWAL</v>
      </c>
      <c r="AK70" t="str">
        <f>CONCATENATE(Table1[[#This Row],[Customer_ID]],Table1[[#This Row],[Customer_Name]])</f>
        <v>C1103Riya Agarwal</v>
      </c>
      <c r="AL70" t="s">
        <v>218</v>
      </c>
      <c r="AM70" t="s">
        <v>219</v>
      </c>
      <c r="AN70" t="s">
        <v>220</v>
      </c>
      <c r="AO70" t="s">
        <v>218</v>
      </c>
      <c r="AP70" t="s">
        <v>219</v>
      </c>
      <c r="AQ70" t="s">
        <v>199</v>
      </c>
      <c r="AR70" t="str">
        <f>TRIM(Table1[[#This Row],[City]])</f>
        <v>Lucknow</v>
      </c>
      <c r="AS70" t="str">
        <f>PROPER(Table1[[#This Row],[City]])</f>
        <v>Lucknow</v>
      </c>
      <c r="AT70" t="s">
        <v>200</v>
      </c>
      <c r="AU70" t="str">
        <f>CONCATENATE(Table1[[#This Row],[City]],Table1[[#This Row],[State]])</f>
        <v>LucknowUttar Pradesh</v>
      </c>
      <c r="AV70" t="s">
        <v>150</v>
      </c>
      <c r="AW70" t="s">
        <v>221</v>
      </c>
      <c r="AX70" t="str">
        <f>REPLACE(Table1[[#This Row],[Product_ID]],1,1,"s")</f>
        <v>s106</v>
      </c>
      <c r="AY70" t="s">
        <v>573</v>
      </c>
      <c r="AZ70">
        <f>SEARCH("-",Table1[[#This Row],[Product ID]])</f>
        <v>2</v>
      </c>
      <c r="BA70">
        <f>FIND("-",Table1[[#This Row],[Product ID]])</f>
        <v>2</v>
      </c>
      <c r="BB70" t="str">
        <f>MID(Table1[[#This Row],[Product_ID]],2,3)</f>
        <v>106</v>
      </c>
      <c r="BC70" t="str">
        <f>RIGHT(Table1[[#This Row],[Product_ID]],3)</f>
        <v>106</v>
      </c>
      <c r="BD70" t="str">
        <f>LEFT(Table1[[#This Row],[Product_ID]],3)</f>
        <v>P10</v>
      </c>
      <c r="BE70" t="str">
        <f>_xlfn.XLOOKUP(Table1[[#This Row],[Product_ID]],AW:AW,BF:BF,,0)</f>
        <v>Running Shoes</v>
      </c>
      <c r="BF70" t="s">
        <v>223</v>
      </c>
      <c r="BG70">
        <f>LEN(Table1[[#This Row],[Product_Name]])</f>
        <v>13</v>
      </c>
      <c r="BH70" t="s">
        <v>224</v>
      </c>
      <c r="BI70">
        <f t="shared" si="14"/>
        <v>75</v>
      </c>
      <c r="BJ70" t="str">
        <f>SUBSTITUTE(Table1[[#This Row],[Category]],"Electronics","ELECTRONICS")</f>
        <v>Fashion</v>
      </c>
      <c r="BN70" t="s">
        <v>225</v>
      </c>
      <c r="BS70" s="14">
        <v>2</v>
      </c>
      <c r="BT70" s="3">
        <v>3499</v>
      </c>
      <c r="BU70" s="4">
        <v>15</v>
      </c>
      <c r="BV70" s="4" t="str">
        <f>IF(AND(Table1[[#This Row],[Quantity]]&gt;=3,Table1[[#This Row],[Discount_%]]&gt;=15%),"Bulk Discount","no")</f>
        <v>no</v>
      </c>
      <c r="BW70" s="4" t="str">
        <f>IF(AND(Table1[[#This Row],[Quantity]]&gt;3,Table1[[#This Row],[Discount_%]]&gt;15%),"Bulk Customer","Normal")</f>
        <v>Normal</v>
      </c>
      <c r="BX70" t="s">
        <v>172</v>
      </c>
      <c r="BY70" t="s">
        <v>136</v>
      </c>
      <c r="CC70" t="str">
        <f>IF(OR(Table1[[#This Row],[Order_Status]]="Returned",Table1[[#This Row],[Order_Status]]="Cancelled"),"Attention Required","Not")</f>
        <v>Not</v>
      </c>
      <c r="CD70" t="str">
        <f>IF(OR(Table1[[#This Row],[Order_Status]]="Returned",Table1[[#This Row],[Order_Status]]="Cancelled"),"Review","no")</f>
        <v>no</v>
      </c>
      <c r="CE70" t="str">
        <f>SUBSTITUTE(Table1[[#This Row],[Order_Status]],"Delivered","Completed")</f>
        <v>Completed</v>
      </c>
      <c r="CF70" s="2">
        <v>45773</v>
      </c>
      <c r="CG70" s="17">
        <f>NETWORKDAYS(Table1[[#This Row],[Order_Date]],Table1[[#This Row],[Delivery_Date]])</f>
        <v>6</v>
      </c>
      <c r="CH70" s="17">
        <f>Table1[[#This Row],[Delivery_Date]]-Table1[[#This Row],[Order_Date]]</f>
        <v>8</v>
      </c>
      <c r="CI70" t="s">
        <v>137</v>
      </c>
      <c r="CJ70" t="str">
        <f>IF(Table1[[#This Row],[Rating]]&gt;=4,"Good","Needs Improvement")</f>
        <v>Needs Improvement</v>
      </c>
      <c r="CK70" t="str">
        <f>IF(OR(Table1[[#This Row],[Rating]]&lt;=2,Table1[[#This Row],[Profit]]&lt;0),"Review","NO")</f>
        <v>Review</v>
      </c>
      <c r="CL70" t="e" cm="1">
        <f t="array" ref="CL70">_xlfn.IFS(Table1[[#This Row],[Rating]]&gt;2,"Poor",Table1[[#This Row],[Rating]]=3,"Average",Table1[[#This Row],[Rating]]=4,"Good",CP70=5,"Excellent")</f>
        <v>#N/A</v>
      </c>
      <c r="CM70">
        <f>COUNT(Table1[[#This Row],[Rating]])</f>
        <v>0</v>
      </c>
      <c r="CN70">
        <f>COUNTBLANK(Table1[[#This Row],[Rating]])</f>
        <v>1</v>
      </c>
      <c r="CP70" t="s">
        <v>138</v>
      </c>
      <c r="CR70" t="s">
        <v>139</v>
      </c>
      <c r="CS70" t="s">
        <v>195</v>
      </c>
      <c r="CU70" s="3">
        <v>5948.3</v>
      </c>
      <c r="CV70" s="3">
        <f>ROUND(Table1[[#This Row],[Sales_Amount]],0)</f>
        <v>5948</v>
      </c>
      <c r="CW70" s="3"/>
      <c r="CX70" s="3"/>
      <c r="CY70" s="3" t="b">
        <f>IF(AND(Table1[[#This Row],[Sales_Amount]]&gt;=10000,Table1[[#This Row],[Profit]]&gt;0),"Good Order")</f>
        <v>0</v>
      </c>
      <c r="CZ70" s="3" t="str">
        <f>IF(Table1[[#This Row],[Sales_Amount]]&gt;=10000,"High","Normal")</f>
        <v>Normal</v>
      </c>
      <c r="DA70" s="3">
        <v>2148.3000000000002</v>
      </c>
      <c r="DB70" s="3">
        <f>ROUND(Table1[[#This Row],[Profit]],0)</f>
        <v>2148</v>
      </c>
      <c r="DC70" s="3">
        <f>ABS(Table1[[#This Row],[Profit]])</f>
        <v>2148.3000000000002</v>
      </c>
      <c r="DD70" s="3"/>
      <c r="DE70" s="3"/>
      <c r="DF70" s="3"/>
      <c r="DG70" s="3" t="str">
        <f>IF(Table1[[#This Row],[Profit]]&gt;0,"Profit","Loss")</f>
        <v>Profit</v>
      </c>
      <c r="DH70" s="3" t="str">
        <f>IF(AND(Table1[[#This Row],[Sales_Amount]]&gt;=10000,Table1[[#This Row],[Profit]]&gt;0),"Priority","Normal")</f>
        <v>Normal</v>
      </c>
      <c r="DI70" s="3">
        <f t="shared" ca="1" si="9"/>
        <v>0.56461631758053377</v>
      </c>
      <c r="DJ70" s="3">
        <f t="shared" ca="1" si="10"/>
        <v>53</v>
      </c>
      <c r="DK70" s="3"/>
      <c r="DL70" s="3"/>
      <c r="DM70" s="3"/>
      <c r="DN70" s="3"/>
      <c r="DO70" s="3"/>
      <c r="DP70" s="3"/>
    </row>
    <row r="71" spans="1:120">
      <c r="A71" t="s">
        <v>574</v>
      </c>
      <c r="B71" t="str">
        <f>REPLACE(Table1[[#This Row],[Order_ID]],1,3,"YOO")</f>
        <v>YOO10070</v>
      </c>
      <c r="C71" t="str">
        <f>MID(Table1[[#This Row],[Order_ID]],4,4)</f>
        <v>1007</v>
      </c>
      <c r="D71" t="str">
        <f>LEFT(Table1[[#This Row],[Order_ID]],4)</f>
        <v>ORD1</v>
      </c>
      <c r="E71" t="str">
        <f>RIGHT(Table1[[#This Row],[Order_ID]],5)</f>
        <v>10070</v>
      </c>
      <c r="F71" t="s">
        <v>5</v>
      </c>
      <c r="G71">
        <v>10070</v>
      </c>
      <c r="H71" t="s">
        <v>575</v>
      </c>
      <c r="I71" s="2">
        <f>EDATE(Table1[[#This Row],[Order_Date]],3)</f>
        <v>45867</v>
      </c>
      <c r="J71" s="2">
        <f>EDATE(Table1[[#This Row],[Order_Date]],6)</f>
        <v>45959</v>
      </c>
      <c r="K71">
        <f ca="1">YEAR(Table1[[#This Row],[Today]])</f>
        <v>2026</v>
      </c>
      <c r="L71">
        <v>70</v>
      </c>
      <c r="M71">
        <f ca="1">DAY(Table1[[#This Row],[Today]])</f>
        <v>11</v>
      </c>
      <c r="N71" s="19">
        <f t="shared" ca="1" si="13"/>
        <v>46245.589795138891</v>
      </c>
      <c r="O71" s="2">
        <f t="shared" ca="1" si="8"/>
        <v>46245</v>
      </c>
      <c r="P71" s="17">
        <f ca="1">Table1[[#This Row],[Today]]-Table1[[#This Row],[Order_Date]]</f>
        <v>469</v>
      </c>
      <c r="Q71" s="2">
        <v>45727</v>
      </c>
      <c r="R71" s="2">
        <v>45776</v>
      </c>
      <c r="S71" s="6">
        <f t="shared" si="11"/>
        <v>2025</v>
      </c>
      <c r="T71" s="7" t="str">
        <f t="shared" si="12"/>
        <v>April</v>
      </c>
      <c r="U71" s="2">
        <f>WORKDAY(Table1[[#This Row],[Order_Date]],5)</f>
        <v>45783</v>
      </c>
      <c r="V71" s="7" t="str">
        <f>CONCATENATE(Table1[[#This Row],[Customer_ID]],Table1[[#This Row],[Customer_Name]])</f>
        <v>C1014Karan Patel</v>
      </c>
      <c r="W71" t="s">
        <v>576</v>
      </c>
      <c r="X71" t="s">
        <v>280</v>
      </c>
      <c r="Y71">
        <f>COUNTA(Table1[[#This Row],[Customer_Name]])</f>
        <v>1</v>
      </c>
      <c r="Z71" t="str">
        <f>SUBSTITUTE(Table1[[#This Row],[Customer_Name]]," ","_")</f>
        <v>Karan_Patel</v>
      </c>
      <c r="AA71" s="10">
        <f>IFERROR(SEARCH("a",Table1[[#This Row],[Customer_Name]]),"N/A")</f>
        <v>2</v>
      </c>
      <c r="AB71">
        <f>SEARCH(" ",Table1[[#This Row],[Customer_Name]])</f>
        <v>6</v>
      </c>
      <c r="AC71" s="11">
        <f>IFERROR(FIND("a",Table1[[#This Row],[Customer_Name]]),"N/A")</f>
        <v>2</v>
      </c>
      <c r="AD71">
        <f>FIND(" ",Table1[[#This Row],[Customer_Name]])</f>
        <v>6</v>
      </c>
      <c r="AE71" t="str">
        <f>TRIM(Table1[[#This Row],[Customer_Name]])</f>
        <v>Karan Patel</v>
      </c>
      <c r="AF71">
        <f>LEN(Table1[[#This Row],[Trimmed]])</f>
        <v>11</v>
      </c>
      <c r="AG71">
        <f>MAX(Table1[Length])</f>
        <v>15</v>
      </c>
      <c r="AH71" t="str">
        <f>PROPER(Table1[[#This Row],[Customer_Name]])</f>
        <v>Karan Patel</v>
      </c>
      <c r="AI71" t="str">
        <f>LOWER(Table1[[#This Row],[Customer_Name]])</f>
        <v>karan patel</v>
      </c>
      <c r="AJ71" t="str">
        <f>UPPER(Table1[[#This Row],[Customer_Name]])</f>
        <v>KARAN PATEL</v>
      </c>
      <c r="AK71" t="str">
        <f>CONCATENATE(Table1[[#This Row],[Customer_ID]],Table1[[#This Row],[Customer_Name]])</f>
        <v>C1014Karan Patel</v>
      </c>
      <c r="AL71" t="s">
        <v>281</v>
      </c>
      <c r="AM71" t="s">
        <v>282</v>
      </c>
      <c r="AN71" t="s">
        <v>283</v>
      </c>
      <c r="AO71" t="s">
        <v>281</v>
      </c>
      <c r="AP71" t="s">
        <v>282</v>
      </c>
      <c r="AQ71" t="s">
        <v>344</v>
      </c>
      <c r="AR71" t="str">
        <f>TRIM(Table1[[#This Row],[City]])</f>
        <v>Bhopal</v>
      </c>
      <c r="AS71" t="str">
        <f>PROPER(Table1[[#This Row],[City]])</f>
        <v>Bhopal</v>
      </c>
      <c r="AT71" t="s">
        <v>345</v>
      </c>
      <c r="AU71" t="str">
        <f>CONCATENATE(Table1[[#This Row],[City]],Table1[[#This Row],[State]])</f>
        <v>BhopalMadhya Pradesh</v>
      </c>
      <c r="AV71" t="s">
        <v>346</v>
      </c>
      <c r="AW71" t="s">
        <v>183</v>
      </c>
      <c r="AX71" t="str">
        <f>REPLACE(Table1[[#This Row],[Product_ID]],1,1,"s")</f>
        <v>s105</v>
      </c>
      <c r="AY71" t="s">
        <v>577</v>
      </c>
      <c r="AZ71">
        <f>SEARCH("-",Table1[[#This Row],[Product ID]])</f>
        <v>2</v>
      </c>
      <c r="BA71">
        <f>FIND("-",Table1[[#This Row],[Product ID]])</f>
        <v>2</v>
      </c>
      <c r="BB71" t="str">
        <f>MID(Table1[[#This Row],[Product_ID]],2,3)</f>
        <v>105</v>
      </c>
      <c r="BC71" t="str">
        <f>RIGHT(Table1[[#This Row],[Product_ID]],3)</f>
        <v>105</v>
      </c>
      <c r="BD71" t="str">
        <f>LEFT(Table1[[#This Row],[Product_ID]],3)</f>
        <v>P10</v>
      </c>
      <c r="BE71" t="str">
        <f>_xlfn.XLOOKUP(Table1[[#This Row],[Product_ID]],AW:AW,BF:BF,,0)</f>
        <v>Bluetooth Speaker</v>
      </c>
      <c r="BF71" t="s">
        <v>185</v>
      </c>
      <c r="BG71">
        <f>LEN(Table1[[#This Row],[Product_Name]])</f>
        <v>17</v>
      </c>
      <c r="BH71" t="s">
        <v>154</v>
      </c>
      <c r="BI71">
        <f t="shared" si="14"/>
        <v>75</v>
      </c>
      <c r="BJ71" t="str">
        <f>SUBSTITUTE(Table1[[#This Row],[Category]],"Electronics","ELECTRONICS")</f>
        <v>ELECTRONICS</v>
      </c>
      <c r="BN71" t="s">
        <v>186</v>
      </c>
      <c r="BS71" s="14">
        <v>4</v>
      </c>
      <c r="BT71" s="3">
        <v>2999</v>
      </c>
      <c r="BU71" s="4">
        <v>0</v>
      </c>
      <c r="BV71" s="4" t="str">
        <f>IF(AND(Table1[[#This Row],[Quantity]]&gt;=3,Table1[[#This Row],[Discount_%]]&gt;=15%),"Bulk Discount","no")</f>
        <v>no</v>
      </c>
      <c r="BW71" s="4" t="str">
        <f>IF(AND(Table1[[#This Row],[Quantity]]&gt;3,Table1[[#This Row],[Discount_%]]&gt;15%),"Bulk Customer","Normal")</f>
        <v>Normal</v>
      </c>
      <c r="BX71" t="s">
        <v>135</v>
      </c>
      <c r="BY71" t="s">
        <v>374</v>
      </c>
      <c r="CC71" t="str">
        <f>IF(OR(Table1[[#This Row],[Order_Status]]="Returned",Table1[[#This Row],[Order_Status]]="Cancelled"),"Attention Required","Not")</f>
        <v>Attention Required</v>
      </c>
      <c r="CD71" t="str">
        <f>IF(OR(Table1[[#This Row],[Order_Status]]="Returned",Table1[[#This Row],[Order_Status]]="Cancelled"),"Review","no")</f>
        <v>Review</v>
      </c>
      <c r="CE71" t="str">
        <f>SUBSTITUTE(Table1[[#This Row],[Order_Status]],"Delivered","Completed")</f>
        <v>Returned</v>
      </c>
      <c r="CF71" s="2">
        <v>45784</v>
      </c>
      <c r="CG71" s="17">
        <f>NETWORKDAYS(Table1[[#This Row],[Order_Date]],Table1[[#This Row],[Delivery_Date]])</f>
        <v>7</v>
      </c>
      <c r="CH71" s="17">
        <f>Table1[[#This Row],[Delivery_Date]]-Table1[[#This Row],[Order_Date]]</f>
        <v>8</v>
      </c>
      <c r="CI71" t="s">
        <v>375</v>
      </c>
      <c r="CJ71" t="str">
        <f>IF(Table1[[#This Row],[Rating]]&gt;=4,"Good","Needs Improvement")</f>
        <v>Good</v>
      </c>
      <c r="CK71" t="str">
        <f>IF(OR(Table1[[#This Row],[Rating]]&lt;=2,Table1[[#This Row],[Profit]]&lt;0),"Review","NO")</f>
        <v>NO</v>
      </c>
      <c r="CL71" t="str" cm="1">
        <f t="array" ref="CL71">_xlfn.IFS(Table1[[#This Row],[Rating]]&gt;2,"Poor",Table1[[#This Row],[Rating]]=3,"Average",Table1[[#This Row],[Rating]]=4,"Good",CP71=5,"Excellent")</f>
        <v>Poor</v>
      </c>
      <c r="CM71">
        <f>COUNT(Table1[[#This Row],[Rating]])</f>
        <v>1</v>
      </c>
      <c r="CN71">
        <f>COUNTBLANK(Table1[[#This Row],[Rating]])</f>
        <v>0</v>
      </c>
      <c r="CP71" t="s">
        <v>157</v>
      </c>
      <c r="CQ71" s="14">
        <v>5</v>
      </c>
      <c r="CR71" t="s">
        <v>204</v>
      </c>
      <c r="CS71" t="s">
        <v>267</v>
      </c>
      <c r="CU71" s="3">
        <v>11996</v>
      </c>
      <c r="CV71" s="3">
        <f>ROUND(Table1[[#This Row],[Sales_Amount]],0)</f>
        <v>11996</v>
      </c>
      <c r="CW71" s="3"/>
      <c r="CX71" s="3"/>
      <c r="CY71" s="3" t="str">
        <f>IF(AND(Table1[[#This Row],[Sales_Amount]]&gt;=10000,Table1[[#This Row],[Profit]]&gt;0),"Good Order")</f>
        <v>Good Order</v>
      </c>
      <c r="CZ71" s="3" t="str">
        <f>IF(Table1[[#This Row],[Sales_Amount]]&gt;=10000,"High","Normal")</f>
        <v>High</v>
      </c>
      <c r="DA71" s="3">
        <v>4996</v>
      </c>
      <c r="DB71" s="3">
        <f>ROUND(Table1[[#This Row],[Profit]],0)</f>
        <v>4996</v>
      </c>
      <c r="DC71" s="3">
        <f>ABS(Table1[[#This Row],[Profit]])</f>
        <v>4996</v>
      </c>
      <c r="DD71" s="3"/>
      <c r="DE71" s="3"/>
      <c r="DF71" s="3"/>
      <c r="DG71" s="3" t="str">
        <f>IF(Table1[[#This Row],[Profit]]&gt;0,"Profit","Loss")</f>
        <v>Profit</v>
      </c>
      <c r="DH71" s="3" t="str">
        <f>IF(AND(Table1[[#This Row],[Sales_Amount]]&gt;=10000,Table1[[#This Row],[Profit]]&gt;0),"Priority","Normal")</f>
        <v>Priority</v>
      </c>
      <c r="DI71" s="3">
        <f t="shared" ca="1" si="9"/>
        <v>7.392592769250883E-2</v>
      </c>
      <c r="DJ71" s="3">
        <f t="shared" ca="1" si="10"/>
        <v>96</v>
      </c>
      <c r="DK71" s="3"/>
      <c r="DL71" s="3"/>
      <c r="DM71" s="3"/>
      <c r="DN71" s="3"/>
      <c r="DO71" s="3"/>
      <c r="DP71" s="3"/>
    </row>
    <row r="72" spans="1:120">
      <c r="A72" t="s">
        <v>578</v>
      </c>
      <c r="B72" t="str">
        <f>REPLACE(Table1[[#This Row],[Order_ID]],1,3,"YOO")</f>
        <v>YOO10071</v>
      </c>
      <c r="C72" t="str">
        <f>MID(Table1[[#This Row],[Order_ID]],4,4)</f>
        <v>1007</v>
      </c>
      <c r="D72" t="str">
        <f>LEFT(Table1[[#This Row],[Order_ID]],4)</f>
        <v>ORD1</v>
      </c>
      <c r="E72" t="str">
        <f>RIGHT(Table1[[#This Row],[Order_ID]],5)</f>
        <v>10071</v>
      </c>
      <c r="F72" t="s">
        <v>5</v>
      </c>
      <c r="G72">
        <v>10071</v>
      </c>
      <c r="H72" t="s">
        <v>579</v>
      </c>
      <c r="I72" s="2">
        <f>EDATE(Table1[[#This Row],[Order_Date]],3)</f>
        <v>45799</v>
      </c>
      <c r="J72" s="2">
        <f>EDATE(Table1[[#This Row],[Order_Date]],6)</f>
        <v>45891</v>
      </c>
      <c r="K72">
        <f ca="1">YEAR(Table1[[#This Row],[Today]])</f>
        <v>2026</v>
      </c>
      <c r="L72">
        <v>71</v>
      </c>
      <c r="M72">
        <f ca="1">DAY(Table1[[#This Row],[Today]])</f>
        <v>11</v>
      </c>
      <c r="N72" s="19">
        <f t="shared" ca="1" si="13"/>
        <v>46245.589795370368</v>
      </c>
      <c r="O72" s="2">
        <f t="shared" ca="1" si="8"/>
        <v>46245</v>
      </c>
      <c r="P72" s="17">
        <f ca="1">Table1[[#This Row],[Today]]-Table1[[#This Row],[Order_Date]]</f>
        <v>535</v>
      </c>
      <c r="Q72" s="2">
        <v>45728</v>
      </c>
      <c r="R72" s="2">
        <v>45710</v>
      </c>
      <c r="S72" s="6">
        <f t="shared" si="11"/>
        <v>2025</v>
      </c>
      <c r="T72" s="7" t="str">
        <f t="shared" si="12"/>
        <v>February</v>
      </c>
      <c r="U72" s="2">
        <f>WORKDAY(Table1[[#This Row],[Order_Date]],5)</f>
        <v>45716</v>
      </c>
      <c r="V72" s="7" t="str">
        <f>CONCATENATE(Table1[[#This Row],[Customer_ID]],Table1[[#This Row],[Customer_Name]])</f>
        <v>C1113Kavya Shah</v>
      </c>
      <c r="W72" t="s">
        <v>461</v>
      </c>
      <c r="X72" t="s">
        <v>271</v>
      </c>
      <c r="Y72">
        <f>COUNTA(Table1[[#This Row],[Customer_Name]])</f>
        <v>1</v>
      </c>
      <c r="Z72" t="str">
        <f>SUBSTITUTE(Table1[[#This Row],[Customer_Name]]," ","_")</f>
        <v>Kavya_Shah</v>
      </c>
      <c r="AA72" s="10">
        <f>IFERROR(SEARCH("a",Table1[[#This Row],[Customer_Name]]),"N/A")</f>
        <v>2</v>
      </c>
      <c r="AB72">
        <f>SEARCH(" ",Table1[[#This Row],[Customer_Name]])</f>
        <v>6</v>
      </c>
      <c r="AC72" s="11">
        <f>IFERROR(FIND("a",Table1[[#This Row],[Customer_Name]]),"N/A")</f>
        <v>2</v>
      </c>
      <c r="AD72">
        <f>FIND(" ",Table1[[#This Row],[Customer_Name]])</f>
        <v>6</v>
      </c>
      <c r="AE72" t="str">
        <f>TRIM(Table1[[#This Row],[Customer_Name]])</f>
        <v>Kavya Shah</v>
      </c>
      <c r="AF72">
        <f>LEN(Table1[[#This Row],[Trimmed]])</f>
        <v>10</v>
      </c>
      <c r="AG72">
        <f>MAX(Table1[Length])</f>
        <v>15</v>
      </c>
      <c r="AH72" t="str">
        <f>PROPER(Table1[[#This Row],[Customer_Name]])</f>
        <v>Kavya Shah</v>
      </c>
      <c r="AI72" t="str">
        <f>LOWER(Table1[[#This Row],[Customer_Name]])</f>
        <v>kavya shah</v>
      </c>
      <c r="AJ72" t="str">
        <f>UPPER(Table1[[#This Row],[Customer_Name]])</f>
        <v>KAVYA SHAH</v>
      </c>
      <c r="AK72" t="str">
        <f>CONCATENATE(Table1[[#This Row],[Customer_ID]],Table1[[#This Row],[Customer_Name]])</f>
        <v>C1113Kavya Shah</v>
      </c>
      <c r="AL72" t="s">
        <v>272</v>
      </c>
      <c r="AM72" t="s">
        <v>273</v>
      </c>
      <c r="AN72" t="s">
        <v>274</v>
      </c>
      <c r="AO72" t="s">
        <v>272</v>
      </c>
      <c r="AP72" t="s">
        <v>273</v>
      </c>
      <c r="AQ72" t="s">
        <v>284</v>
      </c>
      <c r="AR72" t="str">
        <f>TRIM(Table1[[#This Row],[City]])</f>
        <v>Hyderabad</v>
      </c>
      <c r="AS72" t="str">
        <f>PROPER(Table1[[#This Row],[City]])</f>
        <v>Hyderabad</v>
      </c>
      <c r="AT72" t="s">
        <v>285</v>
      </c>
      <c r="AU72" t="str">
        <f>CONCATENATE(Table1[[#This Row],[City]],Table1[[#This Row],[State]])</f>
        <v>HyderabadTelangana</v>
      </c>
      <c r="AV72" t="s">
        <v>168</v>
      </c>
      <c r="AW72" t="s">
        <v>130</v>
      </c>
      <c r="AX72" t="str">
        <f>REPLACE(Table1[[#This Row],[Product_ID]],1,1,"s")</f>
        <v>s111</v>
      </c>
      <c r="AY72" t="s">
        <v>580</v>
      </c>
      <c r="AZ72">
        <f>SEARCH("-",Table1[[#This Row],[Product ID]])</f>
        <v>2</v>
      </c>
      <c r="BA72">
        <f>FIND("-",Table1[[#This Row],[Product ID]])</f>
        <v>2</v>
      </c>
      <c r="BB72" t="str">
        <f>MID(Table1[[#This Row],[Product_ID]],2,3)</f>
        <v>111</v>
      </c>
      <c r="BC72" t="str">
        <f>RIGHT(Table1[[#This Row],[Product_ID]],3)</f>
        <v>111</v>
      </c>
      <c r="BD72" t="str">
        <f>LEFT(Table1[[#This Row],[Product_ID]],3)</f>
        <v>P11</v>
      </c>
      <c r="BE72" t="str">
        <f>_xlfn.XLOOKUP(Table1[[#This Row],[Product_ID]],AW:AW,BF:BF,,0)</f>
        <v>Coffee Maker</v>
      </c>
      <c r="BF72" t="s">
        <v>132</v>
      </c>
      <c r="BG72">
        <f>LEN(Table1[[#This Row],[Product_Name]])</f>
        <v>12</v>
      </c>
      <c r="BH72" t="s">
        <v>133</v>
      </c>
      <c r="BI72">
        <f t="shared" si="14"/>
        <v>75</v>
      </c>
      <c r="BJ72" t="str">
        <f>SUBSTITUTE(Table1[[#This Row],[Category]],"Electronics","ELECTRONICS")</f>
        <v>Home</v>
      </c>
      <c r="BN72" t="s">
        <v>134</v>
      </c>
      <c r="BS72" s="14">
        <v>2</v>
      </c>
      <c r="BT72" s="3">
        <v>3999</v>
      </c>
      <c r="BU72" s="4">
        <v>10</v>
      </c>
      <c r="BV72" s="4" t="str">
        <f>IF(AND(Table1[[#This Row],[Quantity]]&gt;=3,Table1[[#This Row],[Discount_%]]&gt;=15%),"Bulk Discount","no")</f>
        <v>no</v>
      </c>
      <c r="BW72" s="4" t="str">
        <f>IF(AND(Table1[[#This Row],[Quantity]]&gt;3,Table1[[#This Row],[Discount_%]]&gt;15%),"Bulk Customer","Normal")</f>
        <v>Normal</v>
      </c>
      <c r="BX72" t="s">
        <v>172</v>
      </c>
      <c r="BY72" t="s">
        <v>156</v>
      </c>
      <c r="CC72" t="str">
        <f>IF(OR(Table1[[#This Row],[Order_Status]]="Returned",Table1[[#This Row],[Order_Status]]="Cancelled"),"Attention Required","Not")</f>
        <v>Attention Required</v>
      </c>
      <c r="CD72" t="str">
        <f>IF(OR(Table1[[#This Row],[Order_Status]]="Returned",Table1[[#This Row],[Order_Status]]="Cancelled"),"Review","no")</f>
        <v>Review</v>
      </c>
      <c r="CE72" t="str">
        <f>SUBSTITUTE(Table1[[#This Row],[Order_Status]],"Delivered","Completed")</f>
        <v>Cancelled</v>
      </c>
      <c r="CF72" s="2">
        <v>45713</v>
      </c>
      <c r="CG72" s="17">
        <f>NETWORKDAYS(Table1[[#This Row],[Order_Date]],Table1[[#This Row],[Delivery_Date]])</f>
        <v>2</v>
      </c>
      <c r="CH72" s="17">
        <f>Table1[[#This Row],[Delivery_Date]]-Table1[[#This Row],[Order_Date]]</f>
        <v>3</v>
      </c>
      <c r="CI72" t="s">
        <v>137</v>
      </c>
      <c r="CJ72" t="str">
        <f>IF(Table1[[#This Row],[Rating]]&gt;=4,"Good","Needs Improvement")</f>
        <v>Good</v>
      </c>
      <c r="CK72" t="str">
        <f>IF(OR(Table1[[#This Row],[Rating]]&lt;=2,Table1[[#This Row],[Profit]]&lt;0),"Review","NO")</f>
        <v>NO</v>
      </c>
      <c r="CL72" t="str" cm="1">
        <f t="array" ref="CL72">_xlfn.IFS(Table1[[#This Row],[Rating]]&gt;2,"Poor",Table1[[#This Row],[Rating]]=3,"Average",Table1[[#This Row],[Rating]]=4,"Good",CP72=5,"Excellent")</f>
        <v>Poor</v>
      </c>
      <c r="CM72">
        <f>COUNT(Table1[[#This Row],[Rating]])</f>
        <v>1</v>
      </c>
      <c r="CN72">
        <f>COUNTBLANK(Table1[[#This Row],[Rating]])</f>
        <v>0</v>
      </c>
      <c r="CP72" t="s">
        <v>331</v>
      </c>
      <c r="CQ72" s="14">
        <v>4</v>
      </c>
      <c r="CR72" t="s">
        <v>204</v>
      </c>
      <c r="CS72" t="s">
        <v>174</v>
      </c>
      <c r="CU72" s="3">
        <v>7198.2</v>
      </c>
      <c r="CV72" s="3">
        <f>ROUND(Table1[[#This Row],[Sales_Amount]],0)</f>
        <v>7198</v>
      </c>
      <c r="CW72" s="3"/>
      <c r="CX72" s="3"/>
      <c r="CY72" s="3" t="b">
        <f>IF(AND(Table1[[#This Row],[Sales_Amount]]&gt;=10000,Table1[[#This Row],[Profit]]&gt;0),"Good Order")</f>
        <v>0</v>
      </c>
      <c r="CZ72" s="3" t="str">
        <f>IF(Table1[[#This Row],[Sales_Amount]]&gt;=10000,"High","Normal")</f>
        <v>Normal</v>
      </c>
      <c r="DA72" s="3">
        <v>2198.1999999999998</v>
      </c>
      <c r="DB72" s="3">
        <f>ROUND(Table1[[#This Row],[Profit]],0)</f>
        <v>2198</v>
      </c>
      <c r="DC72" s="3">
        <f>ABS(Table1[[#This Row],[Profit]])</f>
        <v>2198.1999999999998</v>
      </c>
      <c r="DD72" s="3"/>
      <c r="DE72" s="3"/>
      <c r="DF72" s="3"/>
      <c r="DG72" s="3" t="str">
        <f>IF(Table1[[#This Row],[Profit]]&gt;0,"Profit","Loss")</f>
        <v>Profit</v>
      </c>
      <c r="DH72" s="3" t="str">
        <f>IF(AND(Table1[[#This Row],[Sales_Amount]]&gt;=10000,Table1[[#This Row],[Profit]]&gt;0),"Priority","Normal")</f>
        <v>Normal</v>
      </c>
      <c r="DI72" s="3">
        <f t="shared" ca="1" si="9"/>
        <v>0.89209415158735705</v>
      </c>
      <c r="DJ72" s="3">
        <f t="shared" ca="1" si="10"/>
        <v>17</v>
      </c>
      <c r="DK72" s="3"/>
      <c r="DL72" s="3"/>
      <c r="DM72" s="3"/>
      <c r="DN72" s="3"/>
      <c r="DO72" s="3"/>
      <c r="DP72" s="3"/>
    </row>
    <row r="73" spans="1:120">
      <c r="A73" t="s">
        <v>581</v>
      </c>
      <c r="B73" t="str">
        <f>REPLACE(Table1[[#This Row],[Order_ID]],1,3,"YOO")</f>
        <v>YOO10072</v>
      </c>
      <c r="C73" t="str">
        <f>MID(Table1[[#This Row],[Order_ID]],4,4)</f>
        <v>1007</v>
      </c>
      <c r="D73" t="str">
        <f>LEFT(Table1[[#This Row],[Order_ID]],4)</f>
        <v>ORD1</v>
      </c>
      <c r="E73" t="str">
        <f>RIGHT(Table1[[#This Row],[Order_ID]],5)</f>
        <v>10072</v>
      </c>
      <c r="F73" t="s">
        <v>5</v>
      </c>
      <c r="G73">
        <v>10072</v>
      </c>
      <c r="H73" t="s">
        <v>582</v>
      </c>
      <c r="I73" s="2">
        <f>EDATE(Table1[[#This Row],[Order_Date]],3)</f>
        <v>45912</v>
      </c>
      <c r="J73" s="2">
        <f>EDATE(Table1[[#This Row],[Order_Date]],6)</f>
        <v>46003</v>
      </c>
      <c r="K73">
        <f ca="1">YEAR(Table1[[#This Row],[Today]])</f>
        <v>2026</v>
      </c>
      <c r="L73">
        <v>72</v>
      </c>
      <c r="M73">
        <f ca="1">DAY(Table1[[#This Row],[Today]])</f>
        <v>11</v>
      </c>
      <c r="N73" s="19">
        <f t="shared" ca="1" si="13"/>
        <v>46245.589795370368</v>
      </c>
      <c r="O73" s="2">
        <f t="shared" ca="1" si="8"/>
        <v>46245</v>
      </c>
      <c r="P73" s="17">
        <f ca="1">Table1[[#This Row],[Today]]-Table1[[#This Row],[Order_Date]]</f>
        <v>425</v>
      </c>
      <c r="Q73" s="2">
        <v>45729</v>
      </c>
      <c r="R73" s="2">
        <v>45820</v>
      </c>
      <c r="S73" s="6">
        <f t="shared" si="11"/>
        <v>2025</v>
      </c>
      <c r="T73" s="7" t="str">
        <f t="shared" si="12"/>
        <v>June</v>
      </c>
      <c r="U73" s="2">
        <f>WORKDAY(Table1[[#This Row],[Order_Date]],5)</f>
        <v>45827</v>
      </c>
      <c r="V73" s="7" t="str">
        <f>CONCATENATE(Table1[[#This Row],[Customer_ID]],Table1[[#This Row],[Customer_Name]])</f>
        <v xml:space="preserve">C1058  neha gupta  </v>
      </c>
      <c r="W73" t="s">
        <v>440</v>
      </c>
      <c r="X73" t="s">
        <v>583</v>
      </c>
      <c r="Y73">
        <f>COUNTA(Table1[[#This Row],[Customer_Name]])</f>
        <v>1</v>
      </c>
      <c r="Z73" t="str">
        <f>SUBSTITUTE(Table1[[#This Row],[Customer_Name]]," ","_")</f>
        <v>__neha_gupta__</v>
      </c>
      <c r="AA73" s="10">
        <f>IFERROR(SEARCH("a",Table1[[#This Row],[Customer_Name]]),"N/A")</f>
        <v>6</v>
      </c>
      <c r="AB73">
        <f>SEARCH(" ",Table1[[#This Row],[Customer_Name]])</f>
        <v>1</v>
      </c>
      <c r="AC73" s="11">
        <f>IFERROR(FIND("a",Table1[[#This Row],[Customer_Name]]),"N/A")</f>
        <v>6</v>
      </c>
      <c r="AD73">
        <f>FIND(" ",Table1[[#This Row],[Customer_Name]])</f>
        <v>1</v>
      </c>
      <c r="AE73" t="str">
        <f>TRIM(Table1[[#This Row],[Customer_Name]])</f>
        <v>neha gupta</v>
      </c>
      <c r="AF73">
        <f>LEN(Table1[[#This Row],[Trimmed]])</f>
        <v>10</v>
      </c>
      <c r="AG73">
        <f>MAX(Table1[Length])</f>
        <v>15</v>
      </c>
      <c r="AH73" t="str">
        <f>PROPER(Table1[[#This Row],[Customer_Name]])</f>
        <v xml:space="preserve">  Neha Gupta  </v>
      </c>
      <c r="AI73" t="str">
        <f>LOWER(Table1[[#This Row],[Customer_Name]])</f>
        <v xml:space="preserve">  neha gupta  </v>
      </c>
      <c r="AJ73" t="str">
        <f>UPPER(Table1[[#This Row],[Customer_Name]])</f>
        <v xml:space="preserve">  NEHA GUPTA  </v>
      </c>
      <c r="AK73" t="str">
        <f>CONCATENATE(Table1[[#This Row],[Customer_ID]],Table1[[#This Row],[Customer_Name]])</f>
        <v xml:space="preserve">C1058  neha gupta  </v>
      </c>
      <c r="AL73" t="s">
        <v>584</v>
      </c>
      <c r="AM73" t="s">
        <v>585</v>
      </c>
      <c r="AN73" t="s">
        <v>232</v>
      </c>
      <c r="AO73" t="s">
        <v>584</v>
      </c>
      <c r="AP73" t="s">
        <v>585</v>
      </c>
      <c r="AQ73" t="s">
        <v>148</v>
      </c>
      <c r="AR73" t="str">
        <f>TRIM(Table1[[#This Row],[City]])</f>
        <v>Jaipur</v>
      </c>
      <c r="AS73" t="str">
        <f>PROPER(Table1[[#This Row],[City]])</f>
        <v>Jaipur</v>
      </c>
      <c r="AT73" t="s">
        <v>149</v>
      </c>
      <c r="AU73" t="str">
        <f>CONCATENATE(Table1[[#This Row],[City]],Table1[[#This Row],[State]])</f>
        <v>JaipurRajasthan</v>
      </c>
      <c r="AV73" t="s">
        <v>150</v>
      </c>
      <c r="AW73" t="s">
        <v>250</v>
      </c>
      <c r="AX73" t="str">
        <f>REPLACE(Table1[[#This Row],[Product_ID]],1,1,"s")</f>
        <v>s113</v>
      </c>
      <c r="AY73" t="s">
        <v>586</v>
      </c>
      <c r="AZ73">
        <f>SEARCH("-",Table1[[#This Row],[Product ID]])</f>
        <v>2</v>
      </c>
      <c r="BA73">
        <f>FIND("-",Table1[[#This Row],[Product ID]])</f>
        <v>2</v>
      </c>
      <c r="BB73" t="str">
        <f>MID(Table1[[#This Row],[Product_ID]],2,3)</f>
        <v>113</v>
      </c>
      <c r="BC73" t="str">
        <f>RIGHT(Table1[[#This Row],[Product_ID]],3)</f>
        <v>113</v>
      </c>
      <c r="BD73" t="str">
        <f>LEFT(Table1[[#This Row],[Product_ID]],3)</f>
        <v>P11</v>
      </c>
      <c r="BE73" t="str">
        <f>_xlfn.XLOOKUP(Table1[[#This Row],[Product_ID]],AW:AW,BF:BF,,0)</f>
        <v>Desk Lamp</v>
      </c>
      <c r="BF73" t="s">
        <v>252</v>
      </c>
      <c r="BG73">
        <f>LEN(Table1[[#This Row],[Product_Name]])</f>
        <v>9</v>
      </c>
      <c r="BH73" t="s">
        <v>133</v>
      </c>
      <c r="BI73">
        <f t="shared" si="14"/>
        <v>75</v>
      </c>
      <c r="BJ73" t="str">
        <f>SUBSTITUTE(Table1[[#This Row],[Category]],"Electronics","ELECTRONICS")</f>
        <v>Home</v>
      </c>
      <c r="BN73" t="s">
        <v>253</v>
      </c>
      <c r="BS73" s="14">
        <v>3</v>
      </c>
      <c r="BT73" s="3">
        <v>1299</v>
      </c>
      <c r="BU73" s="4">
        <v>0</v>
      </c>
      <c r="BV73" s="4" t="str">
        <f>IF(AND(Table1[[#This Row],[Quantity]]&gt;=3,Table1[[#This Row],[Discount_%]]&gt;=15%),"Bulk Discount","no")</f>
        <v>no</v>
      </c>
      <c r="BW73" s="4" t="str">
        <f>IF(AND(Table1[[#This Row],[Quantity]]&gt;3,Table1[[#This Row],[Discount_%]]&gt;15%),"Bulk Customer","Normal")</f>
        <v>Normal</v>
      </c>
      <c r="BX73" t="s">
        <v>330</v>
      </c>
      <c r="BY73" t="s">
        <v>156</v>
      </c>
      <c r="CC73" t="str">
        <f>IF(OR(Table1[[#This Row],[Order_Status]]="Returned",Table1[[#This Row],[Order_Status]]="Cancelled"),"Attention Required","Not")</f>
        <v>Attention Required</v>
      </c>
      <c r="CD73" t="str">
        <f>IF(OR(Table1[[#This Row],[Order_Status]]="Returned",Table1[[#This Row],[Order_Status]]="Cancelled"),"Review","no")</f>
        <v>Review</v>
      </c>
      <c r="CE73" t="str">
        <f>SUBSTITUTE(Table1[[#This Row],[Order_Status]],"Delivered","Completed")</f>
        <v>Cancelled</v>
      </c>
      <c r="CF73" s="2">
        <v>45827</v>
      </c>
      <c r="CG73" s="17">
        <f>NETWORKDAYS(Table1[[#This Row],[Order_Date]],Table1[[#This Row],[Delivery_Date]])</f>
        <v>6</v>
      </c>
      <c r="CH73" s="17">
        <f>Table1[[#This Row],[Delivery_Date]]-Table1[[#This Row],[Order_Date]]</f>
        <v>7</v>
      </c>
      <c r="CI73" t="s">
        <v>137</v>
      </c>
      <c r="CJ73" t="str">
        <f>IF(Table1[[#This Row],[Rating]]&gt;=4,"Good","Needs Improvement")</f>
        <v>Needs Improvement</v>
      </c>
      <c r="CK73" t="str">
        <f>IF(OR(Table1[[#This Row],[Rating]]&lt;=2,Table1[[#This Row],[Profit]]&lt;0),"Review","NO")</f>
        <v>Review</v>
      </c>
      <c r="CL73" t="e" cm="1">
        <f t="array" ref="CL73">_xlfn.IFS(Table1[[#This Row],[Rating]]&gt;2,"Poor",Table1[[#This Row],[Rating]]=3,"Average",Table1[[#This Row],[Rating]]=4,"Good",CP73=5,"Excellent")</f>
        <v>#N/A</v>
      </c>
      <c r="CM73">
        <f>COUNT(Table1[[#This Row],[Rating]])</f>
        <v>1</v>
      </c>
      <c r="CN73">
        <f>COUNTBLANK(Table1[[#This Row],[Rating]])</f>
        <v>0</v>
      </c>
      <c r="CP73" t="s">
        <v>331</v>
      </c>
      <c r="CQ73" s="14">
        <v>2</v>
      </c>
      <c r="CR73" t="s">
        <v>204</v>
      </c>
      <c r="CS73" t="s">
        <v>158</v>
      </c>
      <c r="CU73" s="3">
        <v>3897</v>
      </c>
      <c r="CV73" s="3">
        <f>ROUND(Table1[[#This Row],[Sales_Amount]],0)</f>
        <v>3897</v>
      </c>
      <c r="CW73" s="3"/>
      <c r="CX73" s="3"/>
      <c r="CY73" s="3" t="b">
        <f>IF(AND(Table1[[#This Row],[Sales_Amount]]&gt;=10000,Table1[[#This Row],[Profit]]&gt;0),"Good Order")</f>
        <v>0</v>
      </c>
      <c r="CZ73" s="3" t="str">
        <f>IF(Table1[[#This Row],[Sales_Amount]]&gt;=10000,"High","Normal")</f>
        <v>Normal</v>
      </c>
      <c r="DA73" s="3">
        <v>1947</v>
      </c>
      <c r="DB73" s="3">
        <f>ROUND(Table1[[#This Row],[Profit]],0)</f>
        <v>1947</v>
      </c>
      <c r="DC73" s="3">
        <f>ABS(Table1[[#This Row],[Profit]])</f>
        <v>1947</v>
      </c>
      <c r="DD73" s="3"/>
      <c r="DE73" s="3"/>
      <c r="DF73" s="3"/>
      <c r="DG73" s="3" t="str">
        <f>IF(Table1[[#This Row],[Profit]]&gt;0,"Profit","Loss")</f>
        <v>Profit</v>
      </c>
      <c r="DH73" s="3" t="str">
        <f>IF(AND(Table1[[#This Row],[Sales_Amount]]&gt;=10000,Table1[[#This Row],[Profit]]&gt;0),"Priority","Normal")</f>
        <v>Normal</v>
      </c>
      <c r="DI73" s="3">
        <f t="shared" ca="1" si="9"/>
        <v>0.18263483378884504</v>
      </c>
      <c r="DJ73" s="3">
        <f t="shared" ca="1" si="10"/>
        <v>59</v>
      </c>
      <c r="DK73" s="3"/>
      <c r="DL73" s="3"/>
      <c r="DM73" s="3"/>
      <c r="DN73" s="3"/>
      <c r="DO73" s="3"/>
      <c r="DP73" s="3"/>
    </row>
    <row r="74" spans="1:120">
      <c r="A74" t="s">
        <v>587</v>
      </c>
      <c r="B74" t="str">
        <f>REPLACE(Table1[[#This Row],[Order_ID]],1,3,"YOO")</f>
        <v>YOO10073</v>
      </c>
      <c r="C74" t="str">
        <f>MID(Table1[[#This Row],[Order_ID]],4,4)</f>
        <v>1007</v>
      </c>
      <c r="D74" t="str">
        <f>LEFT(Table1[[#This Row],[Order_ID]],4)</f>
        <v>ORD1</v>
      </c>
      <c r="E74" t="str">
        <f>RIGHT(Table1[[#This Row],[Order_ID]],5)</f>
        <v>10073</v>
      </c>
      <c r="F74" t="s">
        <v>5</v>
      </c>
      <c r="G74">
        <v>10073</v>
      </c>
      <c r="H74" t="s">
        <v>588</v>
      </c>
      <c r="I74" s="2">
        <f>EDATE(Table1[[#This Row],[Order_Date]],3)</f>
        <v>46048</v>
      </c>
      <c r="J74" s="2">
        <f>EDATE(Table1[[#This Row],[Order_Date]],6)</f>
        <v>46138</v>
      </c>
      <c r="K74">
        <f ca="1">YEAR(Table1[[#This Row],[Today]])</f>
        <v>2026</v>
      </c>
      <c r="L74">
        <v>73</v>
      </c>
      <c r="M74">
        <f ca="1">DAY(Table1[[#This Row],[Today]])</f>
        <v>11</v>
      </c>
      <c r="N74" s="19">
        <f t="shared" ca="1" si="13"/>
        <v>46245.589795138891</v>
      </c>
      <c r="O74" s="2">
        <f t="shared" ca="1" si="8"/>
        <v>46245</v>
      </c>
      <c r="P74" s="17">
        <f ca="1">Table1[[#This Row],[Today]]-Table1[[#This Row],[Order_Date]]</f>
        <v>289</v>
      </c>
      <c r="Q74" s="2">
        <v>45730</v>
      </c>
      <c r="R74" s="2">
        <v>45956</v>
      </c>
      <c r="S74" s="6">
        <f t="shared" si="11"/>
        <v>2025</v>
      </c>
      <c r="T74" s="7" t="str">
        <f t="shared" si="12"/>
        <v>October</v>
      </c>
      <c r="U74" s="2">
        <f>WORKDAY(Table1[[#This Row],[Order_Date]],5)</f>
        <v>45961</v>
      </c>
      <c r="V74" s="7" t="str">
        <f>CONCATENATE(Table1[[#This Row],[Customer_ID]],Table1[[#This Row],[Customer_Name]])</f>
        <v>C1063Nitin Soni</v>
      </c>
      <c r="W74" t="s">
        <v>589</v>
      </c>
      <c r="X74" t="s">
        <v>144</v>
      </c>
      <c r="Y74">
        <f>COUNTA(Table1[[#This Row],[Customer_Name]])</f>
        <v>1</v>
      </c>
      <c r="Z74" t="str">
        <f>SUBSTITUTE(Table1[[#This Row],[Customer_Name]]," ","_")</f>
        <v>Nitin_Soni</v>
      </c>
      <c r="AA74" s="10" t="str">
        <f>IFERROR(SEARCH("a",Table1[[#This Row],[Customer_Name]]),"N/A")</f>
        <v>N/A</v>
      </c>
      <c r="AB74">
        <f>SEARCH(" ",Table1[[#This Row],[Customer_Name]])</f>
        <v>6</v>
      </c>
      <c r="AC74" s="11" t="str">
        <f>IFERROR(FIND("a",Table1[[#This Row],[Customer_Name]]),"N/A")</f>
        <v>N/A</v>
      </c>
      <c r="AD74">
        <f>FIND(" ",Table1[[#This Row],[Customer_Name]])</f>
        <v>6</v>
      </c>
      <c r="AE74" t="str">
        <f>TRIM(Table1[[#This Row],[Customer_Name]])</f>
        <v>Nitin Soni</v>
      </c>
      <c r="AF74">
        <f>LEN(Table1[[#This Row],[Trimmed]])</f>
        <v>10</v>
      </c>
      <c r="AG74">
        <f>MAX(Table1[Length])</f>
        <v>15</v>
      </c>
      <c r="AH74" t="str">
        <f>PROPER(Table1[[#This Row],[Customer_Name]])</f>
        <v>Nitin Soni</v>
      </c>
      <c r="AI74" t="str">
        <f>LOWER(Table1[[#This Row],[Customer_Name]])</f>
        <v>nitin soni</v>
      </c>
      <c r="AJ74" t="str">
        <f>UPPER(Table1[[#This Row],[Customer_Name]])</f>
        <v>NITIN SONI</v>
      </c>
      <c r="AK74" t="str">
        <f>CONCATENATE(Table1[[#This Row],[Customer_ID]],Table1[[#This Row],[Customer_Name]])</f>
        <v>C1063Nitin Soni</v>
      </c>
      <c r="AL74" t="s">
        <v>145</v>
      </c>
      <c r="AM74" t="s">
        <v>146</v>
      </c>
      <c r="AN74" t="s">
        <v>147</v>
      </c>
      <c r="AO74" t="s">
        <v>145</v>
      </c>
      <c r="AP74" t="s">
        <v>146</v>
      </c>
      <c r="AQ74" t="s">
        <v>423</v>
      </c>
      <c r="AR74" t="str">
        <f>TRIM(Table1[[#This Row],[City]])</f>
        <v>Ahmedabad</v>
      </c>
      <c r="AS74" t="str">
        <f>PROPER(Table1[[#This Row],[City]])</f>
        <v>Ahmedabad</v>
      </c>
      <c r="AT74" t="s">
        <v>424</v>
      </c>
      <c r="AU74" t="str">
        <f>CONCATENATE(Table1[[#This Row],[City]],Table1[[#This Row],[State]])</f>
        <v>AhmedabadGujarat</v>
      </c>
      <c r="AV74" t="s">
        <v>129</v>
      </c>
      <c r="AW74" t="s">
        <v>370</v>
      </c>
      <c r="AX74" t="str">
        <f>REPLACE(Table1[[#This Row],[Product_ID]],1,1,"s")</f>
        <v>s108</v>
      </c>
      <c r="AY74" t="s">
        <v>590</v>
      </c>
      <c r="AZ74">
        <f>SEARCH("-",Table1[[#This Row],[Product ID]])</f>
        <v>2</v>
      </c>
      <c r="BA74">
        <f>FIND("-",Table1[[#This Row],[Product ID]])</f>
        <v>2</v>
      </c>
      <c r="BB74" t="str">
        <f>MID(Table1[[#This Row],[Product_ID]],2,3)</f>
        <v>108</v>
      </c>
      <c r="BC74" t="str">
        <f>RIGHT(Table1[[#This Row],[Product_ID]],3)</f>
        <v>108</v>
      </c>
      <c r="BD74" t="str">
        <f>LEFT(Table1[[#This Row],[Product_ID]],3)</f>
        <v>P10</v>
      </c>
      <c r="BE74" t="str">
        <f>_xlfn.XLOOKUP(Table1[[#This Row],[Product_ID]],AW:AW,BF:BF,,0)</f>
        <v>Hoodie</v>
      </c>
      <c r="BF74" t="s">
        <v>372</v>
      </c>
      <c r="BG74">
        <f>LEN(Table1[[#This Row],[Product_Name]])</f>
        <v>6</v>
      </c>
      <c r="BH74" t="s">
        <v>224</v>
      </c>
      <c r="BI74">
        <f t="shared" si="14"/>
        <v>75</v>
      </c>
      <c r="BJ74" t="str">
        <f>SUBSTITUTE(Table1[[#This Row],[Category]],"Electronics","ELECTRONICS")</f>
        <v>Fashion</v>
      </c>
      <c r="BN74" t="s">
        <v>373</v>
      </c>
      <c r="BS74" s="14">
        <v>5</v>
      </c>
      <c r="BT74" s="3">
        <v>1999</v>
      </c>
      <c r="BU74" s="4">
        <v>10</v>
      </c>
      <c r="BV74" s="4" t="str">
        <f>IF(AND(Table1[[#This Row],[Quantity]]&gt;=3,Table1[[#This Row],[Discount_%]]&gt;=15%),"Bulk Discount","no")</f>
        <v>Bulk Discount</v>
      </c>
      <c r="BW74" s="4" t="str">
        <f>IF(AND(Table1[[#This Row],[Quantity]]&gt;3,Table1[[#This Row],[Discount_%]]&gt;15%),"Bulk Customer","Normal")</f>
        <v>Bulk Customer</v>
      </c>
      <c r="BX74" t="s">
        <v>135</v>
      </c>
      <c r="BY74" t="s">
        <v>136</v>
      </c>
      <c r="CC74" t="str">
        <f>IF(OR(Table1[[#This Row],[Order_Status]]="Returned",Table1[[#This Row],[Order_Status]]="Cancelled"),"Attention Required","Not")</f>
        <v>Not</v>
      </c>
      <c r="CD74" t="str">
        <f>IF(OR(Table1[[#This Row],[Order_Status]]="Returned",Table1[[#This Row],[Order_Status]]="Cancelled"),"Review","no")</f>
        <v>no</v>
      </c>
      <c r="CE74" t="str">
        <f>SUBSTITUTE(Table1[[#This Row],[Order_Status]],"Delivered","Completed")</f>
        <v>Completed</v>
      </c>
      <c r="CF74" s="2">
        <v>45964</v>
      </c>
      <c r="CG74" s="17">
        <f>NETWORKDAYS(Table1[[#This Row],[Order_Date]],Table1[[#This Row],[Delivery_Date]])</f>
        <v>6</v>
      </c>
      <c r="CH74" s="17">
        <f>Table1[[#This Row],[Delivery_Date]]-Table1[[#This Row],[Order_Date]]</f>
        <v>8</v>
      </c>
      <c r="CI74" t="s">
        <v>137</v>
      </c>
      <c r="CJ74" t="str">
        <f>IF(Table1[[#This Row],[Rating]]&gt;=4,"Good","Needs Improvement")</f>
        <v>Needs Improvement</v>
      </c>
      <c r="CK74" t="str">
        <f>IF(OR(Table1[[#This Row],[Rating]]&lt;=2,Table1[[#This Row],[Profit]]&lt;0),"Review","NO")</f>
        <v>Review</v>
      </c>
      <c r="CL74" t="e" cm="1">
        <f t="array" ref="CL74">_xlfn.IFS(Table1[[#This Row],[Rating]]&gt;2,"Poor",Table1[[#This Row],[Rating]]=3,"Average",Table1[[#This Row],[Rating]]=4,"Good",CP74=5,"Excellent")</f>
        <v>#N/A</v>
      </c>
      <c r="CM74">
        <f>COUNT(Table1[[#This Row],[Rating]])</f>
        <v>0</v>
      </c>
      <c r="CN74">
        <f>COUNTBLANK(Table1[[#This Row],[Rating]])</f>
        <v>1</v>
      </c>
      <c r="CP74" t="s">
        <v>194</v>
      </c>
      <c r="CR74" t="s">
        <v>173</v>
      </c>
      <c r="CS74" t="s">
        <v>158</v>
      </c>
      <c r="CU74" s="3">
        <v>8995.5</v>
      </c>
      <c r="CV74" s="3">
        <f>ROUND(Table1[[#This Row],[Sales_Amount]],0)</f>
        <v>8996</v>
      </c>
      <c r="CW74" s="3"/>
      <c r="CX74" s="3"/>
      <c r="CY74" s="3" t="b">
        <f>IF(AND(Table1[[#This Row],[Sales_Amount]]&gt;=10000,Table1[[#This Row],[Profit]]&gt;0),"Good Order")</f>
        <v>0</v>
      </c>
      <c r="CZ74" s="3" t="str">
        <f>IF(Table1[[#This Row],[Sales_Amount]]&gt;=10000,"High","Normal")</f>
        <v>Normal</v>
      </c>
      <c r="DA74" s="3">
        <v>3745.5</v>
      </c>
      <c r="DB74" s="3">
        <f>ROUND(Table1[[#This Row],[Profit]],0)</f>
        <v>3746</v>
      </c>
      <c r="DC74" s="3">
        <f>ABS(Table1[[#This Row],[Profit]])</f>
        <v>3745.5</v>
      </c>
      <c r="DD74" s="3"/>
      <c r="DE74" s="3"/>
      <c r="DF74" s="3"/>
      <c r="DG74" s="3" t="str">
        <f>IF(Table1[[#This Row],[Profit]]&gt;0,"Profit","Loss")</f>
        <v>Profit</v>
      </c>
      <c r="DH74" s="3" t="str">
        <f>IF(AND(Table1[[#This Row],[Sales_Amount]]&gt;=10000,Table1[[#This Row],[Profit]]&gt;0),"Priority","Normal")</f>
        <v>Normal</v>
      </c>
      <c r="DI74" s="3">
        <f t="shared" ca="1" si="9"/>
        <v>0.5173060770300637</v>
      </c>
      <c r="DJ74" s="3">
        <f t="shared" ca="1" si="10"/>
        <v>30</v>
      </c>
      <c r="DK74" s="3"/>
      <c r="DL74" s="3"/>
      <c r="DM74" s="3"/>
      <c r="DN74" s="3"/>
      <c r="DO74" s="3"/>
      <c r="DP74" s="3"/>
    </row>
    <row r="75" spans="1:120">
      <c r="A75" t="s">
        <v>591</v>
      </c>
      <c r="B75" t="str">
        <f>REPLACE(Table1[[#This Row],[Order_ID]],1,3,"YOO")</f>
        <v>YOO10074</v>
      </c>
      <c r="C75" t="str">
        <f>MID(Table1[[#This Row],[Order_ID]],4,4)</f>
        <v>1007</v>
      </c>
      <c r="D75" t="str">
        <f>LEFT(Table1[[#This Row],[Order_ID]],4)</f>
        <v>ORD1</v>
      </c>
      <c r="E75" t="str">
        <f>RIGHT(Table1[[#This Row],[Order_ID]],5)</f>
        <v>10074</v>
      </c>
      <c r="F75" t="s">
        <v>5</v>
      </c>
      <c r="G75">
        <v>10074</v>
      </c>
      <c r="H75" t="s">
        <v>592</v>
      </c>
      <c r="I75" s="2">
        <f>EDATE(Table1[[#This Row],[Order_Date]],3)</f>
        <v>46270</v>
      </c>
      <c r="J75" s="2">
        <f>EDATE(Table1[[#This Row],[Order_Date]],6)</f>
        <v>46361</v>
      </c>
      <c r="K75">
        <f ca="1">YEAR(Table1[[#This Row],[Today]])</f>
        <v>2026</v>
      </c>
      <c r="L75">
        <v>74</v>
      </c>
      <c r="M75">
        <f ca="1">DAY(Table1[[#This Row],[Today]])</f>
        <v>11</v>
      </c>
      <c r="N75" s="19">
        <f t="shared" ca="1" si="13"/>
        <v>46245.589795370368</v>
      </c>
      <c r="O75" s="2">
        <f t="shared" ca="1" si="8"/>
        <v>46245</v>
      </c>
      <c r="P75" s="17">
        <f ca="1">Table1[[#This Row],[Today]]-Table1[[#This Row],[Order_Date]]</f>
        <v>67</v>
      </c>
      <c r="Q75" s="2">
        <v>45731</v>
      </c>
      <c r="R75" s="2">
        <v>46178</v>
      </c>
      <c r="S75" s="6">
        <f t="shared" si="11"/>
        <v>2026</v>
      </c>
      <c r="T75" s="7" t="str">
        <f t="shared" si="12"/>
        <v>June</v>
      </c>
      <c r="U75" s="2">
        <f>WORKDAY(Table1[[#This Row],[Order_Date]],5)</f>
        <v>46185</v>
      </c>
      <c r="V75" s="7" t="str">
        <f>CONCATENATE(Table1[[#This Row],[Customer_ID]],Table1[[#This Row],[Customer_Name]])</f>
        <v>C1130Vikas Yadav</v>
      </c>
      <c r="W75" t="s">
        <v>593</v>
      </c>
      <c r="X75" t="s">
        <v>208</v>
      </c>
      <c r="Y75">
        <f>COUNTA(Table1[[#This Row],[Customer_Name]])</f>
        <v>1</v>
      </c>
      <c r="Z75" t="str">
        <f>SUBSTITUTE(Table1[[#This Row],[Customer_Name]]," ","_")</f>
        <v>Vikas_Yadav</v>
      </c>
      <c r="AA75" s="10">
        <f>IFERROR(SEARCH("a",Table1[[#This Row],[Customer_Name]]),"N/A")</f>
        <v>4</v>
      </c>
      <c r="AB75">
        <f>SEARCH(" ",Table1[[#This Row],[Customer_Name]])</f>
        <v>6</v>
      </c>
      <c r="AC75" s="11">
        <f>IFERROR(FIND("a",Table1[[#This Row],[Customer_Name]]),"N/A")</f>
        <v>4</v>
      </c>
      <c r="AD75">
        <f>FIND(" ",Table1[[#This Row],[Customer_Name]])</f>
        <v>6</v>
      </c>
      <c r="AE75" t="str">
        <f>TRIM(Table1[[#This Row],[Customer_Name]])</f>
        <v>Vikas Yadav</v>
      </c>
      <c r="AF75">
        <f>LEN(Table1[[#This Row],[Trimmed]])</f>
        <v>11</v>
      </c>
      <c r="AG75">
        <f>MAX(Table1[Length])</f>
        <v>15</v>
      </c>
      <c r="AH75" t="str">
        <f>PROPER(Table1[[#This Row],[Customer_Name]])</f>
        <v>Vikas Yadav</v>
      </c>
      <c r="AI75" t="str">
        <f>LOWER(Table1[[#This Row],[Customer_Name]])</f>
        <v>vikas yadav</v>
      </c>
      <c r="AJ75" t="str">
        <f>UPPER(Table1[[#This Row],[Customer_Name]])</f>
        <v>VIKAS YADAV</v>
      </c>
      <c r="AK75" t="str">
        <f>CONCATENATE(Table1[[#This Row],[Customer_ID]],Table1[[#This Row],[Customer_Name]])</f>
        <v>C1130Vikas Yadav</v>
      </c>
      <c r="AL75" t="s">
        <v>209</v>
      </c>
      <c r="AM75" t="s">
        <v>210</v>
      </c>
      <c r="AN75" t="s">
        <v>211</v>
      </c>
      <c r="AO75" t="s">
        <v>209</v>
      </c>
      <c r="AP75" t="s">
        <v>210</v>
      </c>
      <c r="AQ75" t="s">
        <v>233</v>
      </c>
      <c r="AR75" t="str">
        <f>TRIM(Table1[[#This Row],[City]])</f>
        <v>Kolkata</v>
      </c>
      <c r="AS75" t="str">
        <f>PROPER(Table1[[#This Row],[City]])</f>
        <v>Kolkata</v>
      </c>
      <c r="AT75" t="s">
        <v>234</v>
      </c>
      <c r="AU75" t="str">
        <f>CONCATENATE(Table1[[#This Row],[City]],Table1[[#This Row],[State]])</f>
        <v>KolkataWest Bengal</v>
      </c>
      <c r="AV75" t="s">
        <v>235</v>
      </c>
      <c r="AW75" t="s">
        <v>338</v>
      </c>
      <c r="AX75" t="str">
        <f>REPLACE(Table1[[#This Row],[Product_ID]],1,1,"s")</f>
        <v>s115</v>
      </c>
      <c r="AY75" t="s">
        <v>594</v>
      </c>
      <c r="AZ75">
        <f>SEARCH("-",Table1[[#This Row],[Product ID]])</f>
        <v>2</v>
      </c>
      <c r="BA75">
        <f>FIND("-",Table1[[#This Row],[Product ID]])</f>
        <v>2</v>
      </c>
      <c r="BB75" t="str">
        <f>MID(Table1[[#This Row],[Product_ID]],2,3)</f>
        <v>115</v>
      </c>
      <c r="BC75" t="str">
        <f>RIGHT(Table1[[#This Row],[Product_ID]],3)</f>
        <v>115</v>
      </c>
      <c r="BD75" t="str">
        <f>LEFT(Table1[[#This Row],[Product_ID]],3)</f>
        <v>P11</v>
      </c>
      <c r="BE75" t="str">
        <f>_xlfn.XLOOKUP(Table1[[#This Row],[Product_ID]],AW:AW,BF:BF,,0)</f>
        <v>Dumbbell Set</v>
      </c>
      <c r="BF75" t="s">
        <v>340</v>
      </c>
      <c r="BG75">
        <f>LEN(Table1[[#This Row],[Product_Name]])</f>
        <v>12</v>
      </c>
      <c r="BH75" t="s">
        <v>264</v>
      </c>
      <c r="BI75">
        <f t="shared" si="14"/>
        <v>75</v>
      </c>
      <c r="BJ75" t="str">
        <f>SUBSTITUTE(Table1[[#This Row],[Category]],"Electronics","ELECTRONICS")</f>
        <v>Sports</v>
      </c>
      <c r="BN75" t="s">
        <v>265</v>
      </c>
      <c r="BS75" s="14">
        <v>2</v>
      </c>
      <c r="BT75" s="3">
        <v>2499</v>
      </c>
      <c r="BU75" s="4">
        <v>0</v>
      </c>
      <c r="BV75" s="4" t="str">
        <f>IF(AND(Table1[[#This Row],[Quantity]]&gt;=3,Table1[[#This Row],[Discount_%]]&gt;=15%),"Bulk Discount","no")</f>
        <v>no</v>
      </c>
      <c r="BW75" s="4" t="str">
        <f>IF(AND(Table1[[#This Row],[Quantity]]&gt;3,Table1[[#This Row],[Discount_%]]&gt;15%),"Bulk Customer","Normal")</f>
        <v>Normal</v>
      </c>
      <c r="BX75" t="s">
        <v>172</v>
      </c>
      <c r="BY75" t="s">
        <v>136</v>
      </c>
      <c r="CC75" t="str">
        <f>IF(OR(Table1[[#This Row],[Order_Status]]="Returned",Table1[[#This Row],[Order_Status]]="Cancelled"),"Attention Required","Not")</f>
        <v>Not</v>
      </c>
      <c r="CD75" t="str">
        <f>IF(OR(Table1[[#This Row],[Order_Status]]="Returned",Table1[[#This Row],[Order_Status]]="Cancelled"),"Review","no")</f>
        <v>no</v>
      </c>
      <c r="CE75" t="str">
        <f>SUBSTITUTE(Table1[[#This Row],[Order_Status]],"Delivered","Completed")</f>
        <v>Completed</v>
      </c>
      <c r="CF75" s="2">
        <v>46185</v>
      </c>
      <c r="CG75" s="17">
        <f>NETWORKDAYS(Table1[[#This Row],[Order_Date]],Table1[[#This Row],[Delivery_Date]])</f>
        <v>6</v>
      </c>
      <c r="CH75" s="17">
        <f>Table1[[#This Row],[Delivery_Date]]-Table1[[#This Row],[Order_Date]]</f>
        <v>7</v>
      </c>
      <c r="CI75" t="s">
        <v>137</v>
      </c>
      <c r="CJ75" t="str">
        <f>IF(Table1[[#This Row],[Rating]]&gt;=4,"Good","Needs Improvement")</f>
        <v>Good</v>
      </c>
      <c r="CK75" t="str">
        <f>IF(OR(Table1[[#This Row],[Rating]]&lt;=2,Table1[[#This Row],[Profit]]&lt;0),"Review","NO")</f>
        <v>NO</v>
      </c>
      <c r="CL75" t="str" cm="1">
        <f t="array" ref="CL75">_xlfn.IFS(Table1[[#This Row],[Rating]]&gt;2,"Poor",Table1[[#This Row],[Rating]]=3,"Average",Table1[[#This Row],[Rating]]=4,"Good",CP75=5,"Excellent")</f>
        <v>Poor</v>
      </c>
      <c r="CM75">
        <f>COUNT(Table1[[#This Row],[Rating]])</f>
        <v>1</v>
      </c>
      <c r="CN75">
        <f>COUNTBLANK(Table1[[#This Row],[Rating]])</f>
        <v>0</v>
      </c>
      <c r="CP75" t="s">
        <v>157</v>
      </c>
      <c r="CQ75" s="14">
        <v>5</v>
      </c>
      <c r="CR75" t="s">
        <v>204</v>
      </c>
      <c r="CS75" t="s">
        <v>195</v>
      </c>
      <c r="CU75" s="3">
        <v>4998</v>
      </c>
      <c r="CV75" s="3">
        <f>ROUND(Table1[[#This Row],[Sales_Amount]],0)</f>
        <v>4998</v>
      </c>
      <c r="CW75" s="3"/>
      <c r="CX75" s="3"/>
      <c r="CY75" s="3" t="b">
        <f>IF(AND(Table1[[#This Row],[Sales_Amount]]&gt;=10000,Table1[[#This Row],[Profit]]&gt;0),"Good Order")</f>
        <v>0</v>
      </c>
      <c r="CZ75" s="3" t="str">
        <f>IF(Table1[[#This Row],[Sales_Amount]]&gt;=10000,"High","Normal")</f>
        <v>Normal</v>
      </c>
      <c r="DA75" s="3">
        <v>2098</v>
      </c>
      <c r="DB75" s="3">
        <f>ROUND(Table1[[#This Row],[Profit]],0)</f>
        <v>2098</v>
      </c>
      <c r="DC75" s="3">
        <f>ABS(Table1[[#This Row],[Profit]])</f>
        <v>2098</v>
      </c>
      <c r="DD75" s="3"/>
      <c r="DE75" s="3"/>
      <c r="DF75" s="3"/>
      <c r="DG75" s="3" t="str">
        <f>IF(Table1[[#This Row],[Profit]]&gt;0,"Profit","Loss")</f>
        <v>Profit</v>
      </c>
      <c r="DH75" s="3" t="str">
        <f>IF(AND(Table1[[#This Row],[Sales_Amount]]&gt;=10000,Table1[[#This Row],[Profit]]&gt;0),"Priority","Normal")</f>
        <v>Normal</v>
      </c>
      <c r="DI75" s="3">
        <f t="shared" ca="1" si="9"/>
        <v>5.0635876213171671E-2</v>
      </c>
      <c r="DJ75" s="3">
        <f t="shared" ca="1" si="10"/>
        <v>24</v>
      </c>
      <c r="DK75" s="3"/>
      <c r="DL75" s="3"/>
      <c r="DM75" s="3"/>
      <c r="DN75" s="3"/>
      <c r="DO75" s="3"/>
      <c r="DP75" s="3"/>
    </row>
    <row r="76" spans="1:120">
      <c r="A76" t="s">
        <v>595</v>
      </c>
      <c r="B76" t="str">
        <f>REPLACE(Table1[[#This Row],[Order_ID]],1,3,"YOO")</f>
        <v>YOO10075</v>
      </c>
      <c r="C76" t="str">
        <f>MID(Table1[[#This Row],[Order_ID]],4,4)</f>
        <v>1007</v>
      </c>
      <c r="D76" t="str">
        <f>LEFT(Table1[[#This Row],[Order_ID]],4)</f>
        <v>ORD1</v>
      </c>
      <c r="E76" t="str">
        <f>RIGHT(Table1[[#This Row],[Order_ID]],5)</f>
        <v>10075</v>
      </c>
      <c r="F76" t="s">
        <v>5</v>
      </c>
      <c r="G76">
        <v>10075</v>
      </c>
      <c r="H76" t="s">
        <v>596</v>
      </c>
      <c r="I76" s="2">
        <f>EDATE(Table1[[#This Row],[Order_Date]],3)</f>
        <v>46251</v>
      </c>
      <c r="J76" s="2">
        <f>EDATE(Table1[[#This Row],[Order_Date]],6)</f>
        <v>46343</v>
      </c>
      <c r="K76">
        <f ca="1">YEAR(Table1[[#This Row],[Today]])</f>
        <v>2026</v>
      </c>
      <c r="L76">
        <v>75</v>
      </c>
      <c r="M76">
        <f ca="1">DAY(Table1[[#This Row],[Today]])</f>
        <v>11</v>
      </c>
      <c r="N76" s="19">
        <f t="shared" ca="1" si="13"/>
        <v>46245.589795370368</v>
      </c>
      <c r="O76" s="2">
        <f t="shared" ca="1" si="8"/>
        <v>46245</v>
      </c>
      <c r="P76" s="17">
        <f ca="1">Table1[[#This Row],[Today]]-Table1[[#This Row],[Order_Date]]</f>
        <v>86</v>
      </c>
      <c r="Q76" s="2">
        <v>45732</v>
      </c>
      <c r="R76" s="2">
        <v>46159</v>
      </c>
      <c r="S76" s="6">
        <f t="shared" si="11"/>
        <v>2026</v>
      </c>
      <c r="T76" s="7" t="str">
        <f t="shared" si="12"/>
        <v>May</v>
      </c>
      <c r="U76" s="2">
        <f>WORKDAY(Table1[[#This Row],[Order_Date]],5)</f>
        <v>46164</v>
      </c>
      <c r="V76" s="7" t="str">
        <f>CONCATENATE(Table1[[#This Row],[Customer_ID]],Table1[[#This Row],[Customer_Name]])</f>
        <v>C1086Riya Agarwal</v>
      </c>
      <c r="W76" t="s">
        <v>597</v>
      </c>
      <c r="X76" t="s">
        <v>217</v>
      </c>
      <c r="Y76">
        <f>COUNTA(Table1[[#This Row],[Customer_Name]])</f>
        <v>1</v>
      </c>
      <c r="Z76" t="str">
        <f>SUBSTITUTE(Table1[[#This Row],[Customer_Name]]," ","_")</f>
        <v>Riya_Agarwal</v>
      </c>
      <c r="AA76" s="10">
        <f>IFERROR(SEARCH("a",Table1[[#This Row],[Customer_Name]]),"N/A")</f>
        <v>4</v>
      </c>
      <c r="AB76">
        <f>SEARCH(" ",Table1[[#This Row],[Customer_Name]])</f>
        <v>5</v>
      </c>
      <c r="AC76" s="11">
        <f>IFERROR(FIND("a",Table1[[#This Row],[Customer_Name]]),"N/A")</f>
        <v>4</v>
      </c>
      <c r="AD76">
        <f>FIND(" ",Table1[[#This Row],[Customer_Name]])</f>
        <v>5</v>
      </c>
      <c r="AE76" t="str">
        <f>TRIM(Table1[[#This Row],[Customer_Name]])</f>
        <v>Riya Agarwal</v>
      </c>
      <c r="AF76">
        <f>LEN(Table1[[#This Row],[Trimmed]])</f>
        <v>12</v>
      </c>
      <c r="AG76">
        <f>MAX(Table1[Length])</f>
        <v>15</v>
      </c>
      <c r="AH76" t="str">
        <f>PROPER(Table1[[#This Row],[Customer_Name]])</f>
        <v>Riya Agarwal</v>
      </c>
      <c r="AI76" t="str">
        <f>LOWER(Table1[[#This Row],[Customer_Name]])</f>
        <v>riya agarwal</v>
      </c>
      <c r="AJ76" t="str">
        <f>UPPER(Table1[[#This Row],[Customer_Name]])</f>
        <v>RIYA AGARWAL</v>
      </c>
      <c r="AK76" t="str">
        <f>CONCATENATE(Table1[[#This Row],[Customer_ID]],Table1[[#This Row],[Customer_Name]])</f>
        <v>C1086Riya Agarwal</v>
      </c>
      <c r="AL76" t="s">
        <v>218</v>
      </c>
      <c r="AM76" t="s">
        <v>219</v>
      </c>
      <c r="AN76" t="s">
        <v>220</v>
      </c>
      <c r="AO76" t="s">
        <v>218</v>
      </c>
      <c r="AP76" t="s">
        <v>219</v>
      </c>
      <c r="AQ76" t="s">
        <v>233</v>
      </c>
      <c r="AR76" t="str">
        <f>TRIM(Table1[[#This Row],[City]])</f>
        <v>Kolkata</v>
      </c>
      <c r="AS76" t="str">
        <f>PROPER(Table1[[#This Row],[City]])</f>
        <v>Kolkata</v>
      </c>
      <c r="AT76" t="s">
        <v>234</v>
      </c>
      <c r="AU76" t="str">
        <f>CONCATENATE(Table1[[#This Row],[City]],Table1[[#This Row],[State]])</f>
        <v>KolkataWest Bengal</v>
      </c>
      <c r="AV76" t="s">
        <v>235</v>
      </c>
      <c r="AW76" t="s">
        <v>261</v>
      </c>
      <c r="AX76" t="str">
        <f>REPLACE(Table1[[#This Row],[Product_ID]],1,1,"s")</f>
        <v>s114</v>
      </c>
      <c r="AY76" t="s">
        <v>598</v>
      </c>
      <c r="AZ76">
        <f>SEARCH("-",Table1[[#This Row],[Product ID]])</f>
        <v>2</v>
      </c>
      <c r="BA76">
        <f>FIND("-",Table1[[#This Row],[Product ID]])</f>
        <v>2</v>
      </c>
      <c r="BB76" t="str">
        <f>MID(Table1[[#This Row],[Product_ID]],2,3)</f>
        <v>114</v>
      </c>
      <c r="BC76" t="str">
        <f>RIGHT(Table1[[#This Row],[Product_ID]],3)</f>
        <v>114</v>
      </c>
      <c r="BD76" t="str">
        <f>LEFT(Table1[[#This Row],[Product_ID]],3)</f>
        <v>P11</v>
      </c>
      <c r="BE76" t="str">
        <f>_xlfn.XLOOKUP(Table1[[#This Row],[Product_ID]],AW:AW,BF:BF,,0)</f>
        <v>Yoga Mat</v>
      </c>
      <c r="BF76" t="s">
        <v>263</v>
      </c>
      <c r="BG76">
        <f>LEN(Table1[[#This Row],[Product_Name]])</f>
        <v>8</v>
      </c>
      <c r="BH76" t="s">
        <v>264</v>
      </c>
      <c r="BI76">
        <f t="shared" si="14"/>
        <v>75</v>
      </c>
      <c r="BJ76" t="str">
        <f>SUBSTITUTE(Table1[[#This Row],[Category]],"Electronics","ELECTRONICS")</f>
        <v>Sports</v>
      </c>
      <c r="BN76" t="s">
        <v>265</v>
      </c>
      <c r="BS76" s="14">
        <v>2</v>
      </c>
      <c r="BT76" s="3">
        <v>999</v>
      </c>
      <c r="BU76" s="4">
        <v>25</v>
      </c>
      <c r="BV76" s="4" t="str">
        <f>IF(AND(Table1[[#This Row],[Quantity]]&gt;=3,Table1[[#This Row],[Discount_%]]&gt;=15%),"Bulk Discount","no")</f>
        <v>no</v>
      </c>
      <c r="BW76" s="4" t="str">
        <f>IF(AND(Table1[[#This Row],[Quantity]]&gt;3,Table1[[#This Row],[Discount_%]]&gt;15%),"Bulk Customer","Normal")</f>
        <v>Normal</v>
      </c>
      <c r="BX76" t="s">
        <v>135</v>
      </c>
      <c r="BY76" t="s">
        <v>156</v>
      </c>
      <c r="CC76" t="str">
        <f>IF(OR(Table1[[#This Row],[Order_Status]]="Returned",Table1[[#This Row],[Order_Status]]="Cancelled"),"Attention Required","Not")</f>
        <v>Attention Required</v>
      </c>
      <c r="CD76" t="str">
        <f>IF(OR(Table1[[#This Row],[Order_Status]]="Returned",Table1[[#This Row],[Order_Status]]="Cancelled"),"Review","no")</f>
        <v>Review</v>
      </c>
      <c r="CE76" t="str">
        <f>SUBSTITUTE(Table1[[#This Row],[Order_Status]],"Delivered","Completed")</f>
        <v>Cancelled</v>
      </c>
      <c r="CF76" s="2">
        <v>46167</v>
      </c>
      <c r="CG76" s="17">
        <f>NETWORKDAYS(Table1[[#This Row],[Order_Date]],Table1[[#This Row],[Delivery_Date]])</f>
        <v>6</v>
      </c>
      <c r="CH76" s="17">
        <f>Table1[[#This Row],[Delivery_Date]]-Table1[[#This Row],[Order_Date]]</f>
        <v>8</v>
      </c>
      <c r="CI76" t="s">
        <v>137</v>
      </c>
      <c r="CJ76" t="str">
        <f>IF(Table1[[#This Row],[Rating]]&gt;=4,"Good","Needs Improvement")</f>
        <v>Good</v>
      </c>
      <c r="CK76" t="str">
        <f>IF(OR(Table1[[#This Row],[Rating]]&lt;=2,Table1[[#This Row],[Profit]]&lt;0),"Review","NO")</f>
        <v>NO</v>
      </c>
      <c r="CL76" t="str" cm="1">
        <f t="array" ref="CL76">_xlfn.IFS(Table1[[#This Row],[Rating]]&gt;2,"Poor",Table1[[#This Row],[Rating]]=3,"Average",Table1[[#This Row],[Rating]]=4,"Good",CP76=5,"Excellent")</f>
        <v>Poor</v>
      </c>
      <c r="CM76">
        <f>COUNT(Table1[[#This Row],[Rating]])</f>
        <v>1</v>
      </c>
      <c r="CN76">
        <f>COUNTBLANK(Table1[[#This Row],[Rating]])</f>
        <v>0</v>
      </c>
      <c r="CP76" t="s">
        <v>138</v>
      </c>
      <c r="CQ76" s="14">
        <v>5</v>
      </c>
      <c r="CR76" t="s">
        <v>173</v>
      </c>
      <c r="CS76" t="s">
        <v>195</v>
      </c>
      <c r="CU76" s="3">
        <v>1498.5</v>
      </c>
      <c r="CV76" s="3">
        <f>ROUND(Table1[[#This Row],[Sales_Amount]],0)</f>
        <v>1499</v>
      </c>
      <c r="CW76" s="3"/>
      <c r="CX76" s="3"/>
      <c r="CY76" s="3" t="b">
        <f>IF(AND(Table1[[#This Row],[Sales_Amount]]&gt;=10000,Table1[[#This Row],[Profit]]&gt;0),"Good Order")</f>
        <v>0</v>
      </c>
      <c r="CZ76" s="3" t="str">
        <f>IF(Table1[[#This Row],[Sales_Amount]]&gt;=10000,"High","Normal")</f>
        <v>Normal</v>
      </c>
      <c r="DA76" s="3">
        <v>598.5</v>
      </c>
      <c r="DB76" s="3">
        <f>ROUND(Table1[[#This Row],[Profit]],0)</f>
        <v>599</v>
      </c>
      <c r="DC76" s="3">
        <f>ABS(Table1[[#This Row],[Profit]])</f>
        <v>598.5</v>
      </c>
      <c r="DD76" s="3"/>
      <c r="DE76" s="3"/>
      <c r="DF76" s="3"/>
      <c r="DG76" s="3" t="str">
        <f>IF(Table1[[#This Row],[Profit]]&gt;0,"Profit","Loss")</f>
        <v>Profit</v>
      </c>
      <c r="DH76" s="3" t="str">
        <f>IF(AND(Table1[[#This Row],[Sales_Amount]]&gt;=10000,Table1[[#This Row],[Profit]]&gt;0),"Priority","Normal")</f>
        <v>Normal</v>
      </c>
      <c r="DI76" s="3">
        <f t="shared" ca="1" si="9"/>
        <v>0.1516097544223316</v>
      </c>
      <c r="DJ76" s="3">
        <f t="shared" ca="1" si="10"/>
        <v>16</v>
      </c>
      <c r="DK76" s="3"/>
      <c r="DL76" s="3"/>
      <c r="DM76" s="3"/>
      <c r="DN76" s="3"/>
      <c r="DO76" s="3"/>
      <c r="DP76" s="3"/>
    </row>
    <row r="77" spans="1:120">
      <c r="A77" t="s">
        <v>599</v>
      </c>
      <c r="B77" t="str">
        <f>REPLACE(Table1[[#This Row],[Order_ID]],1,3,"YOO")</f>
        <v>YOO10076</v>
      </c>
      <c r="C77" t="str">
        <f>MID(Table1[[#This Row],[Order_ID]],4,4)</f>
        <v>1007</v>
      </c>
      <c r="D77" t="str">
        <f>LEFT(Table1[[#This Row],[Order_ID]],4)</f>
        <v>ORD1</v>
      </c>
      <c r="E77" t="str">
        <f>RIGHT(Table1[[#This Row],[Order_ID]],5)</f>
        <v>10076</v>
      </c>
      <c r="F77" t="s">
        <v>5</v>
      </c>
      <c r="G77">
        <v>10076</v>
      </c>
      <c r="H77" t="s">
        <v>600</v>
      </c>
      <c r="I77" s="2">
        <f>EDATE(Table1[[#This Row],[Order_Date]],3)</f>
        <v>45993</v>
      </c>
      <c r="J77" s="2">
        <f>EDATE(Table1[[#This Row],[Order_Date]],6)</f>
        <v>46083</v>
      </c>
      <c r="K77">
        <f ca="1">YEAR(Table1[[#This Row],[Today]])</f>
        <v>2026</v>
      </c>
      <c r="L77">
        <v>76</v>
      </c>
      <c r="M77">
        <f ca="1">DAY(Table1[[#This Row],[Today]])</f>
        <v>11</v>
      </c>
      <c r="N77" s="19">
        <f t="shared" ca="1" si="13"/>
        <v>46245.589795138891</v>
      </c>
      <c r="O77" s="2">
        <f t="shared" ca="1" si="8"/>
        <v>46245</v>
      </c>
      <c r="P77" s="17">
        <f ca="1">Table1[[#This Row],[Today]]-Table1[[#This Row],[Order_Date]]</f>
        <v>343</v>
      </c>
      <c r="Q77" s="2">
        <v>45733</v>
      </c>
      <c r="R77" s="2">
        <v>45902</v>
      </c>
      <c r="S77" s="6">
        <f t="shared" si="11"/>
        <v>2025</v>
      </c>
      <c r="T77" s="7" t="str">
        <f t="shared" si="12"/>
        <v>September</v>
      </c>
      <c r="U77" s="2">
        <f>WORKDAY(Table1[[#This Row],[Order_Date]],5)</f>
        <v>45909</v>
      </c>
      <c r="V77" s="7" t="str">
        <f>CONCATENATE(Table1[[#This Row],[Customer_ID]],Table1[[#This Row],[Customer_Name]])</f>
        <v>C1082Kavya Shah</v>
      </c>
      <c r="W77" t="s">
        <v>601</v>
      </c>
      <c r="X77" t="s">
        <v>271</v>
      </c>
      <c r="Y77">
        <f>COUNTA(Table1[[#This Row],[Customer_Name]])</f>
        <v>1</v>
      </c>
      <c r="Z77" t="str">
        <f>SUBSTITUTE(Table1[[#This Row],[Customer_Name]]," ","_")</f>
        <v>Kavya_Shah</v>
      </c>
      <c r="AA77" s="10">
        <f>IFERROR(SEARCH("a",Table1[[#This Row],[Customer_Name]]),"N/A")</f>
        <v>2</v>
      </c>
      <c r="AB77">
        <f>SEARCH(" ",Table1[[#This Row],[Customer_Name]])</f>
        <v>6</v>
      </c>
      <c r="AC77" s="11">
        <f>IFERROR(FIND("a",Table1[[#This Row],[Customer_Name]]),"N/A")</f>
        <v>2</v>
      </c>
      <c r="AD77">
        <f>FIND(" ",Table1[[#This Row],[Customer_Name]])</f>
        <v>6</v>
      </c>
      <c r="AE77" t="str">
        <f>TRIM(Table1[[#This Row],[Customer_Name]])</f>
        <v>Kavya Shah</v>
      </c>
      <c r="AF77">
        <f>LEN(Table1[[#This Row],[Trimmed]])</f>
        <v>10</v>
      </c>
      <c r="AG77">
        <f>MAX(Table1[Length])</f>
        <v>15</v>
      </c>
      <c r="AH77" t="str">
        <f>PROPER(Table1[[#This Row],[Customer_Name]])</f>
        <v>Kavya Shah</v>
      </c>
      <c r="AI77" t="str">
        <f>LOWER(Table1[[#This Row],[Customer_Name]])</f>
        <v>kavya shah</v>
      </c>
      <c r="AJ77" t="str">
        <f>UPPER(Table1[[#This Row],[Customer_Name]])</f>
        <v>KAVYA SHAH</v>
      </c>
      <c r="AK77" t="str">
        <f>CONCATENATE(Table1[[#This Row],[Customer_ID]],Table1[[#This Row],[Customer_Name]])</f>
        <v>C1082Kavya Shah</v>
      </c>
      <c r="AL77" t="s">
        <v>272</v>
      </c>
      <c r="AM77" t="s">
        <v>273</v>
      </c>
      <c r="AN77" t="s">
        <v>274</v>
      </c>
      <c r="AO77" t="s">
        <v>272</v>
      </c>
      <c r="AP77" t="s">
        <v>273</v>
      </c>
      <c r="AQ77" t="s">
        <v>148</v>
      </c>
      <c r="AR77" t="str">
        <f>TRIM(Table1[[#This Row],[City]])</f>
        <v>Jaipur</v>
      </c>
      <c r="AS77" t="str">
        <f>PROPER(Table1[[#This Row],[City]])</f>
        <v>Jaipur</v>
      </c>
      <c r="AT77" t="s">
        <v>149</v>
      </c>
      <c r="AU77" t="str">
        <f>CONCATENATE(Table1[[#This Row],[City]],Table1[[#This Row],[State]])</f>
        <v>JaipurRajasthan</v>
      </c>
      <c r="AV77" t="s">
        <v>150</v>
      </c>
      <c r="AW77" t="s">
        <v>261</v>
      </c>
      <c r="AX77" t="str">
        <f>REPLACE(Table1[[#This Row],[Product_ID]],1,1,"s")</f>
        <v>s114</v>
      </c>
      <c r="AY77" t="s">
        <v>602</v>
      </c>
      <c r="AZ77">
        <f>SEARCH("-",Table1[[#This Row],[Product ID]])</f>
        <v>2</v>
      </c>
      <c r="BA77">
        <f>FIND("-",Table1[[#This Row],[Product ID]])</f>
        <v>2</v>
      </c>
      <c r="BB77" t="str">
        <f>MID(Table1[[#This Row],[Product_ID]],2,3)</f>
        <v>114</v>
      </c>
      <c r="BC77" t="str">
        <f>RIGHT(Table1[[#This Row],[Product_ID]],3)</f>
        <v>114</v>
      </c>
      <c r="BD77" t="str">
        <f>LEFT(Table1[[#This Row],[Product_ID]],3)</f>
        <v>P11</v>
      </c>
      <c r="BE77" t="str">
        <f>_xlfn.XLOOKUP(Table1[[#This Row],[Product_ID]],AW:AW,BF:BF,,0)</f>
        <v>Yoga Mat</v>
      </c>
      <c r="BF77" t="s">
        <v>263</v>
      </c>
      <c r="BG77">
        <f>LEN(Table1[[#This Row],[Product_Name]])</f>
        <v>8</v>
      </c>
      <c r="BH77" t="s">
        <v>264</v>
      </c>
      <c r="BI77">
        <f t="shared" si="14"/>
        <v>75</v>
      </c>
      <c r="BJ77" t="str">
        <f>SUBSTITUTE(Table1[[#This Row],[Category]],"Electronics","ELECTRONICS")</f>
        <v>Sports</v>
      </c>
      <c r="BN77" t="s">
        <v>265</v>
      </c>
      <c r="BS77" s="14">
        <v>5</v>
      </c>
      <c r="BT77" s="3">
        <v>999</v>
      </c>
      <c r="BU77" s="4">
        <v>20</v>
      </c>
      <c r="BV77" s="4" t="str">
        <f>IF(AND(Table1[[#This Row],[Quantity]]&gt;=3,Table1[[#This Row],[Discount_%]]&gt;=15%),"Bulk Discount","no")</f>
        <v>Bulk Discount</v>
      </c>
      <c r="BW77" s="4" t="str">
        <f>IF(AND(Table1[[#This Row],[Quantity]]&gt;3,Table1[[#This Row],[Discount_%]]&gt;15%),"Bulk Customer","Normal")</f>
        <v>Bulk Customer</v>
      </c>
      <c r="BX77" t="s">
        <v>330</v>
      </c>
      <c r="BY77" t="s">
        <v>136</v>
      </c>
      <c r="CC77" t="str">
        <f>IF(OR(Table1[[#This Row],[Order_Status]]="Returned",Table1[[#This Row],[Order_Status]]="Cancelled"),"Attention Required","Not")</f>
        <v>Not</v>
      </c>
      <c r="CD77" t="str">
        <f>IF(OR(Table1[[#This Row],[Order_Status]]="Returned",Table1[[#This Row],[Order_Status]]="Cancelled"),"Review","no")</f>
        <v>no</v>
      </c>
      <c r="CE77" t="str">
        <f>SUBSTITUTE(Table1[[#This Row],[Order_Status]],"Delivered","Completed")</f>
        <v>Completed</v>
      </c>
      <c r="CF77" s="2">
        <v>45909</v>
      </c>
      <c r="CG77" s="17">
        <f>NETWORKDAYS(Table1[[#This Row],[Order_Date]],Table1[[#This Row],[Delivery_Date]])</f>
        <v>6</v>
      </c>
      <c r="CH77" s="17">
        <f>Table1[[#This Row],[Delivery_Date]]-Table1[[#This Row],[Order_Date]]</f>
        <v>7</v>
      </c>
      <c r="CI77" t="s">
        <v>137</v>
      </c>
      <c r="CJ77" t="str">
        <f>IF(Table1[[#This Row],[Rating]]&gt;=4,"Good","Needs Improvement")</f>
        <v>Needs Improvement</v>
      </c>
      <c r="CK77" t="str">
        <f>IF(OR(Table1[[#This Row],[Rating]]&lt;=2,Table1[[#This Row],[Profit]]&lt;0),"Review","NO")</f>
        <v>Review</v>
      </c>
      <c r="CL77" t="e" cm="1">
        <f t="array" ref="CL77">_xlfn.IFS(Table1[[#This Row],[Rating]]&gt;2,"Poor",Table1[[#This Row],[Rating]]=3,"Average",Table1[[#This Row],[Rating]]=4,"Good",CP77=5,"Excellent")</f>
        <v>#N/A</v>
      </c>
      <c r="CM77">
        <f>COUNT(Table1[[#This Row],[Rating]])</f>
        <v>1</v>
      </c>
      <c r="CN77">
        <f>COUNTBLANK(Table1[[#This Row],[Rating]])</f>
        <v>0</v>
      </c>
      <c r="CP77" t="s">
        <v>138</v>
      </c>
      <c r="CQ77" s="14">
        <v>1</v>
      </c>
      <c r="CR77" t="s">
        <v>204</v>
      </c>
      <c r="CS77" t="s">
        <v>213</v>
      </c>
      <c r="CU77" s="3">
        <v>3996</v>
      </c>
      <c r="CV77" s="3">
        <f>ROUND(Table1[[#This Row],[Sales_Amount]],0)</f>
        <v>3996</v>
      </c>
      <c r="CW77" s="3"/>
      <c r="CX77" s="3"/>
      <c r="CY77" s="3" t="b">
        <f>IF(AND(Table1[[#This Row],[Sales_Amount]]&gt;=10000,Table1[[#This Row],[Profit]]&gt;0),"Good Order")</f>
        <v>0</v>
      </c>
      <c r="CZ77" s="3" t="str">
        <f>IF(Table1[[#This Row],[Sales_Amount]]&gt;=10000,"High","Normal")</f>
        <v>Normal</v>
      </c>
      <c r="DA77" s="3">
        <v>1746</v>
      </c>
      <c r="DB77" s="3">
        <f>ROUND(Table1[[#This Row],[Profit]],0)</f>
        <v>1746</v>
      </c>
      <c r="DC77" s="3">
        <f>ABS(Table1[[#This Row],[Profit]])</f>
        <v>1746</v>
      </c>
      <c r="DD77" s="3"/>
      <c r="DE77" s="3"/>
      <c r="DF77" s="3"/>
      <c r="DG77" s="3" t="str">
        <f>IF(Table1[[#This Row],[Profit]]&gt;0,"Profit","Loss")</f>
        <v>Profit</v>
      </c>
      <c r="DH77" s="3" t="str">
        <f>IF(AND(Table1[[#This Row],[Sales_Amount]]&gt;=10000,Table1[[#This Row],[Profit]]&gt;0),"Priority","Normal")</f>
        <v>Normal</v>
      </c>
      <c r="DI77" s="3">
        <f t="shared" ca="1" si="9"/>
        <v>0.4438745839254945</v>
      </c>
      <c r="DJ77" s="3">
        <f t="shared" ca="1" si="10"/>
        <v>74</v>
      </c>
      <c r="DK77" s="3"/>
      <c r="DL77" s="3"/>
      <c r="DM77" s="3"/>
      <c r="DN77" s="3"/>
      <c r="DO77" s="3"/>
      <c r="DP77" s="3"/>
    </row>
    <row r="78" spans="1:120">
      <c r="A78" t="s">
        <v>603</v>
      </c>
      <c r="B78" t="str">
        <f>REPLACE(Table1[[#This Row],[Order_ID]],1,3,"YOO")</f>
        <v>YOO10077</v>
      </c>
      <c r="C78" t="str">
        <f>MID(Table1[[#This Row],[Order_ID]],4,4)</f>
        <v>1007</v>
      </c>
      <c r="D78" t="str">
        <f>LEFT(Table1[[#This Row],[Order_ID]],4)</f>
        <v>ORD1</v>
      </c>
      <c r="E78" t="str">
        <f>RIGHT(Table1[[#This Row],[Order_ID]],5)</f>
        <v>10077</v>
      </c>
      <c r="F78" t="s">
        <v>5</v>
      </c>
      <c r="G78">
        <v>10077</v>
      </c>
      <c r="H78" t="s">
        <v>604</v>
      </c>
      <c r="I78" s="2">
        <f>EDATE(Table1[[#This Row],[Order_Date]],3)</f>
        <v>45784</v>
      </c>
      <c r="J78" s="2">
        <f>EDATE(Table1[[#This Row],[Order_Date]],6)</f>
        <v>45876</v>
      </c>
      <c r="K78">
        <f ca="1">YEAR(Table1[[#This Row],[Today]])</f>
        <v>2026</v>
      </c>
      <c r="L78">
        <v>77</v>
      </c>
      <c r="M78">
        <f ca="1">DAY(Table1[[#This Row],[Today]])</f>
        <v>11</v>
      </c>
      <c r="N78" s="19">
        <f t="shared" ca="1" si="13"/>
        <v>46245.589795370368</v>
      </c>
      <c r="O78" s="2">
        <f t="shared" ca="1" si="8"/>
        <v>46245</v>
      </c>
      <c r="P78" s="17">
        <f ca="1">Table1[[#This Row],[Today]]-Table1[[#This Row],[Order_Date]]</f>
        <v>550</v>
      </c>
      <c r="Q78" s="2">
        <v>45734</v>
      </c>
      <c r="R78" s="2">
        <v>45695</v>
      </c>
      <c r="S78" s="6">
        <f t="shared" si="11"/>
        <v>2025</v>
      </c>
      <c r="T78" s="7" t="str">
        <f t="shared" si="12"/>
        <v>February</v>
      </c>
      <c r="U78" s="2">
        <f>WORKDAY(Table1[[#This Row],[Order_Date]],5)</f>
        <v>45702</v>
      </c>
      <c r="V78" s="7" t="str">
        <f>CONCATENATE(Table1[[#This Row],[Customer_ID]],Table1[[#This Row],[Customer_Name]])</f>
        <v>C1026Aditya Malhotra</v>
      </c>
      <c r="W78" t="s">
        <v>605</v>
      </c>
      <c r="X78" t="s">
        <v>257</v>
      </c>
      <c r="Y78">
        <f>COUNTA(Table1[[#This Row],[Customer_Name]])</f>
        <v>1</v>
      </c>
      <c r="Z78" t="str">
        <f>SUBSTITUTE(Table1[[#This Row],[Customer_Name]]," ","_")</f>
        <v>Aditya_Malhotra</v>
      </c>
      <c r="AA78" s="10">
        <f>IFERROR(SEARCH("a",Table1[[#This Row],[Customer_Name]]),"N/A")</f>
        <v>1</v>
      </c>
      <c r="AB78">
        <f>SEARCH(" ",Table1[[#This Row],[Customer_Name]])</f>
        <v>7</v>
      </c>
      <c r="AC78" s="11">
        <f>IFERROR(FIND("a",Table1[[#This Row],[Customer_Name]]),"N/A")</f>
        <v>6</v>
      </c>
      <c r="AD78">
        <f>FIND(" ",Table1[[#This Row],[Customer_Name]])</f>
        <v>7</v>
      </c>
      <c r="AE78" t="str">
        <f>TRIM(Table1[[#This Row],[Customer_Name]])</f>
        <v>Aditya Malhotra</v>
      </c>
      <c r="AF78">
        <f>LEN(Table1[[#This Row],[Trimmed]])</f>
        <v>15</v>
      </c>
      <c r="AG78">
        <f>MAX(Table1[Length])</f>
        <v>15</v>
      </c>
      <c r="AH78" t="str">
        <f>PROPER(Table1[[#This Row],[Customer_Name]])</f>
        <v>Aditya Malhotra</v>
      </c>
      <c r="AI78" t="str">
        <f>LOWER(Table1[[#This Row],[Customer_Name]])</f>
        <v>aditya malhotra</v>
      </c>
      <c r="AJ78" t="str">
        <f>UPPER(Table1[[#This Row],[Customer_Name]])</f>
        <v>ADITYA MALHOTRA</v>
      </c>
      <c r="AK78" t="str">
        <f>CONCATENATE(Table1[[#This Row],[Customer_ID]],Table1[[#This Row],[Customer_Name]])</f>
        <v>C1026Aditya Malhotra</v>
      </c>
      <c r="AL78" t="s">
        <v>258</v>
      </c>
      <c r="AM78" t="s">
        <v>259</v>
      </c>
      <c r="AN78" t="s">
        <v>260</v>
      </c>
      <c r="AO78" t="s">
        <v>258</v>
      </c>
      <c r="AP78" t="s">
        <v>259</v>
      </c>
      <c r="AQ78" t="s">
        <v>606</v>
      </c>
      <c r="AR78" t="str">
        <f>TRIM(Table1[[#This Row],[City]])</f>
        <v>Hyderabad</v>
      </c>
      <c r="AS78" t="str">
        <f>PROPER(Table1[[#This Row],[City]])</f>
        <v xml:space="preserve"> Hyderabad </v>
      </c>
      <c r="AT78" t="s">
        <v>285</v>
      </c>
      <c r="AU78" t="str">
        <f>CONCATENATE(Table1[[#This Row],[City]],Table1[[#This Row],[State]])</f>
        <v xml:space="preserve"> Hyderabad Telangana</v>
      </c>
      <c r="AV78" t="s">
        <v>168</v>
      </c>
      <c r="AW78" t="s">
        <v>319</v>
      </c>
      <c r="AX78" t="str">
        <f>REPLACE(Table1[[#This Row],[Product_ID]],1,1,"s")</f>
        <v>s103</v>
      </c>
      <c r="AY78" t="s">
        <v>607</v>
      </c>
      <c r="AZ78">
        <f>SEARCH("-",Table1[[#This Row],[Product ID]])</f>
        <v>2</v>
      </c>
      <c r="BA78">
        <f>FIND("-",Table1[[#This Row],[Product ID]])</f>
        <v>2</v>
      </c>
      <c r="BB78" t="str">
        <f>MID(Table1[[#This Row],[Product_ID]],2,3)</f>
        <v>103</v>
      </c>
      <c r="BC78" t="str">
        <f>RIGHT(Table1[[#This Row],[Product_ID]],3)</f>
        <v>103</v>
      </c>
      <c r="BD78" t="str">
        <f>LEFT(Table1[[#This Row],[Product_ID]],3)</f>
        <v>P10</v>
      </c>
      <c r="BE78" t="str">
        <f>_xlfn.XLOOKUP(Table1[[#This Row],[Product_ID]],AW:AW,BF:BF,,0)</f>
        <v>Laptop Stand</v>
      </c>
      <c r="BF78" t="s">
        <v>321</v>
      </c>
      <c r="BG78">
        <f>LEN(Table1[[#This Row],[Product_Name]])</f>
        <v>12</v>
      </c>
      <c r="BH78" t="s">
        <v>154</v>
      </c>
      <c r="BI78">
        <f t="shared" si="14"/>
        <v>75</v>
      </c>
      <c r="BJ78" t="str">
        <f>SUBSTITUTE(Table1[[#This Row],[Category]],"Electronics","ELECTRONICS")</f>
        <v>ELECTRONICS</v>
      </c>
      <c r="BN78" t="s">
        <v>155</v>
      </c>
      <c r="BS78" s="14">
        <v>2</v>
      </c>
      <c r="BT78" s="3">
        <v>1599</v>
      </c>
      <c r="BU78" s="4">
        <v>15</v>
      </c>
      <c r="BV78" s="4" t="str">
        <f>IF(AND(Table1[[#This Row],[Quantity]]&gt;=3,Table1[[#This Row],[Discount_%]]&gt;=15%),"Bulk Discount","no")</f>
        <v>no</v>
      </c>
      <c r="BW78" s="4" t="str">
        <f>IF(AND(Table1[[#This Row],[Quantity]]&gt;3,Table1[[#This Row],[Discount_%]]&gt;15%),"Bulk Customer","Normal")</f>
        <v>Normal</v>
      </c>
      <c r="BX78" t="s">
        <v>330</v>
      </c>
      <c r="BY78" t="s">
        <v>193</v>
      </c>
      <c r="CC78" t="str">
        <f>IF(OR(Table1[[#This Row],[Order_Status]]="Returned",Table1[[#This Row],[Order_Status]]="Cancelled"),"Attention Required","Not")</f>
        <v>Not</v>
      </c>
      <c r="CD78" t="str">
        <f>IF(OR(Table1[[#This Row],[Order_Status]]="Returned",Table1[[#This Row],[Order_Status]]="Cancelled"),"Review","no")</f>
        <v>no</v>
      </c>
      <c r="CE78" t="str">
        <f>SUBSTITUTE(Table1[[#This Row],[Order_Status]],"Delivered","Completed")</f>
        <v>Shipped</v>
      </c>
      <c r="CF78" s="2">
        <v>45697</v>
      </c>
      <c r="CG78" s="17">
        <f>NETWORKDAYS(Table1[[#This Row],[Order_Date]],Table1[[#This Row],[Delivery_Date]])</f>
        <v>1</v>
      </c>
      <c r="CH78" s="17">
        <f>Table1[[#This Row],[Delivery_Date]]-Table1[[#This Row],[Order_Date]]</f>
        <v>2</v>
      </c>
      <c r="CI78" t="s">
        <v>137</v>
      </c>
      <c r="CJ78" t="str">
        <f>IF(Table1[[#This Row],[Rating]]&gt;=4,"Good","Needs Improvement")</f>
        <v>Needs Improvement</v>
      </c>
      <c r="CK78" t="str">
        <f>IF(OR(Table1[[#This Row],[Rating]]&lt;=2,Table1[[#This Row],[Profit]]&lt;0),"Review","NO")</f>
        <v>Review</v>
      </c>
      <c r="CL78" t="e" cm="1">
        <f t="array" ref="CL78">_xlfn.IFS(Table1[[#This Row],[Rating]]&gt;2,"Poor",Table1[[#This Row],[Rating]]=3,"Average",Table1[[#This Row],[Rating]]=4,"Good",CP78=5,"Excellent")</f>
        <v>#N/A</v>
      </c>
      <c r="CM78">
        <f>COUNT(Table1[[#This Row],[Rating]])</f>
        <v>0</v>
      </c>
      <c r="CN78">
        <f>COUNTBLANK(Table1[[#This Row],[Rating]])</f>
        <v>1</v>
      </c>
      <c r="CP78" t="s">
        <v>331</v>
      </c>
      <c r="CR78" t="s">
        <v>204</v>
      </c>
      <c r="CS78" t="s">
        <v>158</v>
      </c>
      <c r="CU78" s="3">
        <v>2718.3</v>
      </c>
      <c r="CV78" s="3">
        <f>ROUND(Table1[[#This Row],[Sales_Amount]],0)</f>
        <v>2718</v>
      </c>
      <c r="CW78" s="3"/>
      <c r="CX78" s="3"/>
      <c r="CY78" s="3" t="b">
        <f>IF(AND(Table1[[#This Row],[Sales_Amount]]&gt;=10000,Table1[[#This Row],[Profit]]&gt;0),"Good Order")</f>
        <v>0</v>
      </c>
      <c r="CZ78" s="3" t="str">
        <f>IF(Table1[[#This Row],[Sales_Amount]]&gt;=10000,"High","Normal")</f>
        <v>Normal</v>
      </c>
      <c r="DA78" s="3">
        <v>918.3</v>
      </c>
      <c r="DB78" s="3">
        <f>ROUND(Table1[[#This Row],[Profit]],0)</f>
        <v>918</v>
      </c>
      <c r="DC78" s="3">
        <f>ABS(Table1[[#This Row],[Profit]])</f>
        <v>918.3</v>
      </c>
      <c r="DD78" s="3"/>
      <c r="DE78" s="3"/>
      <c r="DF78" s="3"/>
      <c r="DG78" s="3" t="str">
        <f>IF(Table1[[#This Row],[Profit]]&gt;0,"Profit","Loss")</f>
        <v>Profit</v>
      </c>
      <c r="DH78" s="3" t="str">
        <f>IF(AND(Table1[[#This Row],[Sales_Amount]]&gt;=10000,Table1[[#This Row],[Profit]]&gt;0),"Priority","Normal")</f>
        <v>Normal</v>
      </c>
      <c r="DI78" s="3">
        <f t="shared" ca="1" si="9"/>
        <v>0.58217284687687976</v>
      </c>
      <c r="DJ78" s="3">
        <f t="shared" ca="1" si="10"/>
        <v>89</v>
      </c>
      <c r="DK78" s="3"/>
      <c r="DL78" s="3"/>
      <c r="DM78" s="3"/>
      <c r="DN78" s="3"/>
      <c r="DO78" s="3"/>
      <c r="DP78" s="3"/>
    </row>
    <row r="79" spans="1:120">
      <c r="A79" t="s">
        <v>608</v>
      </c>
      <c r="B79" t="str">
        <f>REPLACE(Table1[[#This Row],[Order_ID]],1,3,"YOO")</f>
        <v>YOO10078</v>
      </c>
      <c r="C79" t="str">
        <f>MID(Table1[[#This Row],[Order_ID]],4,4)</f>
        <v>1007</v>
      </c>
      <c r="D79" t="str">
        <f>LEFT(Table1[[#This Row],[Order_ID]],4)</f>
        <v>ORD1</v>
      </c>
      <c r="E79" t="str">
        <f>RIGHT(Table1[[#This Row],[Order_ID]],5)</f>
        <v>10078</v>
      </c>
      <c r="F79" t="s">
        <v>5</v>
      </c>
      <c r="G79">
        <v>10078</v>
      </c>
      <c r="H79" t="s">
        <v>609</v>
      </c>
      <c r="I79" s="2">
        <f>EDATE(Table1[[#This Row],[Order_Date]],3)</f>
        <v>45908</v>
      </c>
      <c r="J79" s="2">
        <f>EDATE(Table1[[#This Row],[Order_Date]],6)</f>
        <v>45999</v>
      </c>
      <c r="K79">
        <f ca="1">YEAR(Table1[[#This Row],[Today]])</f>
        <v>2026</v>
      </c>
      <c r="L79">
        <v>78</v>
      </c>
      <c r="M79">
        <f ca="1">DAY(Table1[[#This Row],[Today]])</f>
        <v>11</v>
      </c>
      <c r="N79" s="19">
        <f t="shared" ca="1" si="13"/>
        <v>46245.589795370368</v>
      </c>
      <c r="O79" s="2">
        <f t="shared" ca="1" si="8"/>
        <v>46245</v>
      </c>
      <c r="P79" s="17">
        <f ca="1">Table1[[#This Row],[Today]]-Table1[[#This Row],[Order_Date]]</f>
        <v>429</v>
      </c>
      <c r="Q79" s="2">
        <v>45735</v>
      </c>
      <c r="R79" s="2">
        <v>45816</v>
      </c>
      <c r="S79" s="6">
        <f t="shared" si="11"/>
        <v>2025</v>
      </c>
      <c r="T79" s="7" t="str">
        <f t="shared" si="12"/>
        <v>June</v>
      </c>
      <c r="U79" s="2">
        <f>WORKDAY(Table1[[#This Row],[Order_Date]],5)</f>
        <v>45821</v>
      </c>
      <c r="V79" s="7" t="str">
        <f>CONCATENATE(Table1[[#This Row],[Customer_ID]],Table1[[#This Row],[Customer_Name]])</f>
        <v>C1102Aman Singh</v>
      </c>
      <c r="W79" t="s">
        <v>610</v>
      </c>
      <c r="X79" t="s">
        <v>123</v>
      </c>
      <c r="Y79">
        <f>COUNTA(Table1[[#This Row],[Customer_Name]])</f>
        <v>1</v>
      </c>
      <c r="Z79" t="str">
        <f>SUBSTITUTE(Table1[[#This Row],[Customer_Name]]," ","_")</f>
        <v>Aman_Singh</v>
      </c>
      <c r="AA79" s="10">
        <f>IFERROR(SEARCH("a",Table1[[#This Row],[Customer_Name]]),"N/A")</f>
        <v>1</v>
      </c>
      <c r="AB79">
        <f>SEARCH(" ",Table1[[#This Row],[Customer_Name]])</f>
        <v>5</v>
      </c>
      <c r="AC79" s="11">
        <f>IFERROR(FIND("a",Table1[[#This Row],[Customer_Name]]),"N/A")</f>
        <v>3</v>
      </c>
      <c r="AD79">
        <f>FIND(" ",Table1[[#This Row],[Customer_Name]])</f>
        <v>5</v>
      </c>
      <c r="AE79" t="str">
        <f>TRIM(Table1[[#This Row],[Customer_Name]])</f>
        <v>Aman Singh</v>
      </c>
      <c r="AF79">
        <f>LEN(Table1[[#This Row],[Trimmed]])</f>
        <v>10</v>
      </c>
      <c r="AG79">
        <f>MAX(Table1[Length])</f>
        <v>15</v>
      </c>
      <c r="AH79" t="str">
        <f>PROPER(Table1[[#This Row],[Customer_Name]])</f>
        <v>Aman Singh</v>
      </c>
      <c r="AI79" t="str">
        <f>LOWER(Table1[[#This Row],[Customer_Name]])</f>
        <v>aman singh</v>
      </c>
      <c r="AJ79" t="str">
        <f>UPPER(Table1[[#This Row],[Customer_Name]])</f>
        <v>AMAN SINGH</v>
      </c>
      <c r="AK79" t="str">
        <f>CONCATENATE(Table1[[#This Row],[Customer_ID]],Table1[[#This Row],[Customer_Name]])</f>
        <v>C1102Aman Singh</v>
      </c>
      <c r="AL79" t="s">
        <v>124</v>
      </c>
      <c r="AM79" t="s">
        <v>125</v>
      </c>
      <c r="AN79" t="s">
        <v>126</v>
      </c>
      <c r="AO79" t="s">
        <v>124</v>
      </c>
      <c r="AP79" t="s">
        <v>125</v>
      </c>
      <c r="AQ79" t="s">
        <v>199</v>
      </c>
      <c r="AR79" t="str">
        <f>TRIM(Table1[[#This Row],[City]])</f>
        <v>Lucknow</v>
      </c>
      <c r="AS79" t="str">
        <f>PROPER(Table1[[#This Row],[City]])</f>
        <v>Lucknow</v>
      </c>
      <c r="AT79" t="s">
        <v>200</v>
      </c>
      <c r="AU79" t="str">
        <f>CONCATENATE(Table1[[#This Row],[City]],Table1[[#This Row],[State]])</f>
        <v>LucknowUttar Pradesh</v>
      </c>
      <c r="AV79" t="s">
        <v>150</v>
      </c>
      <c r="AW79" t="s">
        <v>236</v>
      </c>
      <c r="AX79" t="str">
        <f>REPLACE(Table1[[#This Row],[Product_ID]],1,1,"s")</f>
        <v>s107</v>
      </c>
      <c r="AY79" t="s">
        <v>611</v>
      </c>
      <c r="AZ79">
        <f>SEARCH("-",Table1[[#This Row],[Product ID]])</f>
        <v>2</v>
      </c>
      <c r="BA79">
        <f>FIND("-",Table1[[#This Row],[Product ID]])</f>
        <v>2</v>
      </c>
      <c r="BB79" t="str">
        <f>MID(Table1[[#This Row],[Product_ID]],2,3)</f>
        <v>107</v>
      </c>
      <c r="BC79" t="str">
        <f>RIGHT(Table1[[#This Row],[Product_ID]],3)</f>
        <v>107</v>
      </c>
      <c r="BD79" t="str">
        <f>LEFT(Table1[[#This Row],[Product_ID]],3)</f>
        <v>P10</v>
      </c>
      <c r="BE79" t="str">
        <f>_xlfn.XLOOKUP(Table1[[#This Row],[Product_ID]],AW:AW,BF:BF,,0)</f>
        <v>Casual Sneakers</v>
      </c>
      <c r="BF79" t="s">
        <v>238</v>
      </c>
      <c r="BG79">
        <f>LEN(Table1[[#This Row],[Product_Name]])</f>
        <v>15</v>
      </c>
      <c r="BH79" t="s">
        <v>224</v>
      </c>
      <c r="BI79">
        <f t="shared" si="14"/>
        <v>75</v>
      </c>
      <c r="BJ79" t="str">
        <f>SUBSTITUTE(Table1[[#This Row],[Category]],"Electronics","ELECTRONICS")</f>
        <v>Fashion</v>
      </c>
      <c r="BN79" t="s">
        <v>225</v>
      </c>
      <c r="BS79" s="14">
        <v>1</v>
      </c>
      <c r="BT79" s="3">
        <v>2799</v>
      </c>
      <c r="BU79" s="4">
        <v>25</v>
      </c>
      <c r="BV79" s="4" t="str">
        <f>IF(AND(Table1[[#This Row],[Quantity]]&gt;=3,Table1[[#This Row],[Discount_%]]&gt;=15%),"Bulk Discount","no")</f>
        <v>no</v>
      </c>
      <c r="BW79" s="4" t="str">
        <f>IF(AND(Table1[[#This Row],[Quantity]]&gt;3,Table1[[#This Row],[Discount_%]]&gt;15%),"Bulk Customer","Normal")</f>
        <v>Normal</v>
      </c>
      <c r="BX79" t="s">
        <v>192</v>
      </c>
      <c r="BY79" t="s">
        <v>193</v>
      </c>
      <c r="CC79" t="str">
        <f>IF(OR(Table1[[#This Row],[Order_Status]]="Returned",Table1[[#This Row],[Order_Status]]="Cancelled"),"Attention Required","Not")</f>
        <v>Not</v>
      </c>
      <c r="CD79" t="str">
        <f>IF(OR(Table1[[#This Row],[Order_Status]]="Returned",Table1[[#This Row],[Order_Status]]="Cancelled"),"Review","no")</f>
        <v>no</v>
      </c>
      <c r="CE79" t="str">
        <f>SUBSTITUTE(Table1[[#This Row],[Order_Status]],"Delivered","Completed")</f>
        <v>Shipped</v>
      </c>
      <c r="CF79" s="2">
        <v>45821</v>
      </c>
      <c r="CG79" s="17">
        <f>NETWORKDAYS(Table1[[#This Row],[Order_Date]],Table1[[#This Row],[Delivery_Date]])</f>
        <v>5</v>
      </c>
      <c r="CH79" s="17">
        <f>Table1[[#This Row],[Delivery_Date]]-Table1[[#This Row],[Order_Date]]</f>
        <v>5</v>
      </c>
      <c r="CI79" t="s">
        <v>137</v>
      </c>
      <c r="CJ79" t="str">
        <f>IF(Table1[[#This Row],[Rating]]&gt;=4,"Good","Needs Improvement")</f>
        <v>Good</v>
      </c>
      <c r="CK79" t="str">
        <f>IF(OR(Table1[[#This Row],[Rating]]&lt;=2,Table1[[#This Row],[Profit]]&lt;0),"Review","NO")</f>
        <v>NO</v>
      </c>
      <c r="CL79" t="str" cm="1">
        <f t="array" ref="CL79">_xlfn.IFS(Table1[[#This Row],[Rating]]&gt;2,"Poor",Table1[[#This Row],[Rating]]=3,"Average",Table1[[#This Row],[Rating]]=4,"Good",CP79=5,"Excellent")</f>
        <v>Poor</v>
      </c>
      <c r="CM79">
        <f>COUNT(Table1[[#This Row],[Rating]])</f>
        <v>1</v>
      </c>
      <c r="CN79">
        <f>COUNTBLANK(Table1[[#This Row],[Rating]])</f>
        <v>0</v>
      </c>
      <c r="CQ79" s="14">
        <v>5</v>
      </c>
      <c r="CR79" t="s">
        <v>204</v>
      </c>
      <c r="CS79" t="s">
        <v>267</v>
      </c>
      <c r="CU79" s="3">
        <v>2099.25</v>
      </c>
      <c r="CV79" s="3">
        <f>ROUND(Table1[[#This Row],[Sales_Amount]],0)</f>
        <v>2099</v>
      </c>
      <c r="CW79" s="3"/>
      <c r="CX79" s="3"/>
      <c r="CY79" s="3" t="b">
        <f>IF(AND(Table1[[#This Row],[Sales_Amount]]&gt;=10000,Table1[[#This Row],[Profit]]&gt;0),"Good Order")</f>
        <v>0</v>
      </c>
      <c r="CZ79" s="3" t="str">
        <f>IF(Table1[[#This Row],[Sales_Amount]]&gt;=10000,"High","Normal")</f>
        <v>Normal</v>
      </c>
      <c r="DA79" s="3">
        <v>599.25</v>
      </c>
      <c r="DB79" s="3">
        <f>ROUND(Table1[[#This Row],[Profit]],0)</f>
        <v>599</v>
      </c>
      <c r="DC79" s="3">
        <f>ABS(Table1[[#This Row],[Profit]])</f>
        <v>599.25</v>
      </c>
      <c r="DD79" s="3"/>
      <c r="DE79" s="3"/>
      <c r="DF79" s="3"/>
      <c r="DG79" s="3" t="str">
        <f>IF(Table1[[#This Row],[Profit]]&gt;0,"Profit","Loss")</f>
        <v>Profit</v>
      </c>
      <c r="DH79" s="3" t="str">
        <f>IF(AND(Table1[[#This Row],[Sales_Amount]]&gt;=10000,Table1[[#This Row],[Profit]]&gt;0),"Priority","Normal")</f>
        <v>Normal</v>
      </c>
      <c r="DI79" s="3">
        <f t="shared" ca="1" si="9"/>
        <v>0.38853947576396675</v>
      </c>
      <c r="DJ79" s="3">
        <f t="shared" ca="1" si="10"/>
        <v>25</v>
      </c>
      <c r="DK79" s="3"/>
      <c r="DL79" s="3"/>
      <c r="DM79" s="3"/>
      <c r="DN79" s="3"/>
      <c r="DO79" s="3"/>
      <c r="DP79" s="3"/>
    </row>
    <row r="80" spans="1:120">
      <c r="A80" t="s">
        <v>612</v>
      </c>
      <c r="B80" t="str">
        <f>REPLACE(Table1[[#This Row],[Order_ID]],1,3,"YOO")</f>
        <v>YOO10079</v>
      </c>
      <c r="C80" t="str">
        <f>MID(Table1[[#This Row],[Order_ID]],4,4)</f>
        <v>1007</v>
      </c>
      <c r="D80" t="str">
        <f>LEFT(Table1[[#This Row],[Order_ID]],4)</f>
        <v>ORD1</v>
      </c>
      <c r="E80" t="str">
        <f>RIGHT(Table1[[#This Row],[Order_ID]],5)</f>
        <v>10079</v>
      </c>
      <c r="F80" t="s">
        <v>5</v>
      </c>
      <c r="G80">
        <v>10079</v>
      </c>
      <c r="H80" t="s">
        <v>613</v>
      </c>
      <c r="I80" s="2">
        <f>EDATE(Table1[[#This Row],[Order_Date]],3)</f>
        <v>46249</v>
      </c>
      <c r="J80" s="2">
        <f>EDATE(Table1[[#This Row],[Order_Date]],6)</f>
        <v>46341</v>
      </c>
      <c r="K80">
        <f ca="1">YEAR(Table1[[#This Row],[Today]])</f>
        <v>2026</v>
      </c>
      <c r="L80">
        <v>79</v>
      </c>
      <c r="M80">
        <f ca="1">DAY(Table1[[#This Row],[Today]])</f>
        <v>11</v>
      </c>
      <c r="N80" s="19">
        <f t="shared" ca="1" si="13"/>
        <v>46245.589795138891</v>
      </c>
      <c r="O80" s="2">
        <f t="shared" ca="1" si="8"/>
        <v>46245</v>
      </c>
      <c r="P80" s="17">
        <f ca="1">Table1[[#This Row],[Today]]-Table1[[#This Row],[Order_Date]]</f>
        <v>88</v>
      </c>
      <c r="Q80" s="2">
        <v>45736</v>
      </c>
      <c r="R80" s="2">
        <v>46157</v>
      </c>
      <c r="S80" s="6">
        <f t="shared" si="11"/>
        <v>2026</v>
      </c>
      <c r="T80" s="7" t="str">
        <f t="shared" si="12"/>
        <v>May</v>
      </c>
      <c r="U80" s="2">
        <f>WORKDAY(Table1[[#This Row],[Order_Date]],5)</f>
        <v>46164</v>
      </c>
      <c r="V80" s="7" t="str">
        <f>CONCATENATE(Table1[[#This Row],[Customer_ID]],Table1[[#This Row],[Customer_Name]])</f>
        <v>C1074Anjali Joshi</v>
      </c>
      <c r="W80" t="s">
        <v>614</v>
      </c>
      <c r="X80" t="s">
        <v>310</v>
      </c>
      <c r="Y80">
        <f>COUNTA(Table1[[#This Row],[Customer_Name]])</f>
        <v>1</v>
      </c>
      <c r="Z80" t="str">
        <f>SUBSTITUTE(Table1[[#This Row],[Customer_Name]]," ","_")</f>
        <v>Anjali_Joshi</v>
      </c>
      <c r="AA80" s="10">
        <f>IFERROR(SEARCH("a",Table1[[#This Row],[Customer_Name]]),"N/A")</f>
        <v>1</v>
      </c>
      <c r="AB80">
        <f>SEARCH(" ",Table1[[#This Row],[Customer_Name]])</f>
        <v>7</v>
      </c>
      <c r="AC80" s="11">
        <f>IFERROR(FIND("a",Table1[[#This Row],[Customer_Name]]),"N/A")</f>
        <v>4</v>
      </c>
      <c r="AD80">
        <f>FIND(" ",Table1[[#This Row],[Customer_Name]])</f>
        <v>7</v>
      </c>
      <c r="AE80" t="str">
        <f>TRIM(Table1[[#This Row],[Customer_Name]])</f>
        <v>Anjali Joshi</v>
      </c>
      <c r="AF80">
        <f>LEN(Table1[[#This Row],[Trimmed]])</f>
        <v>12</v>
      </c>
      <c r="AG80">
        <f>MAX(Table1[Length])</f>
        <v>15</v>
      </c>
      <c r="AH80" t="str">
        <f>PROPER(Table1[[#This Row],[Customer_Name]])</f>
        <v>Anjali Joshi</v>
      </c>
      <c r="AI80" t="str">
        <f>LOWER(Table1[[#This Row],[Customer_Name]])</f>
        <v>anjali joshi</v>
      </c>
      <c r="AJ80" t="str">
        <f>UPPER(Table1[[#This Row],[Customer_Name]])</f>
        <v>ANJALI JOSHI</v>
      </c>
      <c r="AK80" t="str">
        <f>CONCATENATE(Table1[[#This Row],[Customer_ID]],Table1[[#This Row],[Customer_Name]])</f>
        <v>C1074Anjali Joshi</v>
      </c>
      <c r="AL80" t="s">
        <v>311</v>
      </c>
      <c r="AM80" t="s">
        <v>312</v>
      </c>
      <c r="AN80" t="s">
        <v>313</v>
      </c>
      <c r="AO80" t="s">
        <v>311</v>
      </c>
      <c r="AP80" t="s">
        <v>312</v>
      </c>
      <c r="AQ80" t="s">
        <v>199</v>
      </c>
      <c r="AR80" t="str">
        <f>TRIM(Table1[[#This Row],[City]])</f>
        <v>Lucknow</v>
      </c>
      <c r="AS80" t="str">
        <f>PROPER(Table1[[#This Row],[City]])</f>
        <v>Lucknow</v>
      </c>
      <c r="AT80" t="s">
        <v>200</v>
      </c>
      <c r="AU80" t="str">
        <f>CONCATENATE(Table1[[#This Row],[City]],Table1[[#This Row],[State]])</f>
        <v>LucknowUttar Pradesh</v>
      </c>
      <c r="AV80" t="s">
        <v>150</v>
      </c>
      <c r="AW80" t="s">
        <v>221</v>
      </c>
      <c r="AX80" t="str">
        <f>REPLACE(Table1[[#This Row],[Product_ID]],1,1,"s")</f>
        <v>s106</v>
      </c>
      <c r="AY80" t="s">
        <v>615</v>
      </c>
      <c r="AZ80">
        <f>SEARCH("-",Table1[[#This Row],[Product ID]])</f>
        <v>2</v>
      </c>
      <c r="BA80">
        <f>FIND("-",Table1[[#This Row],[Product ID]])</f>
        <v>2</v>
      </c>
      <c r="BB80" t="str">
        <f>MID(Table1[[#This Row],[Product_ID]],2,3)</f>
        <v>106</v>
      </c>
      <c r="BC80" t="str">
        <f>RIGHT(Table1[[#This Row],[Product_ID]],3)</f>
        <v>106</v>
      </c>
      <c r="BD80" t="str">
        <f>LEFT(Table1[[#This Row],[Product_ID]],3)</f>
        <v>P10</v>
      </c>
      <c r="BE80" t="str">
        <f>_xlfn.XLOOKUP(Table1[[#This Row],[Product_ID]],AW:AW,BF:BF,,0)</f>
        <v>Running Shoes</v>
      </c>
      <c r="BF80" t="s">
        <v>223</v>
      </c>
      <c r="BG80">
        <f>LEN(Table1[[#This Row],[Product_Name]])</f>
        <v>13</v>
      </c>
      <c r="BH80" t="s">
        <v>224</v>
      </c>
      <c r="BI80">
        <f t="shared" si="14"/>
        <v>75</v>
      </c>
      <c r="BJ80" t="str">
        <f>SUBSTITUTE(Table1[[#This Row],[Category]],"Electronics","ELECTRONICS")</f>
        <v>Fashion</v>
      </c>
      <c r="BN80" t="s">
        <v>225</v>
      </c>
      <c r="BS80" s="14">
        <v>5</v>
      </c>
      <c r="BT80" s="3">
        <v>3499</v>
      </c>
      <c r="BU80" s="4">
        <v>0</v>
      </c>
      <c r="BV80" s="4" t="str">
        <f>IF(AND(Table1[[#This Row],[Quantity]]&gt;=3,Table1[[#This Row],[Discount_%]]&gt;=15%),"Bulk Discount","no")</f>
        <v>no</v>
      </c>
      <c r="BW80" s="4" t="str">
        <f>IF(AND(Table1[[#This Row],[Quantity]]&gt;3,Table1[[#This Row],[Discount_%]]&gt;15%),"Bulk Customer","Normal")</f>
        <v>Normal</v>
      </c>
      <c r="BX80" t="s">
        <v>172</v>
      </c>
      <c r="BY80" t="s">
        <v>156</v>
      </c>
      <c r="CC80" t="str">
        <f>IF(OR(Table1[[#This Row],[Order_Status]]="Returned",Table1[[#This Row],[Order_Status]]="Cancelled"),"Attention Required","Not")</f>
        <v>Attention Required</v>
      </c>
      <c r="CD80" t="str">
        <f>IF(OR(Table1[[#This Row],[Order_Status]]="Returned",Table1[[#This Row],[Order_Status]]="Cancelled"),"Review","no")</f>
        <v>Review</v>
      </c>
      <c r="CE80" t="str">
        <f>SUBSTITUTE(Table1[[#This Row],[Order_Status]],"Delivered","Completed")</f>
        <v>Cancelled</v>
      </c>
      <c r="CF80" s="2">
        <v>46159</v>
      </c>
      <c r="CG80" s="17">
        <f>NETWORKDAYS(Table1[[#This Row],[Order_Date]],Table1[[#This Row],[Delivery_Date]])</f>
        <v>1</v>
      </c>
      <c r="CH80" s="17">
        <f>Table1[[#This Row],[Delivery_Date]]-Table1[[#This Row],[Order_Date]]</f>
        <v>2</v>
      </c>
      <c r="CI80" t="s">
        <v>137</v>
      </c>
      <c r="CJ80" t="str">
        <f>IF(Table1[[#This Row],[Rating]]&gt;=4,"Good","Needs Improvement")</f>
        <v>Good</v>
      </c>
      <c r="CK80" t="str">
        <f>IF(OR(Table1[[#This Row],[Rating]]&lt;=2,Table1[[#This Row],[Profit]]&lt;0),"Review","NO")</f>
        <v>NO</v>
      </c>
      <c r="CL80" t="str" cm="1">
        <f t="array" ref="CL80">_xlfn.IFS(Table1[[#This Row],[Rating]]&gt;2,"Poor",Table1[[#This Row],[Rating]]=3,"Average",Table1[[#This Row],[Rating]]=4,"Good",CP80=5,"Excellent")</f>
        <v>Poor</v>
      </c>
      <c r="CM80">
        <f>COUNT(Table1[[#This Row],[Rating]])</f>
        <v>1</v>
      </c>
      <c r="CN80">
        <f>COUNTBLANK(Table1[[#This Row],[Rating]])</f>
        <v>0</v>
      </c>
      <c r="CP80" t="s">
        <v>138</v>
      </c>
      <c r="CQ80" s="14">
        <v>4</v>
      </c>
      <c r="CR80" t="s">
        <v>139</v>
      </c>
      <c r="CS80" t="s">
        <v>213</v>
      </c>
      <c r="CU80" s="3">
        <v>17495</v>
      </c>
      <c r="CV80" s="3">
        <f>ROUND(Table1[[#This Row],[Sales_Amount]],0)</f>
        <v>17495</v>
      </c>
      <c r="CW80" s="3"/>
      <c r="CX80" s="3"/>
      <c r="CY80" s="3" t="str">
        <f>IF(AND(Table1[[#This Row],[Sales_Amount]]&gt;=10000,Table1[[#This Row],[Profit]]&gt;0),"Good Order")</f>
        <v>Good Order</v>
      </c>
      <c r="CZ80" s="3" t="str">
        <f>IF(Table1[[#This Row],[Sales_Amount]]&gt;=10000,"High","Normal")</f>
        <v>High</v>
      </c>
      <c r="DA80" s="3">
        <v>7995</v>
      </c>
      <c r="DB80" s="3">
        <f>ROUND(Table1[[#This Row],[Profit]],0)</f>
        <v>7995</v>
      </c>
      <c r="DC80" s="3">
        <f>ABS(Table1[[#This Row],[Profit]])</f>
        <v>7995</v>
      </c>
      <c r="DD80" s="3"/>
      <c r="DE80" s="3"/>
      <c r="DF80" s="3"/>
      <c r="DG80" s="3" t="str">
        <f>IF(Table1[[#This Row],[Profit]]&gt;0,"Profit","Loss")</f>
        <v>Profit</v>
      </c>
      <c r="DH80" s="3" t="str">
        <f>IF(AND(Table1[[#This Row],[Sales_Amount]]&gt;=10000,Table1[[#This Row],[Profit]]&gt;0),"Priority","Normal")</f>
        <v>Priority</v>
      </c>
      <c r="DI80" s="3">
        <f t="shared" ca="1" si="9"/>
        <v>0.93382459454083078</v>
      </c>
      <c r="DJ80" s="3">
        <f t="shared" ca="1" si="10"/>
        <v>89</v>
      </c>
      <c r="DK80" s="3"/>
      <c r="DL80" s="3"/>
      <c r="DM80" s="3"/>
      <c r="DN80" s="3"/>
      <c r="DO80" s="3"/>
      <c r="DP80" s="3"/>
    </row>
    <row r="81" spans="1:120">
      <c r="A81" t="s">
        <v>616</v>
      </c>
      <c r="B81" t="str">
        <f>REPLACE(Table1[[#This Row],[Order_ID]],1,3,"YOO")</f>
        <v>YOO10080</v>
      </c>
      <c r="C81" t="str">
        <f>MID(Table1[[#This Row],[Order_ID]],4,4)</f>
        <v>1008</v>
      </c>
      <c r="D81" t="str">
        <f>LEFT(Table1[[#This Row],[Order_ID]],4)</f>
        <v>ORD1</v>
      </c>
      <c r="E81" t="str">
        <f>RIGHT(Table1[[#This Row],[Order_ID]],5)</f>
        <v>10080</v>
      </c>
      <c r="F81" t="s">
        <v>5</v>
      </c>
      <c r="G81">
        <v>10080</v>
      </c>
      <c r="H81" t="s">
        <v>617</v>
      </c>
      <c r="I81" s="2">
        <f>EDATE(Table1[[#This Row],[Order_Date]],3)</f>
        <v>46203</v>
      </c>
      <c r="J81" s="2">
        <f>EDATE(Table1[[#This Row],[Order_Date]],6)</f>
        <v>46295</v>
      </c>
      <c r="K81">
        <f ca="1">YEAR(Table1[[#This Row],[Today]])</f>
        <v>2026</v>
      </c>
      <c r="L81">
        <v>80</v>
      </c>
      <c r="M81">
        <f ca="1">DAY(Table1[[#This Row],[Today]])</f>
        <v>11</v>
      </c>
      <c r="N81" s="19">
        <f t="shared" ca="1" si="13"/>
        <v>46245.589795370368</v>
      </c>
      <c r="O81" s="2">
        <f t="shared" ca="1" si="8"/>
        <v>46245</v>
      </c>
      <c r="P81" s="17">
        <f ca="1">Table1[[#This Row],[Today]]-Table1[[#This Row],[Order_Date]]</f>
        <v>133</v>
      </c>
      <c r="Q81" s="2">
        <v>45737</v>
      </c>
      <c r="R81" s="2">
        <v>46112</v>
      </c>
      <c r="S81" s="6">
        <f t="shared" si="11"/>
        <v>2026</v>
      </c>
      <c r="T81" s="7" t="str">
        <f t="shared" si="12"/>
        <v>March</v>
      </c>
      <c r="U81" s="2">
        <f>WORKDAY(Table1[[#This Row],[Order_Date]],5)</f>
        <v>46119</v>
      </c>
      <c r="V81" s="7" t="str">
        <f>CONCATENATE(Table1[[#This Row],[Customer_ID]],Table1[[#This Row],[Customer_Name]])</f>
        <v>C1015Pooja Jain</v>
      </c>
      <c r="W81" t="s">
        <v>618</v>
      </c>
      <c r="X81" t="s">
        <v>419</v>
      </c>
      <c r="Y81">
        <f>COUNTA(Table1[[#This Row],[Customer_Name]])</f>
        <v>1</v>
      </c>
      <c r="Z81" t="str">
        <f>SUBSTITUTE(Table1[[#This Row],[Customer_Name]]," ","_")</f>
        <v>Pooja_Jain</v>
      </c>
      <c r="AA81" s="10">
        <f>IFERROR(SEARCH("a",Table1[[#This Row],[Customer_Name]]),"N/A")</f>
        <v>5</v>
      </c>
      <c r="AB81">
        <f>SEARCH(" ",Table1[[#This Row],[Customer_Name]])</f>
        <v>6</v>
      </c>
      <c r="AC81" s="11">
        <f>IFERROR(FIND("a",Table1[[#This Row],[Customer_Name]]),"N/A")</f>
        <v>5</v>
      </c>
      <c r="AD81">
        <f>FIND(" ",Table1[[#This Row],[Customer_Name]])</f>
        <v>6</v>
      </c>
      <c r="AE81" t="str">
        <f>TRIM(Table1[[#This Row],[Customer_Name]])</f>
        <v>Pooja Jain</v>
      </c>
      <c r="AF81">
        <f>LEN(Table1[[#This Row],[Trimmed]])</f>
        <v>10</v>
      </c>
      <c r="AG81">
        <f>MAX(Table1[Length])</f>
        <v>15</v>
      </c>
      <c r="AH81" t="str">
        <f>PROPER(Table1[[#This Row],[Customer_Name]])</f>
        <v>Pooja Jain</v>
      </c>
      <c r="AI81" t="str">
        <f>LOWER(Table1[[#This Row],[Customer_Name]])</f>
        <v>pooja jain</v>
      </c>
      <c r="AJ81" t="str">
        <f>UPPER(Table1[[#This Row],[Customer_Name]])</f>
        <v>POOJA JAIN</v>
      </c>
      <c r="AK81" t="str">
        <f>CONCATENATE(Table1[[#This Row],[Customer_ID]],Table1[[#This Row],[Customer_Name]])</f>
        <v>C1015Pooja Jain</v>
      </c>
      <c r="AL81" t="s">
        <v>420</v>
      </c>
      <c r="AM81" t="s">
        <v>421</v>
      </c>
      <c r="AN81" t="s">
        <v>422</v>
      </c>
      <c r="AO81" t="s">
        <v>420</v>
      </c>
      <c r="AP81" t="s">
        <v>421</v>
      </c>
      <c r="AQ81" t="s">
        <v>127</v>
      </c>
      <c r="AR81" t="str">
        <f>TRIM(Table1[[#This Row],[City]])</f>
        <v>Pune</v>
      </c>
      <c r="AS81" t="str">
        <f>PROPER(Table1[[#This Row],[City]])</f>
        <v>Pune</v>
      </c>
      <c r="AT81" t="s">
        <v>128</v>
      </c>
      <c r="AU81" t="str">
        <f>CONCATENATE(Table1[[#This Row],[City]],Table1[[#This Row],[State]])</f>
        <v>PuneMaharashtra</v>
      </c>
      <c r="AV81" t="s">
        <v>129</v>
      </c>
      <c r="AW81" t="s">
        <v>169</v>
      </c>
      <c r="AX81" t="str">
        <f>REPLACE(Table1[[#This Row],[Product_ID]],1,1,"s")</f>
        <v>s112</v>
      </c>
      <c r="AY81" t="s">
        <v>619</v>
      </c>
      <c r="AZ81">
        <f>SEARCH("-",Table1[[#This Row],[Product ID]])</f>
        <v>2</v>
      </c>
      <c r="BA81">
        <f>FIND("-",Table1[[#This Row],[Product ID]])</f>
        <v>2</v>
      </c>
      <c r="BB81" t="str">
        <f>MID(Table1[[#This Row],[Product_ID]],2,3)</f>
        <v>112</v>
      </c>
      <c r="BC81" t="str">
        <f>RIGHT(Table1[[#This Row],[Product_ID]],3)</f>
        <v>112</v>
      </c>
      <c r="BD81" t="str">
        <f>LEFT(Table1[[#This Row],[Product_ID]],3)</f>
        <v>P11</v>
      </c>
      <c r="BE81" t="str">
        <f>_xlfn.XLOOKUP(Table1[[#This Row],[Product_ID]],AW:AW,BF:BF,,0)</f>
        <v>Air Fryer</v>
      </c>
      <c r="BF81" t="s">
        <v>171</v>
      </c>
      <c r="BG81">
        <f>LEN(Table1[[#This Row],[Product_Name]])</f>
        <v>9</v>
      </c>
      <c r="BH81" t="s">
        <v>133</v>
      </c>
      <c r="BI81">
        <f t="shared" si="14"/>
        <v>75</v>
      </c>
      <c r="BJ81" t="str">
        <f>SUBSTITUTE(Table1[[#This Row],[Category]],"Electronics","ELECTRONICS")</f>
        <v>Home</v>
      </c>
      <c r="BN81" t="s">
        <v>134</v>
      </c>
      <c r="BS81" s="14">
        <v>2</v>
      </c>
      <c r="BT81" s="3">
        <v>6499</v>
      </c>
      <c r="BU81" s="4">
        <v>10</v>
      </c>
      <c r="BV81" s="4" t="str">
        <f>IF(AND(Table1[[#This Row],[Quantity]]&gt;=3,Table1[[#This Row],[Discount_%]]&gt;=15%),"Bulk Discount","no")</f>
        <v>no</v>
      </c>
      <c r="BW81" s="4" t="str">
        <f>IF(AND(Table1[[#This Row],[Quantity]]&gt;3,Table1[[#This Row],[Discount_%]]&gt;15%),"Bulk Customer","Normal")</f>
        <v>Normal</v>
      </c>
      <c r="BX81" t="s">
        <v>192</v>
      </c>
      <c r="BY81" t="s">
        <v>136</v>
      </c>
      <c r="CC81" t="str">
        <f>IF(OR(Table1[[#This Row],[Order_Status]]="Returned",Table1[[#This Row],[Order_Status]]="Cancelled"),"Attention Required","Not")</f>
        <v>Not</v>
      </c>
      <c r="CD81" t="str">
        <f>IF(OR(Table1[[#This Row],[Order_Status]]="Returned",Table1[[#This Row],[Order_Status]]="Cancelled"),"Review","no")</f>
        <v>no</v>
      </c>
      <c r="CE81" t="str">
        <f>SUBSTITUTE(Table1[[#This Row],[Order_Status]],"Delivered","Completed")</f>
        <v>Completed</v>
      </c>
      <c r="CF81" s="2">
        <v>46113</v>
      </c>
      <c r="CG81" s="17">
        <f>NETWORKDAYS(Table1[[#This Row],[Order_Date]],Table1[[#This Row],[Delivery_Date]])</f>
        <v>2</v>
      </c>
      <c r="CH81" s="17">
        <f>Table1[[#This Row],[Delivery_Date]]-Table1[[#This Row],[Order_Date]]</f>
        <v>1</v>
      </c>
      <c r="CI81" t="s">
        <v>137</v>
      </c>
      <c r="CJ81" t="str">
        <f>IF(Table1[[#This Row],[Rating]]&gt;=4,"Good","Needs Improvement")</f>
        <v>Good</v>
      </c>
      <c r="CK81" t="str">
        <f>IF(OR(Table1[[#This Row],[Rating]]&lt;=2,Table1[[#This Row],[Profit]]&lt;0),"Review","NO")</f>
        <v>NO</v>
      </c>
      <c r="CL81" t="str" cm="1">
        <f t="array" ref="CL81">_xlfn.IFS(Table1[[#This Row],[Rating]]&gt;2,"Poor",Table1[[#This Row],[Rating]]=3,"Average",Table1[[#This Row],[Rating]]=4,"Good",CP81=5,"Excellent")</f>
        <v>Poor</v>
      </c>
      <c r="CM81">
        <f>COUNT(Table1[[#This Row],[Rating]])</f>
        <v>1</v>
      </c>
      <c r="CN81">
        <f>COUNTBLANK(Table1[[#This Row],[Rating]])</f>
        <v>0</v>
      </c>
      <c r="CP81" t="s">
        <v>157</v>
      </c>
      <c r="CQ81" s="14">
        <v>5</v>
      </c>
      <c r="CR81" t="s">
        <v>173</v>
      </c>
      <c r="CS81" t="s">
        <v>158</v>
      </c>
      <c r="CU81" s="3">
        <v>11698.2</v>
      </c>
      <c r="CV81" s="3">
        <f>ROUND(Table1[[#This Row],[Sales_Amount]],0)</f>
        <v>11698</v>
      </c>
      <c r="CW81" s="3"/>
      <c r="CX81" s="3"/>
      <c r="CY81" s="3" t="str">
        <f>IF(AND(Table1[[#This Row],[Sales_Amount]]&gt;=10000,Table1[[#This Row],[Profit]]&gt;0),"Good Order")</f>
        <v>Good Order</v>
      </c>
      <c r="CZ81" s="3" t="str">
        <f>IF(Table1[[#This Row],[Sales_Amount]]&gt;=10000,"High","Normal")</f>
        <v>High</v>
      </c>
      <c r="DA81" s="3">
        <v>3098.2</v>
      </c>
      <c r="DB81" s="3">
        <f>ROUND(Table1[[#This Row],[Profit]],0)</f>
        <v>3098</v>
      </c>
      <c r="DC81" s="3">
        <f>ABS(Table1[[#This Row],[Profit]])</f>
        <v>3098.2</v>
      </c>
      <c r="DD81" s="3"/>
      <c r="DE81" s="3"/>
      <c r="DF81" s="3"/>
      <c r="DG81" s="3" t="str">
        <f>IF(Table1[[#This Row],[Profit]]&gt;0,"Profit","Loss")</f>
        <v>Profit</v>
      </c>
      <c r="DH81" s="3" t="str">
        <f>IF(AND(Table1[[#This Row],[Sales_Amount]]&gt;=10000,Table1[[#This Row],[Profit]]&gt;0),"Priority","Normal")</f>
        <v>Priority</v>
      </c>
      <c r="DI81" s="3">
        <f t="shared" ca="1" si="9"/>
        <v>0.25828801110703248</v>
      </c>
      <c r="DJ81" s="3">
        <f t="shared" ca="1" si="10"/>
        <v>23</v>
      </c>
      <c r="DK81" s="3"/>
      <c r="DL81" s="3"/>
      <c r="DM81" s="3"/>
      <c r="DN81" s="3"/>
      <c r="DO81" s="3"/>
      <c r="DP81" s="3"/>
    </row>
    <row r="82" spans="1:120">
      <c r="A82" t="s">
        <v>620</v>
      </c>
      <c r="B82" t="str">
        <f>REPLACE(Table1[[#This Row],[Order_ID]],1,3,"YOO")</f>
        <v>YOO10081</v>
      </c>
      <c r="C82" t="str">
        <f>MID(Table1[[#This Row],[Order_ID]],4,4)</f>
        <v>1008</v>
      </c>
      <c r="D82" t="str">
        <f>LEFT(Table1[[#This Row],[Order_ID]],4)</f>
        <v>ORD1</v>
      </c>
      <c r="E82" t="str">
        <f>RIGHT(Table1[[#This Row],[Order_ID]],5)</f>
        <v>10081</v>
      </c>
      <c r="F82" t="s">
        <v>5</v>
      </c>
      <c r="G82">
        <v>10081</v>
      </c>
      <c r="H82" t="s">
        <v>621</v>
      </c>
      <c r="I82" s="2">
        <f>EDATE(Table1[[#This Row],[Order_Date]],3)</f>
        <v>46168</v>
      </c>
      <c r="J82" s="2">
        <f>EDATE(Table1[[#This Row],[Order_Date]],6)</f>
        <v>46260</v>
      </c>
      <c r="K82">
        <f ca="1">YEAR(Table1[[#This Row],[Today]])</f>
        <v>2026</v>
      </c>
      <c r="L82">
        <v>81</v>
      </c>
      <c r="M82">
        <f ca="1">DAY(Table1[[#This Row],[Today]])</f>
        <v>11</v>
      </c>
      <c r="N82" s="19">
        <f t="shared" ca="1" si="13"/>
        <v>46245.589795370368</v>
      </c>
      <c r="O82" s="2">
        <f t="shared" ca="1" si="8"/>
        <v>46245</v>
      </c>
      <c r="P82" s="17">
        <f ca="1">Table1[[#This Row],[Today]]-Table1[[#This Row],[Order_Date]]</f>
        <v>166</v>
      </c>
      <c r="Q82" s="2">
        <v>45738</v>
      </c>
      <c r="R82" s="2">
        <v>46079</v>
      </c>
      <c r="S82" s="6">
        <f t="shared" si="11"/>
        <v>2026</v>
      </c>
      <c r="T82" s="7" t="str">
        <f t="shared" si="12"/>
        <v>February</v>
      </c>
      <c r="U82" s="2">
        <f>WORKDAY(Table1[[#This Row],[Order_Date]],5)</f>
        <v>46086</v>
      </c>
      <c r="V82" s="7" t="str">
        <f>CONCATENATE(Table1[[#This Row],[Customer_ID]],Table1[[#This Row],[Customer_Name]])</f>
        <v>C1098Meera Nair</v>
      </c>
      <c r="W82" t="s">
        <v>622</v>
      </c>
      <c r="X82" t="s">
        <v>429</v>
      </c>
      <c r="Y82">
        <f>COUNTA(Table1[[#This Row],[Customer_Name]])</f>
        <v>1</v>
      </c>
      <c r="Z82" t="str">
        <f>SUBSTITUTE(Table1[[#This Row],[Customer_Name]]," ","_")</f>
        <v>Meera_Nair</v>
      </c>
      <c r="AA82" s="10">
        <f>IFERROR(SEARCH("a",Table1[[#This Row],[Customer_Name]]),"N/A")</f>
        <v>5</v>
      </c>
      <c r="AB82">
        <f>SEARCH(" ",Table1[[#This Row],[Customer_Name]])</f>
        <v>6</v>
      </c>
      <c r="AC82" s="11">
        <f>IFERROR(FIND("a",Table1[[#This Row],[Customer_Name]]),"N/A")</f>
        <v>5</v>
      </c>
      <c r="AD82">
        <f>FIND(" ",Table1[[#This Row],[Customer_Name]])</f>
        <v>6</v>
      </c>
      <c r="AE82" t="str">
        <f>TRIM(Table1[[#This Row],[Customer_Name]])</f>
        <v>Meera Nair</v>
      </c>
      <c r="AF82">
        <f>LEN(Table1[[#This Row],[Trimmed]])</f>
        <v>10</v>
      </c>
      <c r="AG82">
        <f>MAX(Table1[Length])</f>
        <v>15</v>
      </c>
      <c r="AH82" t="str">
        <f>PROPER(Table1[[#This Row],[Customer_Name]])</f>
        <v>Meera Nair</v>
      </c>
      <c r="AI82" t="str">
        <f>LOWER(Table1[[#This Row],[Customer_Name]])</f>
        <v>meera nair</v>
      </c>
      <c r="AJ82" t="str">
        <f>UPPER(Table1[[#This Row],[Customer_Name]])</f>
        <v>MEERA NAIR</v>
      </c>
      <c r="AK82" t="str">
        <f>CONCATENATE(Table1[[#This Row],[Customer_ID]],Table1[[#This Row],[Customer_Name]])</f>
        <v>C1098Meera Nair</v>
      </c>
      <c r="AL82" t="s">
        <v>430</v>
      </c>
      <c r="AM82" t="s">
        <v>431</v>
      </c>
      <c r="AN82" t="s">
        <v>432</v>
      </c>
      <c r="AO82" t="s">
        <v>430</v>
      </c>
      <c r="AP82" t="s">
        <v>431</v>
      </c>
      <c r="AQ82" t="s">
        <v>304</v>
      </c>
      <c r="AR82" t="str">
        <f>TRIM(Table1[[#This Row],[City]])</f>
        <v>Chennai</v>
      </c>
      <c r="AS82" t="str">
        <f>PROPER(Table1[[#This Row],[City]])</f>
        <v>Chennai</v>
      </c>
      <c r="AT82" t="s">
        <v>305</v>
      </c>
      <c r="AU82" t="str">
        <f>CONCATENATE(Table1[[#This Row],[City]],Table1[[#This Row],[State]])</f>
        <v>ChennaiTamil Nadu</v>
      </c>
      <c r="AV82" t="s">
        <v>168</v>
      </c>
      <c r="AW82" t="s">
        <v>201</v>
      </c>
      <c r="AX82" t="str">
        <f>REPLACE(Table1[[#This Row],[Product_ID]],1,1,"s")</f>
        <v>s104</v>
      </c>
      <c r="AY82" t="s">
        <v>623</v>
      </c>
      <c r="AZ82">
        <f>SEARCH("-",Table1[[#This Row],[Product ID]])</f>
        <v>2</v>
      </c>
      <c r="BA82">
        <f>FIND("-",Table1[[#This Row],[Product ID]])</f>
        <v>2</v>
      </c>
      <c r="BB82" t="str">
        <f>MID(Table1[[#This Row],[Product_ID]],2,3)</f>
        <v>104</v>
      </c>
      <c r="BC82" t="str">
        <f>RIGHT(Table1[[#This Row],[Product_ID]],3)</f>
        <v>104</v>
      </c>
      <c r="BD82" t="str">
        <f>LEFT(Table1[[#This Row],[Product_ID]],3)</f>
        <v>P10</v>
      </c>
      <c r="BE82" t="str">
        <f>_xlfn.XLOOKUP(Table1[[#This Row],[Product_ID]],AW:AW,BF:BF,,0)</f>
        <v>USB-C Hub</v>
      </c>
      <c r="BF82" t="s">
        <v>203</v>
      </c>
      <c r="BG82">
        <f>LEN(Table1[[#This Row],[Product_Name]])</f>
        <v>9</v>
      </c>
      <c r="BH82" t="s">
        <v>154</v>
      </c>
      <c r="BI82">
        <f t="shared" si="14"/>
        <v>75</v>
      </c>
      <c r="BJ82" t="str">
        <f>SUBSTITUTE(Table1[[#This Row],[Category]],"Electronics","ELECTRONICS")</f>
        <v>ELECTRONICS</v>
      </c>
      <c r="BN82" t="s">
        <v>155</v>
      </c>
      <c r="BS82" s="14">
        <v>5</v>
      </c>
      <c r="BT82" s="3">
        <v>1899</v>
      </c>
      <c r="BU82" s="4">
        <v>5</v>
      </c>
      <c r="BV82" s="4" t="str">
        <f>IF(AND(Table1[[#This Row],[Quantity]]&gt;=3,Table1[[#This Row],[Discount_%]]&gt;=15%),"Bulk Discount","no")</f>
        <v>Bulk Discount</v>
      </c>
      <c r="BW82" s="4" t="str">
        <f>IF(AND(Table1[[#This Row],[Quantity]]&gt;3,Table1[[#This Row],[Discount_%]]&gt;15%),"Bulk Customer","Normal")</f>
        <v>Bulk Customer</v>
      </c>
      <c r="BX82" t="s">
        <v>187</v>
      </c>
      <c r="BY82" t="s">
        <v>136</v>
      </c>
      <c r="CC82" t="str">
        <f>IF(OR(Table1[[#This Row],[Order_Status]]="Returned",Table1[[#This Row],[Order_Status]]="Cancelled"),"Attention Required","Not")</f>
        <v>Not</v>
      </c>
      <c r="CD82" t="str">
        <f>IF(OR(Table1[[#This Row],[Order_Status]]="Returned",Table1[[#This Row],[Order_Status]]="Cancelled"),"Review","no")</f>
        <v>no</v>
      </c>
      <c r="CE82" t="str">
        <f>SUBSTITUTE(Table1[[#This Row],[Order_Status]],"Delivered","Completed")</f>
        <v>Completed</v>
      </c>
      <c r="CF82" s="2">
        <v>46082</v>
      </c>
      <c r="CG82" s="17">
        <f>NETWORKDAYS(Table1[[#This Row],[Order_Date]],Table1[[#This Row],[Delivery_Date]])</f>
        <v>2</v>
      </c>
      <c r="CH82" s="17">
        <f>Table1[[#This Row],[Delivery_Date]]-Table1[[#This Row],[Order_Date]]</f>
        <v>3</v>
      </c>
      <c r="CI82" t="s">
        <v>137</v>
      </c>
      <c r="CJ82" t="str">
        <f>IF(Table1[[#This Row],[Rating]]&gt;=4,"Good","Needs Improvement")</f>
        <v>Needs Improvement</v>
      </c>
      <c r="CK82" t="str">
        <f>IF(OR(Table1[[#This Row],[Rating]]&lt;=2,Table1[[#This Row],[Profit]]&lt;0),"Review","NO")</f>
        <v>Review</v>
      </c>
      <c r="CL82" t="e" cm="1">
        <f t="array" ref="CL82">_xlfn.IFS(Table1[[#This Row],[Rating]]&gt;2,"Poor",Table1[[#This Row],[Rating]]=3,"Average",Table1[[#This Row],[Rating]]=4,"Good",CP82=5,"Excellent")</f>
        <v>#N/A</v>
      </c>
      <c r="CM82">
        <f>COUNT(Table1[[#This Row],[Rating]])</f>
        <v>1</v>
      </c>
      <c r="CN82">
        <f>COUNTBLANK(Table1[[#This Row],[Rating]])</f>
        <v>0</v>
      </c>
      <c r="CP82" t="s">
        <v>138</v>
      </c>
      <c r="CQ82" s="14">
        <v>2</v>
      </c>
      <c r="CR82" t="s">
        <v>204</v>
      </c>
      <c r="CS82" t="s">
        <v>158</v>
      </c>
      <c r="CU82" s="3">
        <v>9020.25</v>
      </c>
      <c r="CV82" s="3">
        <f>ROUND(Table1[[#This Row],[Sales_Amount]],0)</f>
        <v>9020</v>
      </c>
      <c r="CW82" s="3"/>
      <c r="CX82" s="3"/>
      <c r="CY82" s="3" t="b">
        <f>IF(AND(Table1[[#This Row],[Sales_Amount]]&gt;=10000,Table1[[#This Row],[Profit]]&gt;0),"Good Order")</f>
        <v>0</v>
      </c>
      <c r="CZ82" s="3" t="str">
        <f>IF(Table1[[#This Row],[Sales_Amount]]&gt;=10000,"High","Normal")</f>
        <v>Normal</v>
      </c>
      <c r="DA82" s="3">
        <v>3520.25</v>
      </c>
      <c r="DB82" s="3">
        <f>ROUND(Table1[[#This Row],[Profit]],0)</f>
        <v>3520</v>
      </c>
      <c r="DC82" s="3">
        <f>ABS(Table1[[#This Row],[Profit]])</f>
        <v>3520.25</v>
      </c>
      <c r="DD82" s="3"/>
      <c r="DE82" s="3"/>
      <c r="DF82" s="3"/>
      <c r="DG82" s="3" t="str">
        <f>IF(Table1[[#This Row],[Profit]]&gt;0,"Profit","Loss")</f>
        <v>Profit</v>
      </c>
      <c r="DH82" s="3" t="str">
        <f>IF(AND(Table1[[#This Row],[Sales_Amount]]&gt;=10000,Table1[[#This Row],[Profit]]&gt;0),"Priority","Normal")</f>
        <v>Normal</v>
      </c>
      <c r="DI82" s="3">
        <f t="shared" ca="1" si="9"/>
        <v>0.70364460212534741</v>
      </c>
      <c r="DJ82" s="3">
        <f t="shared" ca="1" si="10"/>
        <v>52</v>
      </c>
      <c r="DK82" s="3"/>
      <c r="DL82" s="3"/>
      <c r="DM82" s="3"/>
      <c r="DN82" s="3"/>
      <c r="DO82" s="3"/>
      <c r="DP82" s="3"/>
    </row>
    <row r="83" spans="1:120">
      <c r="A83" t="s">
        <v>624</v>
      </c>
      <c r="B83" t="str">
        <f>REPLACE(Table1[[#This Row],[Order_ID]],1,3,"YOO")</f>
        <v>YOO10082</v>
      </c>
      <c r="C83" t="str">
        <f>MID(Table1[[#This Row],[Order_ID]],4,4)</f>
        <v>1008</v>
      </c>
      <c r="D83" t="str">
        <f>LEFT(Table1[[#This Row],[Order_ID]],4)</f>
        <v>ORD1</v>
      </c>
      <c r="E83" t="str">
        <f>RIGHT(Table1[[#This Row],[Order_ID]],5)</f>
        <v>10082</v>
      </c>
      <c r="F83" t="s">
        <v>5</v>
      </c>
      <c r="G83">
        <v>10082</v>
      </c>
      <c r="H83" t="s">
        <v>625</v>
      </c>
      <c r="I83" s="2">
        <f>EDATE(Table1[[#This Row],[Order_Date]],3)</f>
        <v>46009</v>
      </c>
      <c r="J83" s="2">
        <f>EDATE(Table1[[#This Row],[Order_Date]],6)</f>
        <v>46099</v>
      </c>
      <c r="K83">
        <f ca="1">YEAR(Table1[[#This Row],[Today]])</f>
        <v>2026</v>
      </c>
      <c r="L83">
        <v>82</v>
      </c>
      <c r="M83">
        <f ca="1">DAY(Table1[[#This Row],[Today]])</f>
        <v>11</v>
      </c>
      <c r="N83" s="19">
        <f t="shared" ca="1" si="13"/>
        <v>46245.589795138891</v>
      </c>
      <c r="O83" s="2">
        <f t="shared" ca="1" si="8"/>
        <v>46245</v>
      </c>
      <c r="P83" s="17">
        <f ca="1">Table1[[#This Row],[Today]]-Table1[[#This Row],[Order_Date]]</f>
        <v>327</v>
      </c>
      <c r="Q83" s="2">
        <v>45739</v>
      </c>
      <c r="R83" s="2">
        <v>45918</v>
      </c>
      <c r="S83" s="6">
        <f t="shared" si="11"/>
        <v>2025</v>
      </c>
      <c r="T83" s="7" t="str">
        <f t="shared" si="12"/>
        <v>September</v>
      </c>
      <c r="U83" s="2">
        <f>WORKDAY(Table1[[#This Row],[Order_Date]],5)</f>
        <v>45925</v>
      </c>
      <c r="V83" s="7" t="str">
        <f>CONCATENATE(Table1[[#This Row],[Customer_ID]],Table1[[#This Row],[Customer_Name]])</f>
        <v>C1074Riya Agarwal</v>
      </c>
      <c r="W83" t="s">
        <v>614</v>
      </c>
      <c r="X83" t="s">
        <v>217</v>
      </c>
      <c r="Y83">
        <f>COUNTA(Table1[[#This Row],[Customer_Name]])</f>
        <v>1</v>
      </c>
      <c r="Z83" t="str">
        <f>SUBSTITUTE(Table1[[#This Row],[Customer_Name]]," ","_")</f>
        <v>Riya_Agarwal</v>
      </c>
      <c r="AA83" s="10">
        <f>IFERROR(SEARCH("a",Table1[[#This Row],[Customer_Name]]),"N/A")</f>
        <v>4</v>
      </c>
      <c r="AB83">
        <f>SEARCH(" ",Table1[[#This Row],[Customer_Name]])</f>
        <v>5</v>
      </c>
      <c r="AC83" s="11">
        <f>IFERROR(FIND("a",Table1[[#This Row],[Customer_Name]]),"N/A")</f>
        <v>4</v>
      </c>
      <c r="AD83">
        <f>FIND(" ",Table1[[#This Row],[Customer_Name]])</f>
        <v>5</v>
      </c>
      <c r="AE83" t="str">
        <f>TRIM(Table1[[#This Row],[Customer_Name]])</f>
        <v>Riya Agarwal</v>
      </c>
      <c r="AF83">
        <f>LEN(Table1[[#This Row],[Trimmed]])</f>
        <v>12</v>
      </c>
      <c r="AG83">
        <f>MAX(Table1[Length])</f>
        <v>15</v>
      </c>
      <c r="AH83" t="str">
        <f>PROPER(Table1[[#This Row],[Customer_Name]])</f>
        <v>Riya Agarwal</v>
      </c>
      <c r="AI83" t="str">
        <f>LOWER(Table1[[#This Row],[Customer_Name]])</f>
        <v>riya agarwal</v>
      </c>
      <c r="AJ83" t="str">
        <f>UPPER(Table1[[#This Row],[Customer_Name]])</f>
        <v>RIYA AGARWAL</v>
      </c>
      <c r="AK83" t="str">
        <f>CONCATENATE(Table1[[#This Row],[Customer_ID]],Table1[[#This Row],[Customer_Name]])</f>
        <v>C1074Riya Agarwal</v>
      </c>
      <c r="AL83" t="s">
        <v>218</v>
      </c>
      <c r="AM83" t="s">
        <v>219</v>
      </c>
      <c r="AN83" t="s">
        <v>220</v>
      </c>
      <c r="AO83" t="s">
        <v>218</v>
      </c>
      <c r="AP83" t="s">
        <v>219</v>
      </c>
      <c r="AQ83" t="s">
        <v>284</v>
      </c>
      <c r="AR83" t="str">
        <f>TRIM(Table1[[#This Row],[City]])</f>
        <v>Hyderabad</v>
      </c>
      <c r="AS83" t="str">
        <f>PROPER(Table1[[#This Row],[City]])</f>
        <v>Hyderabad</v>
      </c>
      <c r="AT83" t="s">
        <v>285</v>
      </c>
      <c r="AU83" t="str">
        <f>CONCATENATE(Table1[[#This Row],[City]],Table1[[#This Row],[State]])</f>
        <v>HyderabadTelangana</v>
      </c>
      <c r="AV83" t="s">
        <v>168</v>
      </c>
      <c r="AW83" t="s">
        <v>201</v>
      </c>
      <c r="AX83" t="str">
        <f>REPLACE(Table1[[#This Row],[Product_ID]],1,1,"s")</f>
        <v>s104</v>
      </c>
      <c r="AY83" t="s">
        <v>626</v>
      </c>
      <c r="AZ83">
        <f>SEARCH("-",Table1[[#This Row],[Product ID]])</f>
        <v>2</v>
      </c>
      <c r="BA83">
        <f>FIND("-",Table1[[#This Row],[Product ID]])</f>
        <v>2</v>
      </c>
      <c r="BB83" t="str">
        <f>MID(Table1[[#This Row],[Product_ID]],2,3)</f>
        <v>104</v>
      </c>
      <c r="BC83" t="str">
        <f>RIGHT(Table1[[#This Row],[Product_ID]],3)</f>
        <v>104</v>
      </c>
      <c r="BD83" t="str">
        <f>LEFT(Table1[[#This Row],[Product_ID]],3)</f>
        <v>P10</v>
      </c>
      <c r="BE83" t="str">
        <f>_xlfn.XLOOKUP(Table1[[#This Row],[Product_ID]],AW:AW,BF:BF,,0)</f>
        <v>USB-C Hub</v>
      </c>
      <c r="BF83" t="s">
        <v>203</v>
      </c>
      <c r="BG83">
        <f>LEN(Table1[[#This Row],[Product_Name]])</f>
        <v>9</v>
      </c>
      <c r="BH83" t="s">
        <v>154</v>
      </c>
      <c r="BI83">
        <f t="shared" si="14"/>
        <v>75</v>
      </c>
      <c r="BJ83" t="str">
        <f>SUBSTITUTE(Table1[[#This Row],[Category]],"Electronics","ELECTRONICS")</f>
        <v>ELECTRONICS</v>
      </c>
      <c r="BN83" t="s">
        <v>155</v>
      </c>
      <c r="BS83" s="14">
        <v>4</v>
      </c>
      <c r="BT83" s="3">
        <v>1899</v>
      </c>
      <c r="BU83" s="4">
        <v>10</v>
      </c>
      <c r="BV83" s="4" t="str">
        <f>IF(AND(Table1[[#This Row],[Quantity]]&gt;=3,Table1[[#This Row],[Discount_%]]&gt;=15%),"Bulk Discount","no")</f>
        <v>Bulk Discount</v>
      </c>
      <c r="BW83" s="4" t="str">
        <f>IF(AND(Table1[[#This Row],[Quantity]]&gt;3,Table1[[#This Row],[Discount_%]]&gt;15%),"Bulk Customer","Normal")</f>
        <v>Bulk Customer</v>
      </c>
      <c r="BX83" t="s">
        <v>187</v>
      </c>
      <c r="BY83" t="s">
        <v>374</v>
      </c>
      <c r="CC83" t="str">
        <f>IF(OR(Table1[[#This Row],[Order_Status]]="Returned",Table1[[#This Row],[Order_Status]]="Cancelled"),"Attention Required","Not")</f>
        <v>Attention Required</v>
      </c>
      <c r="CD83" t="str">
        <f>IF(OR(Table1[[#This Row],[Order_Status]]="Returned",Table1[[#This Row],[Order_Status]]="Cancelled"),"Review","no")</f>
        <v>Review</v>
      </c>
      <c r="CE83" t="str">
        <f>SUBSTITUTE(Table1[[#This Row],[Order_Status]],"Delivered","Completed")</f>
        <v>Returned</v>
      </c>
      <c r="CF83" s="2">
        <v>45919</v>
      </c>
      <c r="CG83" s="17">
        <f>NETWORKDAYS(Table1[[#This Row],[Order_Date]],Table1[[#This Row],[Delivery_Date]])</f>
        <v>2</v>
      </c>
      <c r="CH83" s="17">
        <f>Table1[[#This Row],[Delivery_Date]]-Table1[[#This Row],[Order_Date]]</f>
        <v>1</v>
      </c>
      <c r="CI83" t="s">
        <v>375</v>
      </c>
      <c r="CJ83" t="str">
        <f>IF(Table1[[#This Row],[Rating]]&gt;=4,"Good","Needs Improvement")</f>
        <v>Needs Improvement</v>
      </c>
      <c r="CK83" t="str">
        <f>IF(OR(Table1[[#This Row],[Rating]]&lt;=2,Table1[[#This Row],[Profit]]&lt;0),"Review","NO")</f>
        <v>Review</v>
      </c>
      <c r="CL83" t="e" cm="1">
        <f t="array" ref="CL83">_xlfn.IFS(Table1[[#This Row],[Rating]]&gt;2,"Poor",Table1[[#This Row],[Rating]]=3,"Average",Table1[[#This Row],[Rating]]=4,"Good",CP83=5,"Excellent")</f>
        <v>#N/A</v>
      </c>
      <c r="CM83">
        <f>COUNT(Table1[[#This Row],[Rating]])</f>
        <v>0</v>
      </c>
      <c r="CN83">
        <f>COUNTBLANK(Table1[[#This Row],[Rating]])</f>
        <v>1</v>
      </c>
      <c r="CP83" t="s">
        <v>331</v>
      </c>
      <c r="CR83" t="s">
        <v>173</v>
      </c>
      <c r="CS83" t="s">
        <v>195</v>
      </c>
      <c r="CU83" s="3">
        <v>6836.4</v>
      </c>
      <c r="CV83" s="3">
        <f>ROUND(Table1[[#This Row],[Sales_Amount]],0)</f>
        <v>6836</v>
      </c>
      <c r="CW83" s="3"/>
      <c r="CX83" s="3"/>
      <c r="CY83" s="3" t="b">
        <f>IF(AND(Table1[[#This Row],[Sales_Amount]]&gt;=10000,Table1[[#This Row],[Profit]]&gt;0),"Good Order")</f>
        <v>0</v>
      </c>
      <c r="CZ83" s="3" t="str">
        <f>IF(Table1[[#This Row],[Sales_Amount]]&gt;=10000,"High","Normal")</f>
        <v>Normal</v>
      </c>
      <c r="DA83" s="3">
        <v>2436.4</v>
      </c>
      <c r="DB83" s="3">
        <f>ROUND(Table1[[#This Row],[Profit]],0)</f>
        <v>2436</v>
      </c>
      <c r="DC83" s="3">
        <f>ABS(Table1[[#This Row],[Profit]])</f>
        <v>2436.4</v>
      </c>
      <c r="DD83" s="3"/>
      <c r="DE83" s="3"/>
      <c r="DF83" s="3"/>
      <c r="DG83" s="3" t="str">
        <f>IF(Table1[[#This Row],[Profit]]&gt;0,"Profit","Loss")</f>
        <v>Profit</v>
      </c>
      <c r="DH83" s="3" t="str">
        <f>IF(AND(Table1[[#This Row],[Sales_Amount]]&gt;=10000,Table1[[#This Row],[Profit]]&gt;0),"Priority","Normal")</f>
        <v>Normal</v>
      </c>
      <c r="DI83" s="3">
        <f t="shared" ca="1" si="9"/>
        <v>0.83246263454811886</v>
      </c>
      <c r="DJ83" s="3">
        <f t="shared" ca="1" si="10"/>
        <v>93</v>
      </c>
      <c r="DK83" s="3"/>
      <c r="DL83" s="3"/>
      <c r="DM83" s="3"/>
      <c r="DN83" s="3"/>
      <c r="DO83" s="3"/>
      <c r="DP83" s="3"/>
    </row>
    <row r="84" spans="1:120">
      <c r="A84" t="s">
        <v>627</v>
      </c>
      <c r="B84" t="str">
        <f>REPLACE(Table1[[#This Row],[Order_ID]],1,3,"YOO")</f>
        <v>YOO10083</v>
      </c>
      <c r="C84" t="str">
        <f>MID(Table1[[#This Row],[Order_ID]],4,4)</f>
        <v>1008</v>
      </c>
      <c r="D84" t="str">
        <f>LEFT(Table1[[#This Row],[Order_ID]],4)</f>
        <v>ORD1</v>
      </c>
      <c r="E84" t="str">
        <f>RIGHT(Table1[[#This Row],[Order_ID]],5)</f>
        <v>10083</v>
      </c>
      <c r="F84" t="s">
        <v>5</v>
      </c>
      <c r="G84">
        <v>10083</v>
      </c>
      <c r="H84" t="s">
        <v>628</v>
      </c>
      <c r="I84" s="2">
        <f>EDATE(Table1[[#This Row],[Order_Date]],3)</f>
        <v>46184</v>
      </c>
      <c r="J84" s="2">
        <f>EDATE(Table1[[#This Row],[Order_Date]],6)</f>
        <v>46276</v>
      </c>
      <c r="K84">
        <f ca="1">YEAR(Table1[[#This Row],[Today]])</f>
        <v>2026</v>
      </c>
      <c r="L84">
        <v>83</v>
      </c>
      <c r="M84">
        <f ca="1">DAY(Table1[[#This Row],[Today]])</f>
        <v>11</v>
      </c>
      <c r="N84" s="19">
        <f t="shared" ca="1" si="13"/>
        <v>46245.589795370368</v>
      </c>
      <c r="O84" s="2">
        <f t="shared" ca="1" si="8"/>
        <v>46245</v>
      </c>
      <c r="P84" s="17">
        <f ca="1">Table1[[#This Row],[Today]]-Table1[[#This Row],[Order_Date]]</f>
        <v>153</v>
      </c>
      <c r="Q84" s="2">
        <v>45740</v>
      </c>
      <c r="R84" s="2">
        <v>46092</v>
      </c>
      <c r="S84" s="6">
        <f t="shared" si="11"/>
        <v>2026</v>
      </c>
      <c r="T84" s="7" t="str">
        <f t="shared" si="12"/>
        <v>March</v>
      </c>
      <c r="U84" s="2">
        <f>WORKDAY(Table1[[#This Row],[Order_Date]],5)</f>
        <v>46099</v>
      </c>
      <c r="V84" s="7" t="str">
        <f>CONCATENATE(Table1[[#This Row],[Customer_ID]],Table1[[#This Row],[Customer_Name]])</f>
        <v>C1099Kavya Shah</v>
      </c>
      <c r="W84" t="s">
        <v>629</v>
      </c>
      <c r="X84" t="s">
        <v>271</v>
      </c>
      <c r="Y84">
        <f>COUNTA(Table1[[#This Row],[Customer_Name]])</f>
        <v>1</v>
      </c>
      <c r="Z84" t="str">
        <f>SUBSTITUTE(Table1[[#This Row],[Customer_Name]]," ","_")</f>
        <v>Kavya_Shah</v>
      </c>
      <c r="AA84" s="10">
        <f>IFERROR(SEARCH("a",Table1[[#This Row],[Customer_Name]]),"N/A")</f>
        <v>2</v>
      </c>
      <c r="AB84">
        <f>SEARCH(" ",Table1[[#This Row],[Customer_Name]])</f>
        <v>6</v>
      </c>
      <c r="AC84" s="11">
        <f>IFERROR(FIND("a",Table1[[#This Row],[Customer_Name]]),"N/A")</f>
        <v>2</v>
      </c>
      <c r="AD84">
        <f>FIND(" ",Table1[[#This Row],[Customer_Name]])</f>
        <v>6</v>
      </c>
      <c r="AE84" t="str">
        <f>TRIM(Table1[[#This Row],[Customer_Name]])</f>
        <v>Kavya Shah</v>
      </c>
      <c r="AF84">
        <f>LEN(Table1[[#This Row],[Trimmed]])</f>
        <v>10</v>
      </c>
      <c r="AG84">
        <f>MAX(Table1[Length])</f>
        <v>15</v>
      </c>
      <c r="AH84" t="str">
        <f>PROPER(Table1[[#This Row],[Customer_Name]])</f>
        <v>Kavya Shah</v>
      </c>
      <c r="AI84" t="str">
        <f>LOWER(Table1[[#This Row],[Customer_Name]])</f>
        <v>kavya shah</v>
      </c>
      <c r="AJ84" t="str">
        <f>UPPER(Table1[[#This Row],[Customer_Name]])</f>
        <v>KAVYA SHAH</v>
      </c>
      <c r="AK84" t="str">
        <f>CONCATENATE(Table1[[#This Row],[Customer_ID]],Table1[[#This Row],[Customer_Name]])</f>
        <v>C1099Kavya Shah</v>
      </c>
      <c r="AL84" t="s">
        <v>272</v>
      </c>
      <c r="AM84" t="s">
        <v>273</v>
      </c>
      <c r="AN84" t="s">
        <v>274</v>
      </c>
      <c r="AO84" t="s">
        <v>272</v>
      </c>
      <c r="AP84" t="s">
        <v>273</v>
      </c>
      <c r="AQ84" t="s">
        <v>379</v>
      </c>
      <c r="AR84" t="str">
        <f>TRIM(Table1[[#This Row],[City]])</f>
        <v>Indore</v>
      </c>
      <c r="AS84" t="str">
        <f>PROPER(Table1[[#This Row],[City]])</f>
        <v>Indore</v>
      </c>
      <c r="AT84" t="s">
        <v>345</v>
      </c>
      <c r="AU84" t="str">
        <f>CONCATENATE(Table1[[#This Row],[City]],Table1[[#This Row],[State]])</f>
        <v>IndoreMadhya Pradesh</v>
      </c>
      <c r="AV84" t="s">
        <v>346</v>
      </c>
      <c r="AW84" t="s">
        <v>363</v>
      </c>
      <c r="AX84" t="str">
        <f>REPLACE(Table1[[#This Row],[Product_ID]],1,1,"s")</f>
        <v>s110</v>
      </c>
      <c r="AY84" t="s">
        <v>630</v>
      </c>
      <c r="AZ84">
        <f>SEARCH("-",Table1[[#This Row],[Product ID]])</f>
        <v>2</v>
      </c>
      <c r="BA84">
        <f>FIND("-",Table1[[#This Row],[Product ID]])</f>
        <v>2</v>
      </c>
      <c r="BB84" t="str">
        <f>MID(Table1[[#This Row],[Product_ID]],2,3)</f>
        <v>110</v>
      </c>
      <c r="BC84" t="str">
        <f>RIGHT(Table1[[#This Row],[Product_ID]],3)</f>
        <v>110</v>
      </c>
      <c r="BD84" t="str">
        <f>LEFT(Table1[[#This Row],[Product_ID]],3)</f>
        <v>P11</v>
      </c>
      <c r="BE84" t="str">
        <f>_xlfn.XLOOKUP(Table1[[#This Row],[Product_ID]],AW:AW,BF:BF,,0)</f>
        <v>Smart Watch</v>
      </c>
      <c r="BF84" t="s">
        <v>365</v>
      </c>
      <c r="BG84">
        <f>LEN(Table1[[#This Row],[Product_Name]])</f>
        <v>11</v>
      </c>
      <c r="BH84" t="s">
        <v>154</v>
      </c>
      <c r="BI84">
        <f t="shared" si="14"/>
        <v>75</v>
      </c>
      <c r="BJ84" t="str">
        <f>SUBSTITUTE(Table1[[#This Row],[Category]],"Electronics","ELECTRONICS")</f>
        <v>ELECTRONICS</v>
      </c>
      <c r="BN84" t="s">
        <v>366</v>
      </c>
      <c r="BS84" s="14">
        <v>3</v>
      </c>
      <c r="BT84" s="3">
        <v>4999</v>
      </c>
      <c r="BU84" s="4">
        <v>25</v>
      </c>
      <c r="BV84" s="4" t="str">
        <f>IF(AND(Table1[[#This Row],[Quantity]]&gt;=3,Table1[[#This Row],[Discount_%]]&gt;=15%),"Bulk Discount","no")</f>
        <v>Bulk Discount</v>
      </c>
      <c r="BW84" s="4" t="str">
        <f>IF(AND(Table1[[#This Row],[Quantity]]&gt;3,Table1[[#This Row],[Discount_%]]&gt;15%),"Bulk Customer","Normal")</f>
        <v>Normal</v>
      </c>
      <c r="BX84" t="s">
        <v>172</v>
      </c>
      <c r="BY84" t="s">
        <v>193</v>
      </c>
      <c r="CC84" t="str">
        <f>IF(OR(Table1[[#This Row],[Order_Status]]="Returned",Table1[[#This Row],[Order_Status]]="Cancelled"),"Attention Required","Not")</f>
        <v>Not</v>
      </c>
      <c r="CD84" t="str">
        <f>IF(OR(Table1[[#This Row],[Order_Status]]="Returned",Table1[[#This Row],[Order_Status]]="Cancelled"),"Review","no")</f>
        <v>no</v>
      </c>
      <c r="CE84" t="str">
        <f>SUBSTITUTE(Table1[[#This Row],[Order_Status]],"Delivered","Completed")</f>
        <v>Shipped</v>
      </c>
      <c r="CF84" s="2">
        <v>46097</v>
      </c>
      <c r="CG84" s="17">
        <f>NETWORKDAYS(Table1[[#This Row],[Order_Date]],Table1[[#This Row],[Delivery_Date]])</f>
        <v>4</v>
      </c>
      <c r="CH84" s="17">
        <f>Table1[[#This Row],[Delivery_Date]]-Table1[[#This Row],[Order_Date]]</f>
        <v>5</v>
      </c>
      <c r="CI84" t="s">
        <v>137</v>
      </c>
      <c r="CJ84" t="str">
        <f>IF(Table1[[#This Row],[Rating]]&gt;=4,"Good","Needs Improvement")</f>
        <v>Good</v>
      </c>
      <c r="CK84" t="str">
        <f>IF(OR(Table1[[#This Row],[Rating]]&lt;=2,Table1[[#This Row],[Profit]]&lt;0),"Review","NO")</f>
        <v>NO</v>
      </c>
      <c r="CL84" t="str" cm="1">
        <f t="array" ref="CL84">_xlfn.IFS(Table1[[#This Row],[Rating]]&gt;2,"Poor",Table1[[#This Row],[Rating]]=3,"Average",Table1[[#This Row],[Rating]]=4,"Good",CP84=5,"Excellent")</f>
        <v>Poor</v>
      </c>
      <c r="CM84">
        <f>COUNT(Table1[[#This Row],[Rating]])</f>
        <v>1</v>
      </c>
      <c r="CN84">
        <f>COUNTBLANK(Table1[[#This Row],[Rating]])</f>
        <v>0</v>
      </c>
      <c r="CP84" t="s">
        <v>194</v>
      </c>
      <c r="CQ84" s="14">
        <v>4</v>
      </c>
      <c r="CR84" t="s">
        <v>173</v>
      </c>
      <c r="CS84" t="s">
        <v>174</v>
      </c>
      <c r="CU84" s="3">
        <v>11247.75</v>
      </c>
      <c r="CV84" s="3">
        <f>ROUND(Table1[[#This Row],[Sales_Amount]],0)</f>
        <v>11248</v>
      </c>
      <c r="CW84" s="3"/>
      <c r="CX84" s="3"/>
      <c r="CY84" s="3" t="str">
        <f>IF(AND(Table1[[#This Row],[Sales_Amount]]&gt;=10000,Table1[[#This Row],[Profit]]&gt;0),"Good Order")</f>
        <v>Good Order</v>
      </c>
      <c r="CZ84" s="3" t="str">
        <f>IF(Table1[[#This Row],[Sales_Amount]]&gt;=10000,"High","Normal")</f>
        <v>High</v>
      </c>
      <c r="DA84" s="3">
        <v>1947.75</v>
      </c>
      <c r="DB84" s="3">
        <f>ROUND(Table1[[#This Row],[Profit]],0)</f>
        <v>1948</v>
      </c>
      <c r="DC84" s="3">
        <f>ABS(Table1[[#This Row],[Profit]])</f>
        <v>1947.75</v>
      </c>
      <c r="DD84" s="3"/>
      <c r="DE84" s="3"/>
      <c r="DF84" s="3"/>
      <c r="DG84" s="3" t="str">
        <f>IF(Table1[[#This Row],[Profit]]&gt;0,"Profit","Loss")</f>
        <v>Profit</v>
      </c>
      <c r="DH84" s="3" t="str">
        <f>IF(AND(Table1[[#This Row],[Sales_Amount]]&gt;=10000,Table1[[#This Row],[Profit]]&gt;0),"Priority","Normal")</f>
        <v>Priority</v>
      </c>
      <c r="DI84" s="3">
        <f t="shared" ca="1" si="9"/>
        <v>0.89691726848699327</v>
      </c>
      <c r="DJ84" s="3">
        <f t="shared" ca="1" si="10"/>
        <v>81</v>
      </c>
      <c r="DK84" s="3"/>
      <c r="DL84" s="3"/>
      <c r="DM84" s="3"/>
      <c r="DN84" s="3"/>
      <c r="DO84" s="3"/>
      <c r="DP84" s="3"/>
    </row>
    <row r="85" spans="1:120">
      <c r="A85" t="s">
        <v>631</v>
      </c>
      <c r="B85" t="str">
        <f>REPLACE(Table1[[#This Row],[Order_ID]],1,3,"YOO")</f>
        <v>YOO10084</v>
      </c>
      <c r="C85" t="str">
        <f>MID(Table1[[#This Row],[Order_ID]],4,4)</f>
        <v>1008</v>
      </c>
      <c r="D85" t="str">
        <f>LEFT(Table1[[#This Row],[Order_ID]],4)</f>
        <v>ORD1</v>
      </c>
      <c r="E85" t="str">
        <f>RIGHT(Table1[[#This Row],[Order_ID]],5)</f>
        <v>10084</v>
      </c>
      <c r="F85" t="s">
        <v>5</v>
      </c>
      <c r="G85">
        <v>10084</v>
      </c>
      <c r="H85" t="s">
        <v>632</v>
      </c>
      <c r="I85" s="2">
        <f>EDATE(Table1[[#This Row],[Order_Date]],3)</f>
        <v>46052</v>
      </c>
      <c r="J85" s="2">
        <f>EDATE(Table1[[#This Row],[Order_Date]],6)</f>
        <v>46142</v>
      </c>
      <c r="K85">
        <f ca="1">YEAR(Table1[[#This Row],[Today]])</f>
        <v>2026</v>
      </c>
      <c r="L85">
        <v>84</v>
      </c>
      <c r="M85">
        <f ca="1">DAY(Table1[[#This Row],[Today]])</f>
        <v>11</v>
      </c>
      <c r="N85" s="19">
        <f t="shared" ca="1" si="13"/>
        <v>46245.589795370368</v>
      </c>
      <c r="O85" s="2">
        <f t="shared" ca="1" si="8"/>
        <v>46245</v>
      </c>
      <c r="P85" s="17">
        <f ca="1">Table1[[#This Row],[Today]]-Table1[[#This Row],[Order_Date]]</f>
        <v>285</v>
      </c>
      <c r="Q85" s="2">
        <v>45741</v>
      </c>
      <c r="R85" s="2">
        <v>45960</v>
      </c>
      <c r="S85" s="6">
        <f t="shared" si="11"/>
        <v>2025</v>
      </c>
      <c r="T85" s="7" t="str">
        <f t="shared" si="12"/>
        <v>October</v>
      </c>
      <c r="U85" s="2">
        <f>WORKDAY(Table1[[#This Row],[Order_Date]],5)</f>
        <v>45967</v>
      </c>
      <c r="V85" s="7" t="str">
        <f>CONCATENATE(Table1[[#This Row],[Customer_ID]],Table1[[#This Row],[Customer_Name]])</f>
        <v>C1003Varun Tiwari</v>
      </c>
      <c r="W85" t="s">
        <v>633</v>
      </c>
      <c r="X85" t="s">
        <v>178</v>
      </c>
      <c r="Y85">
        <f>COUNTA(Table1[[#This Row],[Customer_Name]])</f>
        <v>1</v>
      </c>
      <c r="Z85" t="str">
        <f>SUBSTITUTE(Table1[[#This Row],[Customer_Name]]," ","_")</f>
        <v>Varun_Tiwari</v>
      </c>
      <c r="AA85" s="10">
        <f>IFERROR(SEARCH("a",Table1[[#This Row],[Customer_Name]]),"N/A")</f>
        <v>2</v>
      </c>
      <c r="AB85">
        <f>SEARCH(" ",Table1[[#This Row],[Customer_Name]])</f>
        <v>6</v>
      </c>
      <c r="AC85" s="11">
        <f>IFERROR(FIND("a",Table1[[#This Row],[Customer_Name]]),"N/A")</f>
        <v>2</v>
      </c>
      <c r="AD85">
        <f>FIND(" ",Table1[[#This Row],[Customer_Name]])</f>
        <v>6</v>
      </c>
      <c r="AE85" t="str">
        <f>TRIM(Table1[[#This Row],[Customer_Name]])</f>
        <v>Varun Tiwari</v>
      </c>
      <c r="AF85">
        <f>LEN(Table1[[#This Row],[Trimmed]])</f>
        <v>12</v>
      </c>
      <c r="AG85">
        <f>MAX(Table1[Length])</f>
        <v>15</v>
      </c>
      <c r="AH85" t="str">
        <f>PROPER(Table1[[#This Row],[Customer_Name]])</f>
        <v>Varun Tiwari</v>
      </c>
      <c r="AI85" t="str">
        <f>LOWER(Table1[[#This Row],[Customer_Name]])</f>
        <v>varun tiwari</v>
      </c>
      <c r="AJ85" t="str">
        <f>UPPER(Table1[[#This Row],[Customer_Name]])</f>
        <v>VARUN TIWARI</v>
      </c>
      <c r="AK85" t="str">
        <f>CONCATENATE(Table1[[#This Row],[Customer_ID]],Table1[[#This Row],[Customer_Name]])</f>
        <v>C1003Varun Tiwari</v>
      </c>
      <c r="AL85" t="s">
        <v>179</v>
      </c>
      <c r="AM85" t="s">
        <v>180</v>
      </c>
      <c r="AN85" t="s">
        <v>181</v>
      </c>
      <c r="AO85" t="s">
        <v>179</v>
      </c>
      <c r="AP85" t="s">
        <v>180</v>
      </c>
      <c r="AQ85" t="s">
        <v>233</v>
      </c>
      <c r="AR85" t="str">
        <f>TRIM(Table1[[#This Row],[City]])</f>
        <v>Kolkata</v>
      </c>
      <c r="AS85" t="str">
        <f>PROPER(Table1[[#This Row],[City]])</f>
        <v>Kolkata</v>
      </c>
      <c r="AT85" t="s">
        <v>234</v>
      </c>
      <c r="AU85" t="str">
        <f>CONCATENATE(Table1[[#This Row],[City]],Table1[[#This Row],[State]])</f>
        <v>KolkataWest Bengal</v>
      </c>
      <c r="AV85" t="s">
        <v>235</v>
      </c>
      <c r="AW85" t="s">
        <v>221</v>
      </c>
      <c r="AX85" t="str">
        <f>REPLACE(Table1[[#This Row],[Product_ID]],1,1,"s")</f>
        <v>s106</v>
      </c>
      <c r="AY85" t="s">
        <v>634</v>
      </c>
      <c r="AZ85">
        <f>SEARCH("-",Table1[[#This Row],[Product ID]])</f>
        <v>2</v>
      </c>
      <c r="BA85">
        <f>FIND("-",Table1[[#This Row],[Product ID]])</f>
        <v>2</v>
      </c>
      <c r="BB85" t="str">
        <f>MID(Table1[[#This Row],[Product_ID]],2,3)</f>
        <v>106</v>
      </c>
      <c r="BC85" t="str">
        <f>RIGHT(Table1[[#This Row],[Product_ID]],3)</f>
        <v>106</v>
      </c>
      <c r="BD85" t="str">
        <f>LEFT(Table1[[#This Row],[Product_ID]],3)</f>
        <v>P10</v>
      </c>
      <c r="BE85" t="str">
        <f>_xlfn.XLOOKUP(Table1[[#This Row],[Product_ID]],AW:AW,BF:BF,,0)</f>
        <v>Running Shoes</v>
      </c>
      <c r="BF85" t="s">
        <v>223</v>
      </c>
      <c r="BG85">
        <f>LEN(Table1[[#This Row],[Product_Name]])</f>
        <v>13</v>
      </c>
      <c r="BH85" t="s">
        <v>224</v>
      </c>
      <c r="BI85">
        <f t="shared" si="14"/>
        <v>75</v>
      </c>
      <c r="BJ85" t="str">
        <f>SUBSTITUTE(Table1[[#This Row],[Category]],"Electronics","ELECTRONICS")</f>
        <v>Fashion</v>
      </c>
      <c r="BN85" t="s">
        <v>225</v>
      </c>
      <c r="BS85" s="14">
        <v>3</v>
      </c>
      <c r="BT85" s="3">
        <v>3499</v>
      </c>
      <c r="BU85" s="4">
        <v>0</v>
      </c>
      <c r="BV85" s="4" t="str">
        <f>IF(AND(Table1[[#This Row],[Quantity]]&gt;=3,Table1[[#This Row],[Discount_%]]&gt;=15%),"Bulk Discount","no")</f>
        <v>no</v>
      </c>
      <c r="BW85" s="4" t="str">
        <f>IF(AND(Table1[[#This Row],[Quantity]]&gt;3,Table1[[#This Row],[Discount_%]]&gt;15%),"Bulk Customer","Normal")</f>
        <v>Normal</v>
      </c>
      <c r="BX85" t="s">
        <v>172</v>
      </c>
      <c r="BY85" t="s">
        <v>193</v>
      </c>
      <c r="CC85" t="str">
        <f>IF(OR(Table1[[#This Row],[Order_Status]]="Returned",Table1[[#This Row],[Order_Status]]="Cancelled"),"Attention Required","Not")</f>
        <v>Not</v>
      </c>
      <c r="CD85" t="str">
        <f>IF(OR(Table1[[#This Row],[Order_Status]]="Returned",Table1[[#This Row],[Order_Status]]="Cancelled"),"Review","no")</f>
        <v>no</v>
      </c>
      <c r="CE85" t="str">
        <f>SUBSTITUTE(Table1[[#This Row],[Order_Status]],"Delivered","Completed")</f>
        <v>Shipped</v>
      </c>
      <c r="CF85" s="2">
        <v>45967</v>
      </c>
      <c r="CG85" s="17">
        <f>NETWORKDAYS(Table1[[#This Row],[Order_Date]],Table1[[#This Row],[Delivery_Date]])</f>
        <v>6</v>
      </c>
      <c r="CH85" s="17">
        <f>Table1[[#This Row],[Delivery_Date]]-Table1[[#This Row],[Order_Date]]</f>
        <v>7</v>
      </c>
      <c r="CI85" t="s">
        <v>137</v>
      </c>
      <c r="CJ85" t="str">
        <f>IF(Table1[[#This Row],[Rating]]&gt;=4,"Good","Needs Improvement")</f>
        <v>Good</v>
      </c>
      <c r="CK85" t="str">
        <f>IF(OR(Table1[[#This Row],[Rating]]&lt;=2,Table1[[#This Row],[Profit]]&lt;0),"Review","NO")</f>
        <v>NO</v>
      </c>
      <c r="CL85" t="str" cm="1">
        <f t="array" ref="CL85">_xlfn.IFS(Table1[[#This Row],[Rating]]&gt;2,"Poor",Table1[[#This Row],[Rating]]=3,"Average",Table1[[#This Row],[Rating]]=4,"Good",CP85=5,"Excellent")</f>
        <v>Poor</v>
      </c>
      <c r="CM85">
        <f>COUNT(Table1[[#This Row],[Rating]])</f>
        <v>1</v>
      </c>
      <c r="CN85">
        <f>COUNTBLANK(Table1[[#This Row],[Rating]])</f>
        <v>0</v>
      </c>
      <c r="CP85" t="s">
        <v>266</v>
      </c>
      <c r="CQ85" s="14">
        <v>4</v>
      </c>
      <c r="CR85" t="s">
        <v>204</v>
      </c>
      <c r="CS85" t="s">
        <v>267</v>
      </c>
      <c r="CU85" s="3">
        <v>10497</v>
      </c>
      <c r="CV85" s="3">
        <f>ROUND(Table1[[#This Row],[Sales_Amount]],0)</f>
        <v>10497</v>
      </c>
      <c r="CW85" s="3"/>
      <c r="CX85" s="3"/>
      <c r="CY85" s="3" t="str">
        <f>IF(AND(Table1[[#This Row],[Sales_Amount]]&gt;=10000,Table1[[#This Row],[Profit]]&gt;0),"Good Order")</f>
        <v>Good Order</v>
      </c>
      <c r="CZ85" s="3" t="str">
        <f>IF(Table1[[#This Row],[Sales_Amount]]&gt;=10000,"High","Normal")</f>
        <v>High</v>
      </c>
      <c r="DA85" s="3">
        <v>4797</v>
      </c>
      <c r="DB85" s="3">
        <f>ROUND(Table1[[#This Row],[Profit]],0)</f>
        <v>4797</v>
      </c>
      <c r="DC85" s="3">
        <f>ABS(Table1[[#This Row],[Profit]])</f>
        <v>4797</v>
      </c>
      <c r="DD85" s="3"/>
      <c r="DE85" s="3"/>
      <c r="DF85" s="3"/>
      <c r="DG85" s="3" t="str">
        <f>IF(Table1[[#This Row],[Profit]]&gt;0,"Profit","Loss")</f>
        <v>Profit</v>
      </c>
      <c r="DH85" s="3" t="str">
        <f>IF(AND(Table1[[#This Row],[Sales_Amount]]&gt;=10000,Table1[[#This Row],[Profit]]&gt;0),"Priority","Normal")</f>
        <v>Priority</v>
      </c>
      <c r="DI85" s="3">
        <f t="shared" ca="1" si="9"/>
        <v>0.80913216419158951</v>
      </c>
      <c r="DJ85" s="3">
        <f t="shared" ca="1" si="10"/>
        <v>32</v>
      </c>
      <c r="DK85" s="3"/>
      <c r="DL85" s="3"/>
      <c r="DM85" s="3"/>
      <c r="DN85" s="3"/>
      <c r="DO85" s="3"/>
      <c r="DP85" s="3"/>
    </row>
    <row r="86" spans="1:120">
      <c r="A86" t="s">
        <v>635</v>
      </c>
      <c r="B86" t="str">
        <f>REPLACE(Table1[[#This Row],[Order_ID]],1,3,"YOO")</f>
        <v>YOO10085</v>
      </c>
      <c r="C86" t="str">
        <f>MID(Table1[[#This Row],[Order_ID]],4,4)</f>
        <v>1008</v>
      </c>
      <c r="D86" t="str">
        <f>LEFT(Table1[[#This Row],[Order_ID]],4)</f>
        <v>ORD1</v>
      </c>
      <c r="E86" t="str">
        <f>RIGHT(Table1[[#This Row],[Order_ID]],5)</f>
        <v>10085</v>
      </c>
      <c r="F86" t="s">
        <v>5</v>
      </c>
      <c r="G86">
        <v>10085</v>
      </c>
      <c r="H86" t="s">
        <v>636</v>
      </c>
      <c r="I86" s="2">
        <f>EDATE(Table1[[#This Row],[Order_Date]],3)</f>
        <v>45985</v>
      </c>
      <c r="J86" s="2">
        <f>EDATE(Table1[[#This Row],[Order_Date]],6)</f>
        <v>46077</v>
      </c>
      <c r="K86">
        <f ca="1">YEAR(Table1[[#This Row],[Today]])</f>
        <v>2026</v>
      </c>
      <c r="L86">
        <v>85</v>
      </c>
      <c r="M86">
        <f ca="1">DAY(Table1[[#This Row],[Today]])</f>
        <v>11</v>
      </c>
      <c r="N86" s="19">
        <f t="shared" ca="1" si="13"/>
        <v>46245.589795138891</v>
      </c>
      <c r="O86" s="2">
        <f t="shared" ca="1" si="8"/>
        <v>46245</v>
      </c>
      <c r="P86" s="17">
        <f ca="1">Table1[[#This Row],[Today]]-Table1[[#This Row],[Order_Date]]</f>
        <v>352</v>
      </c>
      <c r="Q86" s="2">
        <v>45742</v>
      </c>
      <c r="R86" s="2">
        <v>45893</v>
      </c>
      <c r="S86" s="6">
        <f t="shared" si="11"/>
        <v>2025</v>
      </c>
      <c r="T86" s="7" t="str">
        <f t="shared" si="12"/>
        <v>August</v>
      </c>
      <c r="U86" s="2">
        <f>WORKDAY(Table1[[#This Row],[Order_Date]],5)</f>
        <v>45898</v>
      </c>
      <c r="V86" s="7" t="str">
        <f>CONCATENATE(Table1[[#This Row],[Customer_ID]],Table1[[#This Row],[Customer_Name]])</f>
        <v>C1036Neha Gupta</v>
      </c>
      <c r="W86" t="s">
        <v>637</v>
      </c>
      <c r="X86" t="s">
        <v>229</v>
      </c>
      <c r="Y86">
        <f>COUNTA(Table1[[#This Row],[Customer_Name]])</f>
        <v>1</v>
      </c>
      <c r="Z86" t="str">
        <f>SUBSTITUTE(Table1[[#This Row],[Customer_Name]]," ","_")</f>
        <v>Neha_Gupta</v>
      </c>
      <c r="AA86" s="10">
        <f>IFERROR(SEARCH("a",Table1[[#This Row],[Customer_Name]]),"N/A")</f>
        <v>4</v>
      </c>
      <c r="AB86">
        <f>SEARCH(" ",Table1[[#This Row],[Customer_Name]])</f>
        <v>5</v>
      </c>
      <c r="AC86" s="11">
        <f>IFERROR(FIND("a",Table1[[#This Row],[Customer_Name]]),"N/A")</f>
        <v>4</v>
      </c>
      <c r="AD86">
        <f>FIND(" ",Table1[[#This Row],[Customer_Name]])</f>
        <v>5</v>
      </c>
      <c r="AE86" t="str">
        <f>TRIM(Table1[[#This Row],[Customer_Name]])</f>
        <v>Neha Gupta</v>
      </c>
      <c r="AF86">
        <f>LEN(Table1[[#This Row],[Trimmed]])</f>
        <v>10</v>
      </c>
      <c r="AG86">
        <f>MAX(Table1[Length])</f>
        <v>15</v>
      </c>
      <c r="AH86" t="str">
        <f>PROPER(Table1[[#This Row],[Customer_Name]])</f>
        <v>Neha Gupta</v>
      </c>
      <c r="AI86" t="str">
        <f>LOWER(Table1[[#This Row],[Customer_Name]])</f>
        <v>neha gupta</v>
      </c>
      <c r="AJ86" t="str">
        <f>UPPER(Table1[[#This Row],[Customer_Name]])</f>
        <v>NEHA GUPTA</v>
      </c>
      <c r="AK86" t="str">
        <f>CONCATENATE(Table1[[#This Row],[Customer_ID]],Table1[[#This Row],[Customer_Name]])</f>
        <v>C1036Neha Gupta</v>
      </c>
      <c r="AL86" t="s">
        <v>230</v>
      </c>
      <c r="AM86" t="s">
        <v>231</v>
      </c>
      <c r="AN86" t="s">
        <v>232</v>
      </c>
      <c r="AO86" t="s">
        <v>230</v>
      </c>
      <c r="AP86" t="s">
        <v>231</v>
      </c>
      <c r="AQ86" t="s">
        <v>379</v>
      </c>
      <c r="AR86" t="str">
        <f>TRIM(Table1[[#This Row],[City]])</f>
        <v>Indore</v>
      </c>
      <c r="AS86" t="str">
        <f>PROPER(Table1[[#This Row],[City]])</f>
        <v>Indore</v>
      </c>
      <c r="AT86" t="s">
        <v>345</v>
      </c>
      <c r="AU86" t="str">
        <f>CONCATENATE(Table1[[#This Row],[City]],Table1[[#This Row],[State]])</f>
        <v>IndoreMadhya Pradesh</v>
      </c>
      <c r="AV86" t="s">
        <v>346</v>
      </c>
      <c r="AW86" t="s">
        <v>261</v>
      </c>
      <c r="AX86" t="str">
        <f>REPLACE(Table1[[#This Row],[Product_ID]],1,1,"s")</f>
        <v>s114</v>
      </c>
      <c r="AY86" t="s">
        <v>638</v>
      </c>
      <c r="AZ86">
        <f>SEARCH("-",Table1[[#This Row],[Product ID]])</f>
        <v>2</v>
      </c>
      <c r="BA86">
        <f>FIND("-",Table1[[#This Row],[Product ID]])</f>
        <v>2</v>
      </c>
      <c r="BB86" t="str">
        <f>MID(Table1[[#This Row],[Product_ID]],2,3)</f>
        <v>114</v>
      </c>
      <c r="BC86" t="str">
        <f>RIGHT(Table1[[#This Row],[Product_ID]],3)</f>
        <v>114</v>
      </c>
      <c r="BD86" t="str">
        <f>LEFT(Table1[[#This Row],[Product_ID]],3)</f>
        <v>P11</v>
      </c>
      <c r="BE86" t="str">
        <f>_xlfn.XLOOKUP(Table1[[#This Row],[Product_ID]],AW:AW,BF:BF,,0)</f>
        <v>Yoga Mat</v>
      </c>
      <c r="BF86" t="s">
        <v>263</v>
      </c>
      <c r="BG86">
        <f>LEN(Table1[[#This Row],[Product_Name]])</f>
        <v>8</v>
      </c>
      <c r="BH86" t="s">
        <v>264</v>
      </c>
      <c r="BI86">
        <f t="shared" si="14"/>
        <v>75</v>
      </c>
      <c r="BJ86" t="str">
        <f>SUBSTITUTE(Table1[[#This Row],[Category]],"Electronics","ELECTRONICS")</f>
        <v>Sports</v>
      </c>
      <c r="BN86" t="s">
        <v>265</v>
      </c>
      <c r="BS86" s="14">
        <v>5</v>
      </c>
      <c r="BT86" s="3">
        <v>999</v>
      </c>
      <c r="BU86" s="4">
        <v>15</v>
      </c>
      <c r="BV86" s="4" t="str">
        <f>IF(AND(Table1[[#This Row],[Quantity]]&gt;=3,Table1[[#This Row],[Discount_%]]&gt;=15%),"Bulk Discount","no")</f>
        <v>Bulk Discount</v>
      </c>
      <c r="BW86" s="4" t="str">
        <f>IF(AND(Table1[[#This Row],[Quantity]]&gt;3,Table1[[#This Row],[Discount_%]]&gt;15%),"Bulk Customer","Normal")</f>
        <v>Bulk Customer</v>
      </c>
      <c r="BX86" t="s">
        <v>172</v>
      </c>
      <c r="BY86" t="s">
        <v>136</v>
      </c>
      <c r="CC86" t="str">
        <f>IF(OR(Table1[[#This Row],[Order_Status]]="Returned",Table1[[#This Row],[Order_Status]]="Cancelled"),"Attention Required","Not")</f>
        <v>Not</v>
      </c>
      <c r="CD86" t="str">
        <f>IF(OR(Table1[[#This Row],[Order_Status]]="Returned",Table1[[#This Row],[Order_Status]]="Cancelled"),"Review","no")</f>
        <v>no</v>
      </c>
      <c r="CE86" t="str">
        <f>SUBSTITUTE(Table1[[#This Row],[Order_Status]],"Delivered","Completed")</f>
        <v>Completed</v>
      </c>
      <c r="CF86" s="2">
        <v>45897</v>
      </c>
      <c r="CG86" s="17">
        <f>NETWORKDAYS(Table1[[#This Row],[Order_Date]],Table1[[#This Row],[Delivery_Date]])</f>
        <v>4</v>
      </c>
      <c r="CH86" s="17">
        <f>Table1[[#This Row],[Delivery_Date]]-Table1[[#This Row],[Order_Date]]</f>
        <v>4</v>
      </c>
      <c r="CI86" t="s">
        <v>137</v>
      </c>
      <c r="CJ86" t="str">
        <f>IF(Table1[[#This Row],[Rating]]&gt;=4,"Good","Needs Improvement")</f>
        <v>Good</v>
      </c>
      <c r="CK86" t="str">
        <f>IF(OR(Table1[[#This Row],[Rating]]&lt;=2,Table1[[#This Row],[Profit]]&lt;0),"Review","NO")</f>
        <v>NO</v>
      </c>
      <c r="CL86" t="str" cm="1">
        <f t="array" ref="CL86">_xlfn.IFS(Table1[[#This Row],[Rating]]&gt;2,"Poor",Table1[[#This Row],[Rating]]=3,"Average",Table1[[#This Row],[Rating]]=4,"Good",CP86=5,"Excellent")</f>
        <v>Poor</v>
      </c>
      <c r="CM86">
        <f>COUNT(Table1[[#This Row],[Rating]])</f>
        <v>1</v>
      </c>
      <c r="CN86">
        <f>COUNTBLANK(Table1[[#This Row],[Rating]])</f>
        <v>0</v>
      </c>
      <c r="CP86" t="s">
        <v>157</v>
      </c>
      <c r="CQ86" s="14">
        <v>4</v>
      </c>
      <c r="CR86" t="s">
        <v>173</v>
      </c>
      <c r="CS86" t="s">
        <v>140</v>
      </c>
      <c r="CU86" s="3">
        <v>4245.75</v>
      </c>
      <c r="CV86" s="3">
        <f>ROUND(Table1[[#This Row],[Sales_Amount]],0)</f>
        <v>4246</v>
      </c>
      <c r="CW86" s="3"/>
      <c r="CX86" s="3"/>
      <c r="CY86" s="3" t="b">
        <f>IF(AND(Table1[[#This Row],[Sales_Amount]]&gt;=10000,Table1[[#This Row],[Profit]]&gt;0),"Good Order")</f>
        <v>0</v>
      </c>
      <c r="CZ86" s="3" t="str">
        <f>IF(Table1[[#This Row],[Sales_Amount]]&gt;=10000,"High","Normal")</f>
        <v>Normal</v>
      </c>
      <c r="DA86" s="3">
        <v>1995.75</v>
      </c>
      <c r="DB86" s="3">
        <f>ROUND(Table1[[#This Row],[Profit]],0)</f>
        <v>1996</v>
      </c>
      <c r="DC86" s="3">
        <f>ABS(Table1[[#This Row],[Profit]])</f>
        <v>1995.75</v>
      </c>
      <c r="DD86" s="3"/>
      <c r="DE86" s="3"/>
      <c r="DF86" s="3"/>
      <c r="DG86" s="3" t="str">
        <f>IF(Table1[[#This Row],[Profit]]&gt;0,"Profit","Loss")</f>
        <v>Profit</v>
      </c>
      <c r="DH86" s="3" t="str">
        <f>IF(AND(Table1[[#This Row],[Sales_Amount]]&gt;=10000,Table1[[#This Row],[Profit]]&gt;0),"Priority","Normal")</f>
        <v>Normal</v>
      </c>
      <c r="DI86" s="3">
        <f t="shared" ca="1" si="9"/>
        <v>0.90099895686855769</v>
      </c>
      <c r="DJ86" s="3">
        <f t="shared" ca="1" si="10"/>
        <v>96</v>
      </c>
      <c r="DK86" s="3"/>
      <c r="DL86" s="3"/>
      <c r="DM86" s="3"/>
      <c r="DN86" s="3"/>
      <c r="DO86" s="3"/>
      <c r="DP86" s="3"/>
    </row>
    <row r="87" spans="1:120">
      <c r="A87" t="s">
        <v>639</v>
      </c>
      <c r="B87" t="str">
        <f>REPLACE(Table1[[#This Row],[Order_ID]],1,3,"YOO")</f>
        <v>YOO10086</v>
      </c>
      <c r="C87" t="str">
        <f>MID(Table1[[#This Row],[Order_ID]],4,4)</f>
        <v>1008</v>
      </c>
      <c r="D87" t="str">
        <f>LEFT(Table1[[#This Row],[Order_ID]],4)</f>
        <v>ORD1</v>
      </c>
      <c r="E87" t="str">
        <f>RIGHT(Table1[[#This Row],[Order_ID]],5)</f>
        <v>10086</v>
      </c>
      <c r="F87" t="s">
        <v>5</v>
      </c>
      <c r="G87">
        <v>10086</v>
      </c>
      <c r="H87" t="s">
        <v>640</v>
      </c>
      <c r="I87" s="2">
        <f>EDATE(Table1[[#This Row],[Order_Date]],3)</f>
        <v>45884</v>
      </c>
      <c r="J87" s="2">
        <f>EDATE(Table1[[#This Row],[Order_Date]],6)</f>
        <v>45976</v>
      </c>
      <c r="K87">
        <f ca="1">YEAR(Table1[[#This Row],[Today]])</f>
        <v>2026</v>
      </c>
      <c r="L87">
        <v>86</v>
      </c>
      <c r="M87">
        <f ca="1">DAY(Table1[[#This Row],[Today]])</f>
        <v>11</v>
      </c>
      <c r="N87" s="19">
        <f t="shared" ca="1" si="13"/>
        <v>46245.589795370368</v>
      </c>
      <c r="O87" s="2">
        <f t="shared" ca="1" si="8"/>
        <v>46245</v>
      </c>
      <c r="P87" s="17">
        <f ca="1">Table1[[#This Row],[Today]]-Table1[[#This Row],[Order_Date]]</f>
        <v>453</v>
      </c>
      <c r="Q87" s="2">
        <v>45743</v>
      </c>
      <c r="R87" s="2">
        <v>45792</v>
      </c>
      <c r="S87" s="6">
        <f t="shared" si="11"/>
        <v>2025</v>
      </c>
      <c r="T87" s="7" t="str">
        <f t="shared" si="12"/>
        <v>May</v>
      </c>
      <c r="U87" s="2">
        <f>WORKDAY(Table1[[#This Row],[Order_Date]],5)</f>
        <v>45799</v>
      </c>
      <c r="V87" s="7" t="str">
        <f>CONCATENATE(Table1[[#This Row],[Customer_ID]],Table1[[#This Row],[Customer_Name]])</f>
        <v>C1052Rohan Mehta</v>
      </c>
      <c r="W87" t="s">
        <v>641</v>
      </c>
      <c r="X87" t="s">
        <v>388</v>
      </c>
      <c r="Y87">
        <f>COUNTA(Table1[[#This Row],[Customer_Name]])</f>
        <v>1</v>
      </c>
      <c r="Z87" t="str">
        <f>SUBSTITUTE(Table1[[#This Row],[Customer_Name]]," ","_")</f>
        <v>Rohan_Mehta</v>
      </c>
      <c r="AA87" s="10">
        <f>IFERROR(SEARCH("a",Table1[[#This Row],[Customer_Name]]),"N/A")</f>
        <v>4</v>
      </c>
      <c r="AB87">
        <f>SEARCH(" ",Table1[[#This Row],[Customer_Name]])</f>
        <v>6</v>
      </c>
      <c r="AC87" s="11">
        <f>IFERROR(FIND("a",Table1[[#This Row],[Customer_Name]]),"N/A")</f>
        <v>4</v>
      </c>
      <c r="AD87">
        <f>FIND(" ",Table1[[#This Row],[Customer_Name]])</f>
        <v>6</v>
      </c>
      <c r="AE87" t="str">
        <f>TRIM(Table1[[#This Row],[Customer_Name]])</f>
        <v>Rohan Mehta</v>
      </c>
      <c r="AF87">
        <f>LEN(Table1[[#This Row],[Trimmed]])</f>
        <v>11</v>
      </c>
      <c r="AG87">
        <f>MAX(Table1[Length])</f>
        <v>15</v>
      </c>
      <c r="AH87" t="str">
        <f>PROPER(Table1[[#This Row],[Customer_Name]])</f>
        <v>Rohan Mehta</v>
      </c>
      <c r="AI87" t="str">
        <f>LOWER(Table1[[#This Row],[Customer_Name]])</f>
        <v>rohan mehta</v>
      </c>
      <c r="AJ87" t="str">
        <f>UPPER(Table1[[#This Row],[Customer_Name]])</f>
        <v>ROHAN MEHTA</v>
      </c>
      <c r="AK87" t="str">
        <f>CONCATENATE(Table1[[#This Row],[Customer_ID]],Table1[[#This Row],[Customer_Name]])</f>
        <v>C1052Rohan Mehta</v>
      </c>
      <c r="AL87" t="s">
        <v>389</v>
      </c>
      <c r="AM87" t="s">
        <v>390</v>
      </c>
      <c r="AN87" t="s">
        <v>391</v>
      </c>
      <c r="AO87" t="s">
        <v>389</v>
      </c>
      <c r="AP87" t="s">
        <v>390</v>
      </c>
      <c r="AQ87" t="s">
        <v>344</v>
      </c>
      <c r="AR87" t="str">
        <f>TRIM(Table1[[#This Row],[City]])</f>
        <v>Bhopal</v>
      </c>
      <c r="AS87" t="str">
        <f>PROPER(Table1[[#This Row],[City]])</f>
        <v>Bhopal</v>
      </c>
      <c r="AT87" t="s">
        <v>345</v>
      </c>
      <c r="AU87" t="str">
        <f>CONCATENATE(Table1[[#This Row],[City]],Table1[[#This Row],[State]])</f>
        <v>BhopalMadhya Pradesh</v>
      </c>
      <c r="AV87" t="s">
        <v>346</v>
      </c>
      <c r="AW87" t="s">
        <v>363</v>
      </c>
      <c r="AX87" t="str">
        <f>REPLACE(Table1[[#This Row],[Product_ID]],1,1,"s")</f>
        <v>s110</v>
      </c>
      <c r="AY87" t="s">
        <v>642</v>
      </c>
      <c r="AZ87">
        <f>SEARCH("-",Table1[[#This Row],[Product ID]])</f>
        <v>2</v>
      </c>
      <c r="BA87">
        <f>FIND("-",Table1[[#This Row],[Product ID]])</f>
        <v>2</v>
      </c>
      <c r="BB87" t="str">
        <f>MID(Table1[[#This Row],[Product_ID]],2,3)</f>
        <v>110</v>
      </c>
      <c r="BC87" t="str">
        <f>RIGHT(Table1[[#This Row],[Product_ID]],3)</f>
        <v>110</v>
      </c>
      <c r="BD87" t="str">
        <f>LEFT(Table1[[#This Row],[Product_ID]],3)</f>
        <v>P11</v>
      </c>
      <c r="BE87" t="str">
        <f>_xlfn.XLOOKUP(Table1[[#This Row],[Product_ID]],AW:AW,BF:BF,,0)</f>
        <v>Smart Watch</v>
      </c>
      <c r="BF87" t="s">
        <v>365</v>
      </c>
      <c r="BG87">
        <f>LEN(Table1[[#This Row],[Product_Name]])</f>
        <v>11</v>
      </c>
      <c r="BH87" t="s">
        <v>154</v>
      </c>
      <c r="BI87">
        <f t="shared" si="14"/>
        <v>75</v>
      </c>
      <c r="BJ87" t="str">
        <f>SUBSTITUTE(Table1[[#This Row],[Category]],"Electronics","ELECTRONICS")</f>
        <v>ELECTRONICS</v>
      </c>
      <c r="BN87" t="s">
        <v>366</v>
      </c>
      <c r="BS87" s="14">
        <v>1</v>
      </c>
      <c r="BT87" s="3">
        <v>4999</v>
      </c>
      <c r="BU87" s="4">
        <v>10</v>
      </c>
      <c r="BV87" s="4" t="str">
        <f>IF(AND(Table1[[#This Row],[Quantity]]&gt;=3,Table1[[#This Row],[Discount_%]]&gt;=15%),"Bulk Discount","no")</f>
        <v>no</v>
      </c>
      <c r="BW87" s="4" t="str">
        <f>IF(AND(Table1[[#This Row],[Quantity]]&gt;3,Table1[[#This Row],[Discount_%]]&gt;15%),"Bulk Customer","Normal")</f>
        <v>Normal</v>
      </c>
      <c r="BX87" t="s">
        <v>135</v>
      </c>
      <c r="BY87" t="s">
        <v>136</v>
      </c>
      <c r="CC87" t="str">
        <f>IF(OR(Table1[[#This Row],[Order_Status]]="Returned",Table1[[#This Row],[Order_Status]]="Cancelled"),"Attention Required","Not")</f>
        <v>Not</v>
      </c>
      <c r="CD87" t="str">
        <f>IF(OR(Table1[[#This Row],[Order_Status]]="Returned",Table1[[#This Row],[Order_Status]]="Cancelled"),"Review","no")</f>
        <v>no</v>
      </c>
      <c r="CE87" t="str">
        <f>SUBSTITUTE(Table1[[#This Row],[Order_Status]],"Delivered","Completed")</f>
        <v>Completed</v>
      </c>
      <c r="CF87" s="2">
        <v>45799</v>
      </c>
      <c r="CG87" s="17">
        <f>NETWORKDAYS(Table1[[#This Row],[Order_Date]],Table1[[#This Row],[Delivery_Date]])</f>
        <v>6</v>
      </c>
      <c r="CH87" s="17">
        <f>Table1[[#This Row],[Delivery_Date]]-Table1[[#This Row],[Order_Date]]</f>
        <v>7</v>
      </c>
      <c r="CI87" t="s">
        <v>137</v>
      </c>
      <c r="CJ87" t="str">
        <f>IF(Table1[[#This Row],[Rating]]&gt;=4,"Good","Needs Improvement")</f>
        <v>Needs Improvement</v>
      </c>
      <c r="CK87" t="str">
        <f>IF(OR(Table1[[#This Row],[Rating]]&lt;=2,Table1[[#This Row],[Profit]]&lt;0),"Review","NO")</f>
        <v>NO</v>
      </c>
      <c r="CL87" t="str" cm="1">
        <f t="array" ref="CL87">_xlfn.IFS(Table1[[#This Row],[Rating]]&gt;2,"Poor",Table1[[#This Row],[Rating]]=3,"Average",Table1[[#This Row],[Rating]]=4,"Good",CP87=5,"Excellent")</f>
        <v>Poor</v>
      </c>
      <c r="CM87">
        <f>COUNT(Table1[[#This Row],[Rating]])</f>
        <v>1</v>
      </c>
      <c r="CN87">
        <f>COUNTBLANK(Table1[[#This Row],[Rating]])</f>
        <v>0</v>
      </c>
      <c r="CP87" t="s">
        <v>157</v>
      </c>
      <c r="CQ87" s="14">
        <v>3</v>
      </c>
      <c r="CR87" t="s">
        <v>204</v>
      </c>
      <c r="CS87" t="s">
        <v>174</v>
      </c>
      <c r="CU87" s="3">
        <v>4499.1000000000004</v>
      </c>
      <c r="CV87" s="3">
        <f>ROUND(Table1[[#This Row],[Sales_Amount]],0)</f>
        <v>4499</v>
      </c>
      <c r="CW87" s="3"/>
      <c r="CX87" s="3"/>
      <c r="CY87" s="3" t="b">
        <f>IF(AND(Table1[[#This Row],[Sales_Amount]]&gt;=10000,Table1[[#This Row],[Profit]]&gt;0),"Good Order")</f>
        <v>0</v>
      </c>
      <c r="CZ87" s="3" t="str">
        <f>IF(Table1[[#This Row],[Sales_Amount]]&gt;=10000,"High","Normal")</f>
        <v>Normal</v>
      </c>
      <c r="DA87" s="3">
        <v>1399.1</v>
      </c>
      <c r="DB87" s="3">
        <f>ROUND(Table1[[#This Row],[Profit]],0)</f>
        <v>1399</v>
      </c>
      <c r="DC87" s="3">
        <f>ABS(Table1[[#This Row],[Profit]])</f>
        <v>1399.1</v>
      </c>
      <c r="DD87" s="3"/>
      <c r="DE87" s="3"/>
      <c r="DF87" s="3"/>
      <c r="DG87" s="3" t="str">
        <f>IF(Table1[[#This Row],[Profit]]&gt;0,"Profit","Loss")</f>
        <v>Profit</v>
      </c>
      <c r="DH87" s="3" t="str">
        <f>IF(AND(Table1[[#This Row],[Sales_Amount]]&gt;=10000,Table1[[#This Row],[Profit]]&gt;0),"Priority","Normal")</f>
        <v>Normal</v>
      </c>
      <c r="DI87" s="3">
        <f t="shared" ca="1" si="9"/>
        <v>0.76626971177323533</v>
      </c>
      <c r="DJ87" s="3">
        <f t="shared" ca="1" si="10"/>
        <v>34</v>
      </c>
      <c r="DK87" s="3"/>
      <c r="DL87" s="3"/>
      <c r="DM87" s="3"/>
      <c r="DN87" s="3"/>
      <c r="DO87" s="3"/>
      <c r="DP87" s="3"/>
    </row>
    <row r="88" spans="1:120">
      <c r="A88" t="s">
        <v>643</v>
      </c>
      <c r="B88" t="str">
        <f>REPLACE(Table1[[#This Row],[Order_ID]],1,3,"YOO")</f>
        <v>YOO10087</v>
      </c>
      <c r="C88" t="str">
        <f>MID(Table1[[#This Row],[Order_ID]],4,4)</f>
        <v>1008</v>
      </c>
      <c r="D88" t="str">
        <f>LEFT(Table1[[#This Row],[Order_ID]],4)</f>
        <v>ORD1</v>
      </c>
      <c r="E88" t="str">
        <f>RIGHT(Table1[[#This Row],[Order_ID]],5)</f>
        <v>10087</v>
      </c>
      <c r="F88" t="s">
        <v>5</v>
      </c>
      <c r="G88">
        <v>10087</v>
      </c>
      <c r="H88" t="s">
        <v>644</v>
      </c>
      <c r="I88" s="2">
        <f>EDATE(Table1[[#This Row],[Order_Date]],3)</f>
        <v>45918</v>
      </c>
      <c r="J88" s="2">
        <f>EDATE(Table1[[#This Row],[Order_Date]],6)</f>
        <v>46009</v>
      </c>
      <c r="K88">
        <f ca="1">YEAR(Table1[[#This Row],[Today]])</f>
        <v>2026</v>
      </c>
      <c r="L88">
        <v>87</v>
      </c>
      <c r="M88">
        <f ca="1">DAY(Table1[[#This Row],[Today]])</f>
        <v>11</v>
      </c>
      <c r="N88" s="19">
        <f t="shared" ca="1" si="13"/>
        <v>46245.589795370368</v>
      </c>
      <c r="O88" s="2">
        <f t="shared" ca="1" si="8"/>
        <v>46245</v>
      </c>
      <c r="P88" s="17">
        <f ca="1">Table1[[#This Row],[Today]]-Table1[[#This Row],[Order_Date]]</f>
        <v>419</v>
      </c>
      <c r="Q88" s="2">
        <v>45744</v>
      </c>
      <c r="R88" s="2">
        <v>45826</v>
      </c>
      <c r="S88" s="6">
        <f t="shared" si="11"/>
        <v>2025</v>
      </c>
      <c r="T88" s="7" t="str">
        <f t="shared" si="12"/>
        <v>June</v>
      </c>
      <c r="U88" s="2">
        <f>WORKDAY(Table1[[#This Row],[Order_Date]],5)</f>
        <v>45833</v>
      </c>
      <c r="V88" s="7" t="str">
        <f>CONCATENATE(Table1[[#This Row],[Customer_ID]],Table1[[#This Row],[Customer_Name]])</f>
        <v>C1030Nitin Soni</v>
      </c>
      <c r="W88" t="s">
        <v>645</v>
      </c>
      <c r="X88" t="s">
        <v>144</v>
      </c>
      <c r="Y88">
        <f>COUNTA(Table1[[#This Row],[Customer_Name]])</f>
        <v>1</v>
      </c>
      <c r="Z88" t="str">
        <f>SUBSTITUTE(Table1[[#This Row],[Customer_Name]]," ","_")</f>
        <v>Nitin_Soni</v>
      </c>
      <c r="AA88" s="10" t="str">
        <f>IFERROR(SEARCH("a",Table1[[#This Row],[Customer_Name]]),"N/A")</f>
        <v>N/A</v>
      </c>
      <c r="AB88">
        <f>SEARCH(" ",Table1[[#This Row],[Customer_Name]])</f>
        <v>6</v>
      </c>
      <c r="AC88" s="11" t="str">
        <f>IFERROR(FIND("a",Table1[[#This Row],[Customer_Name]]),"N/A")</f>
        <v>N/A</v>
      </c>
      <c r="AD88">
        <f>FIND(" ",Table1[[#This Row],[Customer_Name]])</f>
        <v>6</v>
      </c>
      <c r="AE88" t="str">
        <f>TRIM(Table1[[#This Row],[Customer_Name]])</f>
        <v>Nitin Soni</v>
      </c>
      <c r="AF88">
        <f>LEN(Table1[[#This Row],[Trimmed]])</f>
        <v>10</v>
      </c>
      <c r="AG88">
        <f>MAX(Table1[Length])</f>
        <v>15</v>
      </c>
      <c r="AH88" t="str">
        <f>PROPER(Table1[[#This Row],[Customer_Name]])</f>
        <v>Nitin Soni</v>
      </c>
      <c r="AI88" t="str">
        <f>LOWER(Table1[[#This Row],[Customer_Name]])</f>
        <v>nitin soni</v>
      </c>
      <c r="AJ88" t="str">
        <f>UPPER(Table1[[#This Row],[Customer_Name]])</f>
        <v>NITIN SONI</v>
      </c>
      <c r="AK88" t="str">
        <f>CONCATENATE(Table1[[#This Row],[Customer_ID]],Table1[[#This Row],[Customer_Name]])</f>
        <v>C1030Nitin Soni</v>
      </c>
      <c r="AL88" t="s">
        <v>145</v>
      </c>
      <c r="AM88" t="s">
        <v>146</v>
      </c>
      <c r="AN88" t="s">
        <v>147</v>
      </c>
      <c r="AO88" t="s">
        <v>145</v>
      </c>
      <c r="AP88" t="s">
        <v>146</v>
      </c>
      <c r="AQ88" t="s">
        <v>379</v>
      </c>
      <c r="AR88" t="str">
        <f>TRIM(Table1[[#This Row],[City]])</f>
        <v>Indore</v>
      </c>
      <c r="AS88" t="str">
        <f>PROPER(Table1[[#This Row],[City]])</f>
        <v>Indore</v>
      </c>
      <c r="AT88" t="s">
        <v>345</v>
      </c>
      <c r="AU88" t="str">
        <f>CONCATENATE(Table1[[#This Row],[City]],Table1[[#This Row],[State]])</f>
        <v>IndoreMadhya Pradesh</v>
      </c>
      <c r="AV88" t="s">
        <v>346</v>
      </c>
      <c r="AW88" t="s">
        <v>338</v>
      </c>
      <c r="AX88" t="str">
        <f>REPLACE(Table1[[#This Row],[Product_ID]],1,1,"s")</f>
        <v>s115</v>
      </c>
      <c r="AY88" t="s">
        <v>646</v>
      </c>
      <c r="AZ88">
        <f>SEARCH("-",Table1[[#This Row],[Product ID]])</f>
        <v>2</v>
      </c>
      <c r="BA88">
        <f>FIND("-",Table1[[#This Row],[Product ID]])</f>
        <v>2</v>
      </c>
      <c r="BB88" t="str">
        <f>MID(Table1[[#This Row],[Product_ID]],2,3)</f>
        <v>115</v>
      </c>
      <c r="BC88" t="str">
        <f>RIGHT(Table1[[#This Row],[Product_ID]],3)</f>
        <v>115</v>
      </c>
      <c r="BD88" t="str">
        <f>LEFT(Table1[[#This Row],[Product_ID]],3)</f>
        <v>P11</v>
      </c>
      <c r="BE88" t="str">
        <f>_xlfn.XLOOKUP(Table1[[#This Row],[Product_ID]],AW:AW,BF:BF,,0)</f>
        <v>Dumbbell Set</v>
      </c>
      <c r="BF88" t="s">
        <v>340</v>
      </c>
      <c r="BG88">
        <f>LEN(Table1[[#This Row],[Product_Name]])</f>
        <v>12</v>
      </c>
      <c r="BH88" t="s">
        <v>264</v>
      </c>
      <c r="BI88">
        <f t="shared" si="14"/>
        <v>75</v>
      </c>
      <c r="BJ88" t="str">
        <f>SUBSTITUTE(Table1[[#This Row],[Category]],"Electronics","ELECTRONICS")</f>
        <v>Sports</v>
      </c>
      <c r="BN88" t="s">
        <v>265</v>
      </c>
      <c r="BS88" s="14">
        <v>3</v>
      </c>
      <c r="BT88" s="3">
        <v>2499</v>
      </c>
      <c r="BU88" s="4">
        <v>25</v>
      </c>
      <c r="BV88" s="4" t="str">
        <f>IF(AND(Table1[[#This Row],[Quantity]]&gt;=3,Table1[[#This Row],[Discount_%]]&gt;=15%),"Bulk Discount","no")</f>
        <v>Bulk Discount</v>
      </c>
      <c r="BW88" s="4" t="str">
        <f>IF(AND(Table1[[#This Row],[Quantity]]&gt;3,Table1[[#This Row],[Discount_%]]&gt;15%),"Bulk Customer","Normal")</f>
        <v>Normal</v>
      </c>
      <c r="BX88" t="s">
        <v>172</v>
      </c>
      <c r="BY88" t="s">
        <v>193</v>
      </c>
      <c r="CC88" t="str">
        <f>IF(OR(Table1[[#This Row],[Order_Status]]="Returned",Table1[[#This Row],[Order_Status]]="Cancelled"),"Attention Required","Not")</f>
        <v>Not</v>
      </c>
      <c r="CD88" t="str">
        <f>IF(OR(Table1[[#This Row],[Order_Status]]="Returned",Table1[[#This Row],[Order_Status]]="Cancelled"),"Review","no")</f>
        <v>no</v>
      </c>
      <c r="CE88" t="str">
        <f>SUBSTITUTE(Table1[[#This Row],[Order_Status]],"Delivered","Completed")</f>
        <v>Shipped</v>
      </c>
      <c r="CF88" s="2">
        <v>45831</v>
      </c>
      <c r="CG88" s="17">
        <f>NETWORKDAYS(Table1[[#This Row],[Order_Date]],Table1[[#This Row],[Delivery_Date]])</f>
        <v>4</v>
      </c>
      <c r="CH88" s="17">
        <f>Table1[[#This Row],[Delivery_Date]]-Table1[[#This Row],[Order_Date]]</f>
        <v>5</v>
      </c>
      <c r="CI88" t="s">
        <v>137</v>
      </c>
      <c r="CJ88" t="str">
        <f>IF(Table1[[#This Row],[Rating]]&gt;=4,"Good","Needs Improvement")</f>
        <v>Good</v>
      </c>
      <c r="CK88" t="str">
        <f>IF(OR(Table1[[#This Row],[Rating]]&lt;=2,Table1[[#This Row],[Profit]]&lt;0),"Review","NO")</f>
        <v>NO</v>
      </c>
      <c r="CL88" t="str" cm="1">
        <f t="array" ref="CL88">_xlfn.IFS(Table1[[#This Row],[Rating]]&gt;2,"Poor",Table1[[#This Row],[Rating]]=3,"Average",Table1[[#This Row],[Rating]]=4,"Good",CP88=5,"Excellent")</f>
        <v>Poor</v>
      </c>
      <c r="CM88">
        <f>COUNT(Table1[[#This Row],[Rating]])</f>
        <v>1</v>
      </c>
      <c r="CN88">
        <f>COUNTBLANK(Table1[[#This Row],[Rating]])</f>
        <v>0</v>
      </c>
      <c r="CP88" t="s">
        <v>194</v>
      </c>
      <c r="CQ88" s="14">
        <v>5</v>
      </c>
      <c r="CR88" t="s">
        <v>139</v>
      </c>
      <c r="CS88" t="s">
        <v>213</v>
      </c>
      <c r="CU88" s="3">
        <v>5622.75</v>
      </c>
      <c r="CV88" s="3">
        <f>ROUND(Table1[[#This Row],[Sales_Amount]],0)</f>
        <v>5623</v>
      </c>
      <c r="CW88" s="3"/>
      <c r="CX88" s="3"/>
      <c r="CY88" s="3" t="b">
        <f>IF(AND(Table1[[#This Row],[Sales_Amount]]&gt;=10000,Table1[[#This Row],[Profit]]&gt;0),"Good Order")</f>
        <v>0</v>
      </c>
      <c r="CZ88" s="3" t="str">
        <f>IF(Table1[[#This Row],[Sales_Amount]]&gt;=10000,"High","Normal")</f>
        <v>Normal</v>
      </c>
      <c r="DA88" s="3">
        <v>1272.75</v>
      </c>
      <c r="DB88" s="3">
        <f>ROUND(Table1[[#This Row],[Profit]],0)</f>
        <v>1273</v>
      </c>
      <c r="DC88" s="3">
        <f>ABS(Table1[[#This Row],[Profit]])</f>
        <v>1272.75</v>
      </c>
      <c r="DD88" s="3"/>
      <c r="DE88" s="3"/>
      <c r="DF88" s="3"/>
      <c r="DG88" s="3" t="str">
        <f>IF(Table1[[#This Row],[Profit]]&gt;0,"Profit","Loss")</f>
        <v>Profit</v>
      </c>
      <c r="DH88" s="3" t="str">
        <f>IF(AND(Table1[[#This Row],[Sales_Amount]]&gt;=10000,Table1[[#This Row],[Profit]]&gt;0),"Priority","Normal")</f>
        <v>Normal</v>
      </c>
      <c r="DI88" s="3">
        <f t="shared" ca="1" si="9"/>
        <v>0.58355316001212953</v>
      </c>
      <c r="DJ88" s="3">
        <f t="shared" ca="1" si="10"/>
        <v>51</v>
      </c>
      <c r="DK88" s="3"/>
      <c r="DL88" s="3"/>
      <c r="DM88" s="3"/>
      <c r="DN88" s="3"/>
      <c r="DO88" s="3"/>
      <c r="DP88" s="3"/>
    </row>
    <row r="89" spans="1:120">
      <c r="A89" t="s">
        <v>647</v>
      </c>
      <c r="B89" t="str">
        <f>REPLACE(Table1[[#This Row],[Order_ID]],1,3,"YOO")</f>
        <v>YOO10088</v>
      </c>
      <c r="C89" t="str">
        <f>MID(Table1[[#This Row],[Order_ID]],4,4)</f>
        <v>1008</v>
      </c>
      <c r="D89" t="str">
        <f>LEFT(Table1[[#This Row],[Order_ID]],4)</f>
        <v>ORD1</v>
      </c>
      <c r="E89" t="str">
        <f>RIGHT(Table1[[#This Row],[Order_ID]],5)</f>
        <v>10088</v>
      </c>
      <c r="F89" t="s">
        <v>5</v>
      </c>
      <c r="G89">
        <v>10088</v>
      </c>
      <c r="H89" t="s">
        <v>648</v>
      </c>
      <c r="I89" s="2">
        <f>EDATE(Table1[[#This Row],[Order_Date]],3)</f>
        <v>46153</v>
      </c>
      <c r="J89" s="2">
        <f>EDATE(Table1[[#This Row],[Order_Date]],6)</f>
        <v>46245</v>
      </c>
      <c r="K89">
        <f ca="1">YEAR(Table1[[#This Row],[Today]])</f>
        <v>2026</v>
      </c>
      <c r="L89">
        <v>88</v>
      </c>
      <c r="M89">
        <f ca="1">DAY(Table1[[#This Row],[Today]])</f>
        <v>11</v>
      </c>
      <c r="N89" s="19">
        <f t="shared" ca="1" si="13"/>
        <v>46245.589795138891</v>
      </c>
      <c r="O89" s="2">
        <f t="shared" ca="1" si="8"/>
        <v>46245</v>
      </c>
      <c r="P89" s="17">
        <f ca="1">Table1[[#This Row],[Today]]-Table1[[#This Row],[Order_Date]]</f>
        <v>181</v>
      </c>
      <c r="Q89" s="2">
        <v>45745</v>
      </c>
      <c r="R89" s="2">
        <v>46064</v>
      </c>
      <c r="S89" s="6">
        <f t="shared" si="11"/>
        <v>2026</v>
      </c>
      <c r="T89" s="7" t="str">
        <f t="shared" si="12"/>
        <v>February</v>
      </c>
      <c r="U89" s="2">
        <f>WORKDAY(Table1[[#This Row],[Order_Date]],5)</f>
        <v>46071</v>
      </c>
      <c r="V89" s="7" t="str">
        <f>CONCATENATE(Table1[[#This Row],[Customer_ID]],Table1[[#This Row],[Customer_Name]])</f>
        <v>C1068Riya Agarwal</v>
      </c>
      <c r="W89" t="s">
        <v>378</v>
      </c>
      <c r="X89" t="s">
        <v>217</v>
      </c>
      <c r="Y89">
        <f>COUNTA(Table1[[#This Row],[Customer_Name]])</f>
        <v>1</v>
      </c>
      <c r="Z89" t="str">
        <f>SUBSTITUTE(Table1[[#This Row],[Customer_Name]]," ","_")</f>
        <v>Riya_Agarwal</v>
      </c>
      <c r="AA89" s="10">
        <f>IFERROR(SEARCH("a",Table1[[#This Row],[Customer_Name]]),"N/A")</f>
        <v>4</v>
      </c>
      <c r="AB89">
        <f>SEARCH(" ",Table1[[#This Row],[Customer_Name]])</f>
        <v>5</v>
      </c>
      <c r="AC89" s="11">
        <f>IFERROR(FIND("a",Table1[[#This Row],[Customer_Name]]),"N/A")</f>
        <v>4</v>
      </c>
      <c r="AD89">
        <f>FIND(" ",Table1[[#This Row],[Customer_Name]])</f>
        <v>5</v>
      </c>
      <c r="AE89" t="str">
        <f>TRIM(Table1[[#This Row],[Customer_Name]])</f>
        <v>Riya Agarwal</v>
      </c>
      <c r="AF89">
        <f>LEN(Table1[[#This Row],[Trimmed]])</f>
        <v>12</v>
      </c>
      <c r="AG89">
        <f>MAX(Table1[Length])</f>
        <v>15</v>
      </c>
      <c r="AH89" t="str">
        <f>PROPER(Table1[[#This Row],[Customer_Name]])</f>
        <v>Riya Agarwal</v>
      </c>
      <c r="AI89" t="str">
        <f>LOWER(Table1[[#This Row],[Customer_Name]])</f>
        <v>riya agarwal</v>
      </c>
      <c r="AJ89" t="str">
        <f>UPPER(Table1[[#This Row],[Customer_Name]])</f>
        <v>RIYA AGARWAL</v>
      </c>
      <c r="AK89" t="str">
        <f>CONCATENATE(Table1[[#This Row],[Customer_ID]],Table1[[#This Row],[Customer_Name]])</f>
        <v>C1068Riya Agarwal</v>
      </c>
      <c r="AL89" t="s">
        <v>218</v>
      </c>
      <c r="AM89" t="s">
        <v>219</v>
      </c>
      <c r="AN89" t="s">
        <v>220</v>
      </c>
      <c r="AO89" t="s">
        <v>218</v>
      </c>
      <c r="AP89" t="s">
        <v>219</v>
      </c>
      <c r="AQ89" t="s">
        <v>199</v>
      </c>
      <c r="AR89" t="str">
        <f>TRIM(Table1[[#This Row],[City]])</f>
        <v>Lucknow</v>
      </c>
      <c r="AS89" t="str">
        <f>PROPER(Table1[[#This Row],[City]])</f>
        <v>Lucknow</v>
      </c>
      <c r="AT89" t="s">
        <v>200</v>
      </c>
      <c r="AU89" t="str">
        <f>CONCATENATE(Table1[[#This Row],[City]],Table1[[#This Row],[State]])</f>
        <v>LucknowUttar Pradesh</v>
      </c>
      <c r="AV89" t="s">
        <v>150</v>
      </c>
      <c r="AW89" t="s">
        <v>169</v>
      </c>
      <c r="AX89" t="str">
        <f>REPLACE(Table1[[#This Row],[Product_ID]],1,1,"s")</f>
        <v>s112</v>
      </c>
      <c r="AY89" t="s">
        <v>649</v>
      </c>
      <c r="AZ89">
        <f>SEARCH("-",Table1[[#This Row],[Product ID]])</f>
        <v>2</v>
      </c>
      <c r="BA89">
        <f>FIND("-",Table1[[#This Row],[Product ID]])</f>
        <v>2</v>
      </c>
      <c r="BB89" t="str">
        <f>MID(Table1[[#This Row],[Product_ID]],2,3)</f>
        <v>112</v>
      </c>
      <c r="BC89" t="str">
        <f>RIGHT(Table1[[#This Row],[Product_ID]],3)</f>
        <v>112</v>
      </c>
      <c r="BD89" t="str">
        <f>LEFT(Table1[[#This Row],[Product_ID]],3)</f>
        <v>P11</v>
      </c>
      <c r="BE89" t="str">
        <f>_xlfn.XLOOKUP(Table1[[#This Row],[Product_ID]],AW:AW,BF:BF,,0)</f>
        <v>Air Fryer</v>
      </c>
      <c r="BF89" t="s">
        <v>171</v>
      </c>
      <c r="BG89">
        <f>LEN(Table1[[#This Row],[Product_Name]])</f>
        <v>9</v>
      </c>
      <c r="BH89" t="s">
        <v>133</v>
      </c>
      <c r="BI89">
        <f t="shared" si="14"/>
        <v>75</v>
      </c>
      <c r="BJ89" t="str">
        <f>SUBSTITUTE(Table1[[#This Row],[Category]],"Electronics","ELECTRONICS")</f>
        <v>Home</v>
      </c>
      <c r="BN89" t="s">
        <v>134</v>
      </c>
      <c r="BS89" s="14">
        <v>5</v>
      </c>
      <c r="BT89" s="3">
        <v>6499</v>
      </c>
      <c r="BU89" s="4">
        <v>15</v>
      </c>
      <c r="BV89" s="4" t="str">
        <f>IF(AND(Table1[[#This Row],[Quantity]]&gt;=3,Table1[[#This Row],[Discount_%]]&gt;=15%),"Bulk Discount","no")</f>
        <v>Bulk Discount</v>
      </c>
      <c r="BW89" s="4" t="str">
        <f>IF(AND(Table1[[#This Row],[Quantity]]&gt;3,Table1[[#This Row],[Discount_%]]&gt;15%),"Bulk Customer","Normal")</f>
        <v>Bulk Customer</v>
      </c>
      <c r="BX89" t="s">
        <v>172</v>
      </c>
      <c r="BY89" t="s">
        <v>136</v>
      </c>
      <c r="CC89" t="str">
        <f>IF(OR(Table1[[#This Row],[Order_Status]]="Returned",Table1[[#This Row],[Order_Status]]="Cancelled"),"Attention Required","Not")</f>
        <v>Not</v>
      </c>
      <c r="CD89" t="str">
        <f>IF(OR(Table1[[#This Row],[Order_Status]]="Returned",Table1[[#This Row],[Order_Status]]="Cancelled"),"Review","no")</f>
        <v>no</v>
      </c>
      <c r="CE89" t="str">
        <f>SUBSTITUTE(Table1[[#This Row],[Order_Status]],"Delivered","Completed")</f>
        <v>Completed</v>
      </c>
      <c r="CF89" s="2">
        <v>46071</v>
      </c>
      <c r="CG89" s="17">
        <f>NETWORKDAYS(Table1[[#This Row],[Order_Date]],Table1[[#This Row],[Delivery_Date]])</f>
        <v>6</v>
      </c>
      <c r="CH89" s="17">
        <f>Table1[[#This Row],[Delivery_Date]]-Table1[[#This Row],[Order_Date]]</f>
        <v>7</v>
      </c>
      <c r="CI89" t="s">
        <v>137</v>
      </c>
      <c r="CJ89" t="str">
        <f>IF(Table1[[#This Row],[Rating]]&gt;=4,"Good","Needs Improvement")</f>
        <v>Needs Improvement</v>
      </c>
      <c r="CK89" t="str">
        <f>IF(OR(Table1[[#This Row],[Rating]]&lt;=2,Table1[[#This Row],[Profit]]&lt;0),"Review","NO")</f>
        <v>Review</v>
      </c>
      <c r="CL89" t="e" cm="1">
        <f t="array" ref="CL89">_xlfn.IFS(Table1[[#This Row],[Rating]]&gt;2,"Poor",Table1[[#This Row],[Rating]]=3,"Average",Table1[[#This Row],[Rating]]=4,"Good",CP89=5,"Excellent")</f>
        <v>#N/A</v>
      </c>
      <c r="CM89">
        <f>COUNT(Table1[[#This Row],[Rating]])</f>
        <v>1</v>
      </c>
      <c r="CN89">
        <f>COUNTBLANK(Table1[[#This Row],[Rating]])</f>
        <v>0</v>
      </c>
      <c r="CP89" t="s">
        <v>138</v>
      </c>
      <c r="CQ89" s="14">
        <v>1</v>
      </c>
      <c r="CR89" t="s">
        <v>173</v>
      </c>
      <c r="CS89" t="s">
        <v>213</v>
      </c>
      <c r="CU89" s="3">
        <v>27620.75</v>
      </c>
      <c r="CV89" s="3">
        <f>ROUND(Table1[[#This Row],[Sales_Amount]],0)</f>
        <v>27621</v>
      </c>
      <c r="CW89" s="3"/>
      <c r="CX89" s="3"/>
      <c r="CY89" s="3" t="str">
        <f>IF(AND(Table1[[#This Row],[Sales_Amount]]&gt;=10000,Table1[[#This Row],[Profit]]&gt;0),"Good Order")</f>
        <v>Good Order</v>
      </c>
      <c r="CZ89" s="3" t="str">
        <f>IF(Table1[[#This Row],[Sales_Amount]]&gt;=10000,"High","Normal")</f>
        <v>High</v>
      </c>
      <c r="DA89" s="3">
        <v>6120.75</v>
      </c>
      <c r="DB89" s="3">
        <f>ROUND(Table1[[#This Row],[Profit]],0)</f>
        <v>6121</v>
      </c>
      <c r="DC89" s="3">
        <f>ABS(Table1[[#This Row],[Profit]])</f>
        <v>6120.75</v>
      </c>
      <c r="DD89" s="3"/>
      <c r="DE89" s="3"/>
      <c r="DF89" s="3"/>
      <c r="DG89" s="3" t="str">
        <f>IF(Table1[[#This Row],[Profit]]&gt;0,"Profit","Loss")</f>
        <v>Profit</v>
      </c>
      <c r="DH89" s="3" t="str">
        <f>IF(AND(Table1[[#This Row],[Sales_Amount]]&gt;=10000,Table1[[#This Row],[Profit]]&gt;0),"Priority","Normal")</f>
        <v>Priority</v>
      </c>
      <c r="DI89" s="3">
        <f t="shared" ca="1" si="9"/>
        <v>0.36267266697936018</v>
      </c>
      <c r="DJ89" s="3">
        <f t="shared" ca="1" si="10"/>
        <v>49</v>
      </c>
      <c r="DK89" s="3"/>
      <c r="DL89" s="3"/>
      <c r="DM89" s="3"/>
      <c r="DN89" s="3"/>
      <c r="DO89" s="3"/>
      <c r="DP89" s="3"/>
    </row>
    <row r="90" spans="1:120">
      <c r="A90" t="s">
        <v>650</v>
      </c>
      <c r="B90" t="str">
        <f>REPLACE(Table1[[#This Row],[Order_ID]],1,3,"YOO")</f>
        <v>YOO10089</v>
      </c>
      <c r="C90" t="str">
        <f>MID(Table1[[#This Row],[Order_ID]],4,4)</f>
        <v>1008</v>
      </c>
      <c r="D90" t="str">
        <f>LEFT(Table1[[#This Row],[Order_ID]],4)</f>
        <v>ORD1</v>
      </c>
      <c r="E90" t="str">
        <f>RIGHT(Table1[[#This Row],[Order_ID]],5)</f>
        <v>10089</v>
      </c>
      <c r="F90" t="s">
        <v>5</v>
      </c>
      <c r="G90">
        <v>10089</v>
      </c>
      <c r="H90" t="s">
        <v>651</v>
      </c>
      <c r="I90" s="2">
        <f>EDATE(Table1[[#This Row],[Order_Date]],3)</f>
        <v>46017</v>
      </c>
      <c r="J90" s="2">
        <f>EDATE(Table1[[#This Row],[Order_Date]],6)</f>
        <v>46107</v>
      </c>
      <c r="K90">
        <f ca="1">YEAR(Table1[[#This Row],[Today]])</f>
        <v>2026</v>
      </c>
      <c r="L90">
        <v>89</v>
      </c>
      <c r="M90">
        <f ca="1">DAY(Table1[[#This Row],[Today]])</f>
        <v>11</v>
      </c>
      <c r="N90" s="19">
        <f t="shared" ca="1" si="13"/>
        <v>46245.589795370368</v>
      </c>
      <c r="O90" s="2">
        <f t="shared" ca="1" si="8"/>
        <v>46245</v>
      </c>
      <c r="P90" s="17">
        <f ca="1">Table1[[#This Row],[Today]]-Table1[[#This Row],[Order_Date]]</f>
        <v>319</v>
      </c>
      <c r="Q90" s="2">
        <v>45746</v>
      </c>
      <c r="R90" s="2">
        <v>45926</v>
      </c>
      <c r="S90" s="6">
        <f t="shared" si="11"/>
        <v>2025</v>
      </c>
      <c r="T90" s="7" t="str">
        <f t="shared" si="12"/>
        <v>September</v>
      </c>
      <c r="U90" s="2">
        <f>WORKDAY(Table1[[#This Row],[Order_Date]],5)</f>
        <v>45933</v>
      </c>
      <c r="V90" s="7" t="str">
        <f>CONCATENATE(Table1[[#This Row],[Customer_ID]],Table1[[#This Row],[Customer_Name]])</f>
        <v>C1060Kavya Shah</v>
      </c>
      <c r="W90" t="s">
        <v>652</v>
      </c>
      <c r="X90" t="s">
        <v>271</v>
      </c>
      <c r="Y90">
        <f>COUNTA(Table1[[#This Row],[Customer_Name]])</f>
        <v>1</v>
      </c>
      <c r="Z90" t="str">
        <f>SUBSTITUTE(Table1[[#This Row],[Customer_Name]]," ","_")</f>
        <v>Kavya_Shah</v>
      </c>
      <c r="AA90" s="10">
        <f>IFERROR(SEARCH("a",Table1[[#This Row],[Customer_Name]]),"N/A")</f>
        <v>2</v>
      </c>
      <c r="AB90">
        <f>SEARCH(" ",Table1[[#This Row],[Customer_Name]])</f>
        <v>6</v>
      </c>
      <c r="AC90" s="11">
        <f>IFERROR(FIND("a",Table1[[#This Row],[Customer_Name]]),"N/A")</f>
        <v>2</v>
      </c>
      <c r="AD90">
        <f>FIND(" ",Table1[[#This Row],[Customer_Name]])</f>
        <v>6</v>
      </c>
      <c r="AE90" t="str">
        <f>TRIM(Table1[[#This Row],[Customer_Name]])</f>
        <v>Kavya Shah</v>
      </c>
      <c r="AF90">
        <f>LEN(Table1[[#This Row],[Trimmed]])</f>
        <v>10</v>
      </c>
      <c r="AG90">
        <f>MAX(Table1[Length])</f>
        <v>15</v>
      </c>
      <c r="AH90" t="str">
        <f>PROPER(Table1[[#This Row],[Customer_Name]])</f>
        <v>Kavya Shah</v>
      </c>
      <c r="AI90" t="str">
        <f>LOWER(Table1[[#This Row],[Customer_Name]])</f>
        <v>kavya shah</v>
      </c>
      <c r="AJ90" t="str">
        <f>UPPER(Table1[[#This Row],[Customer_Name]])</f>
        <v>KAVYA SHAH</v>
      </c>
      <c r="AK90" t="str">
        <f>CONCATENATE(Table1[[#This Row],[Customer_ID]],Table1[[#This Row],[Customer_Name]])</f>
        <v>C1060Kavya Shah</v>
      </c>
      <c r="AL90" t="s">
        <v>272</v>
      </c>
      <c r="AM90" t="s">
        <v>273</v>
      </c>
      <c r="AN90" t="s">
        <v>274</v>
      </c>
      <c r="AO90" t="s">
        <v>272</v>
      </c>
      <c r="AP90" t="s">
        <v>273</v>
      </c>
      <c r="AQ90" t="s">
        <v>199</v>
      </c>
      <c r="AR90" t="str">
        <f>TRIM(Table1[[#This Row],[City]])</f>
        <v>Lucknow</v>
      </c>
      <c r="AS90" t="str">
        <f>PROPER(Table1[[#This Row],[City]])</f>
        <v>Lucknow</v>
      </c>
      <c r="AT90" t="s">
        <v>200</v>
      </c>
      <c r="AU90" t="str">
        <f>CONCATENATE(Table1[[#This Row],[City]],Table1[[#This Row],[State]])</f>
        <v>LucknowUttar Pradesh</v>
      </c>
      <c r="AV90" t="s">
        <v>150</v>
      </c>
      <c r="AW90" t="s">
        <v>169</v>
      </c>
      <c r="AX90" t="str">
        <f>REPLACE(Table1[[#This Row],[Product_ID]],1,1,"s")</f>
        <v>s112</v>
      </c>
      <c r="AY90" t="s">
        <v>653</v>
      </c>
      <c r="AZ90">
        <f>SEARCH("-",Table1[[#This Row],[Product ID]])</f>
        <v>2</v>
      </c>
      <c r="BA90">
        <f>FIND("-",Table1[[#This Row],[Product ID]])</f>
        <v>2</v>
      </c>
      <c r="BB90" t="str">
        <f>MID(Table1[[#This Row],[Product_ID]],2,3)</f>
        <v>112</v>
      </c>
      <c r="BC90" t="str">
        <f>RIGHT(Table1[[#This Row],[Product_ID]],3)</f>
        <v>112</v>
      </c>
      <c r="BD90" t="str">
        <f>LEFT(Table1[[#This Row],[Product_ID]],3)</f>
        <v>P11</v>
      </c>
      <c r="BE90" t="str">
        <f>_xlfn.XLOOKUP(Table1[[#This Row],[Product_ID]],AW:AW,BF:BF,,0)</f>
        <v>Air Fryer</v>
      </c>
      <c r="BF90" t="s">
        <v>171</v>
      </c>
      <c r="BG90">
        <f>LEN(Table1[[#This Row],[Product_Name]])</f>
        <v>9</v>
      </c>
      <c r="BH90" t="s">
        <v>133</v>
      </c>
      <c r="BI90">
        <f t="shared" si="14"/>
        <v>75</v>
      </c>
      <c r="BJ90" t="str">
        <f>SUBSTITUTE(Table1[[#This Row],[Category]],"Electronics","ELECTRONICS")</f>
        <v>Home</v>
      </c>
      <c r="BN90" t="s">
        <v>134</v>
      </c>
      <c r="BS90" s="14">
        <v>5</v>
      </c>
      <c r="BT90" s="3">
        <v>6499</v>
      </c>
      <c r="BU90" s="4">
        <v>20</v>
      </c>
      <c r="BV90" s="4" t="str">
        <f>IF(AND(Table1[[#This Row],[Quantity]]&gt;=3,Table1[[#This Row],[Discount_%]]&gt;=15%),"Bulk Discount","no")</f>
        <v>Bulk Discount</v>
      </c>
      <c r="BW90" s="4" t="str">
        <f>IF(AND(Table1[[#This Row],[Quantity]]&gt;3,Table1[[#This Row],[Discount_%]]&gt;15%),"Bulk Customer","Normal")</f>
        <v>Bulk Customer</v>
      </c>
      <c r="BX90" t="s">
        <v>172</v>
      </c>
      <c r="BY90" t="s">
        <v>193</v>
      </c>
      <c r="CC90" t="str">
        <f>IF(OR(Table1[[#This Row],[Order_Status]]="Returned",Table1[[#This Row],[Order_Status]]="Cancelled"),"Attention Required","Not")</f>
        <v>Not</v>
      </c>
      <c r="CD90" t="str">
        <f>IF(OR(Table1[[#This Row],[Order_Status]]="Returned",Table1[[#This Row],[Order_Status]]="Cancelled"),"Review","no")</f>
        <v>no</v>
      </c>
      <c r="CE90" t="str">
        <f>SUBSTITUTE(Table1[[#This Row],[Order_Status]],"Delivered","Completed")</f>
        <v>Shipped</v>
      </c>
      <c r="CF90" s="2">
        <v>45932</v>
      </c>
      <c r="CG90" s="17">
        <f>NETWORKDAYS(Table1[[#This Row],[Order_Date]],Table1[[#This Row],[Delivery_Date]])</f>
        <v>5</v>
      </c>
      <c r="CH90" s="17">
        <f>Table1[[#This Row],[Delivery_Date]]-Table1[[#This Row],[Order_Date]]</f>
        <v>6</v>
      </c>
      <c r="CI90" t="s">
        <v>137</v>
      </c>
      <c r="CJ90" t="str">
        <f>IF(Table1[[#This Row],[Rating]]&gt;=4,"Good","Needs Improvement")</f>
        <v>Needs Improvement</v>
      </c>
      <c r="CK90" t="str">
        <f>IF(OR(Table1[[#This Row],[Rating]]&lt;=2,Table1[[#This Row],[Profit]]&lt;0),"Review","NO")</f>
        <v>Review</v>
      </c>
      <c r="CL90" t="e" cm="1">
        <f t="array" ref="CL90">_xlfn.IFS(Table1[[#This Row],[Rating]]&gt;2,"Poor",Table1[[#This Row],[Rating]]=3,"Average",Table1[[#This Row],[Rating]]=4,"Good",CP90=5,"Excellent")</f>
        <v>#N/A</v>
      </c>
      <c r="CM90">
        <f>COUNT(Table1[[#This Row],[Rating]])</f>
        <v>1</v>
      </c>
      <c r="CN90">
        <f>COUNTBLANK(Table1[[#This Row],[Rating]])</f>
        <v>0</v>
      </c>
      <c r="CP90" t="s">
        <v>266</v>
      </c>
      <c r="CQ90" s="14">
        <v>2</v>
      </c>
      <c r="CR90" t="s">
        <v>204</v>
      </c>
      <c r="CS90" t="s">
        <v>195</v>
      </c>
      <c r="CU90" s="3">
        <v>25996</v>
      </c>
      <c r="CV90" s="3">
        <f>ROUND(Table1[[#This Row],[Sales_Amount]],0)</f>
        <v>25996</v>
      </c>
      <c r="CW90" s="3"/>
      <c r="CX90" s="3"/>
      <c r="CY90" s="3" t="str">
        <f>IF(AND(Table1[[#This Row],[Sales_Amount]]&gt;=10000,Table1[[#This Row],[Profit]]&gt;0),"Good Order")</f>
        <v>Good Order</v>
      </c>
      <c r="CZ90" s="3" t="str">
        <f>IF(Table1[[#This Row],[Sales_Amount]]&gt;=10000,"High","Normal")</f>
        <v>High</v>
      </c>
      <c r="DA90" s="3">
        <v>4496</v>
      </c>
      <c r="DB90" s="3">
        <f>ROUND(Table1[[#This Row],[Profit]],0)</f>
        <v>4496</v>
      </c>
      <c r="DC90" s="3">
        <f>ABS(Table1[[#This Row],[Profit]])</f>
        <v>4496</v>
      </c>
      <c r="DD90" s="3"/>
      <c r="DE90" s="3"/>
      <c r="DF90" s="3"/>
      <c r="DG90" s="3" t="str">
        <f>IF(Table1[[#This Row],[Profit]]&gt;0,"Profit","Loss")</f>
        <v>Profit</v>
      </c>
      <c r="DH90" s="3" t="str">
        <f>IF(AND(Table1[[#This Row],[Sales_Amount]]&gt;=10000,Table1[[#This Row],[Profit]]&gt;0),"Priority","Normal")</f>
        <v>Priority</v>
      </c>
      <c r="DI90" s="3">
        <f t="shared" ca="1" si="9"/>
        <v>0.88887186287441633</v>
      </c>
      <c r="DJ90" s="3">
        <f t="shared" ca="1" si="10"/>
        <v>53</v>
      </c>
      <c r="DK90" s="3"/>
      <c r="DL90" s="3"/>
      <c r="DM90" s="3"/>
      <c r="DN90" s="3"/>
      <c r="DO90" s="3"/>
      <c r="DP90" s="3"/>
    </row>
    <row r="91" spans="1:120">
      <c r="A91" t="s">
        <v>654</v>
      </c>
      <c r="B91" t="str">
        <f>REPLACE(Table1[[#This Row],[Order_ID]],1,3,"YOO")</f>
        <v>YOO10090</v>
      </c>
      <c r="C91" t="str">
        <f>MID(Table1[[#This Row],[Order_ID]],4,4)</f>
        <v>1009</v>
      </c>
      <c r="D91" t="str">
        <f>LEFT(Table1[[#This Row],[Order_ID]],4)</f>
        <v>ORD1</v>
      </c>
      <c r="E91" t="str">
        <f>RIGHT(Table1[[#This Row],[Order_ID]],5)</f>
        <v>10090</v>
      </c>
      <c r="F91" t="s">
        <v>5</v>
      </c>
      <c r="G91">
        <v>10090</v>
      </c>
      <c r="H91" t="s">
        <v>655</v>
      </c>
      <c r="I91" s="2">
        <f>EDATE(Table1[[#This Row],[Order_Date]],3)</f>
        <v>45976</v>
      </c>
      <c r="J91" s="2">
        <f>EDATE(Table1[[#This Row],[Order_Date]],6)</f>
        <v>46068</v>
      </c>
      <c r="K91">
        <f ca="1">YEAR(Table1[[#This Row],[Today]])</f>
        <v>2026</v>
      </c>
      <c r="L91">
        <v>90</v>
      </c>
      <c r="M91">
        <f ca="1">DAY(Table1[[#This Row],[Today]])</f>
        <v>11</v>
      </c>
      <c r="N91" s="19">
        <f t="shared" ca="1" si="13"/>
        <v>46245.589795370368</v>
      </c>
      <c r="O91" s="2">
        <f t="shared" ca="1" si="8"/>
        <v>46245</v>
      </c>
      <c r="P91" s="17">
        <f ca="1">Table1[[#This Row],[Today]]-Table1[[#This Row],[Order_Date]]</f>
        <v>361</v>
      </c>
      <c r="Q91" s="2">
        <v>45747</v>
      </c>
      <c r="R91" s="2">
        <v>45884</v>
      </c>
      <c r="S91" s="6">
        <f t="shared" si="11"/>
        <v>2025</v>
      </c>
      <c r="T91" s="7" t="str">
        <f t="shared" si="12"/>
        <v>August</v>
      </c>
      <c r="U91" s="2">
        <f>WORKDAY(Table1[[#This Row],[Order_Date]],5)</f>
        <v>45891</v>
      </c>
      <c r="V91" s="7" t="str">
        <f>CONCATENATE(Table1[[#This Row],[Customer_ID]],Table1[[#This Row],[Customer_Name]])</f>
        <v xml:space="preserve">C1030  rohan mehta  </v>
      </c>
      <c r="W91" t="s">
        <v>645</v>
      </c>
      <c r="X91" t="s">
        <v>656</v>
      </c>
      <c r="Y91">
        <f>COUNTA(Table1[[#This Row],[Customer_Name]])</f>
        <v>1</v>
      </c>
      <c r="Z91" t="str">
        <f>SUBSTITUTE(Table1[[#This Row],[Customer_Name]]," ","_")</f>
        <v>__rohan_mehta__</v>
      </c>
      <c r="AA91" s="10">
        <f>IFERROR(SEARCH("a",Table1[[#This Row],[Customer_Name]]),"N/A")</f>
        <v>6</v>
      </c>
      <c r="AB91">
        <f>SEARCH(" ",Table1[[#This Row],[Customer_Name]])</f>
        <v>1</v>
      </c>
      <c r="AC91" s="11">
        <f>IFERROR(FIND("a",Table1[[#This Row],[Customer_Name]]),"N/A")</f>
        <v>6</v>
      </c>
      <c r="AD91">
        <f>FIND(" ",Table1[[#This Row],[Customer_Name]])</f>
        <v>1</v>
      </c>
      <c r="AE91" t="str">
        <f>TRIM(Table1[[#This Row],[Customer_Name]])</f>
        <v>rohan mehta</v>
      </c>
      <c r="AF91">
        <f>LEN(Table1[[#This Row],[Trimmed]])</f>
        <v>11</v>
      </c>
      <c r="AG91">
        <f>MAX(Table1[Length])</f>
        <v>15</v>
      </c>
      <c r="AH91" t="str">
        <f>PROPER(Table1[[#This Row],[Customer_Name]])</f>
        <v xml:space="preserve">  Rohan Mehta  </v>
      </c>
      <c r="AI91" t="str">
        <f>LOWER(Table1[[#This Row],[Customer_Name]])</f>
        <v xml:space="preserve">  rohan mehta  </v>
      </c>
      <c r="AJ91" t="str">
        <f>UPPER(Table1[[#This Row],[Customer_Name]])</f>
        <v xml:space="preserve">  ROHAN MEHTA  </v>
      </c>
      <c r="AK91" t="str">
        <f>CONCATENATE(Table1[[#This Row],[Customer_ID]],Table1[[#This Row],[Customer_Name]])</f>
        <v xml:space="preserve">C1030  rohan mehta  </v>
      </c>
      <c r="AL91" t="s">
        <v>657</v>
      </c>
      <c r="AM91" t="s">
        <v>658</v>
      </c>
      <c r="AN91" t="s">
        <v>391</v>
      </c>
      <c r="AO91" t="s">
        <v>657</v>
      </c>
      <c r="AP91" t="s">
        <v>658</v>
      </c>
      <c r="AQ91" t="s">
        <v>233</v>
      </c>
      <c r="AR91" t="str">
        <f>TRIM(Table1[[#This Row],[City]])</f>
        <v>Kolkata</v>
      </c>
      <c r="AS91" t="str">
        <f>PROPER(Table1[[#This Row],[City]])</f>
        <v>Kolkata</v>
      </c>
      <c r="AT91" t="s">
        <v>234</v>
      </c>
      <c r="AU91" t="str">
        <f>CONCATENATE(Table1[[#This Row],[City]],Table1[[#This Row],[State]])</f>
        <v>KolkataWest Bengal</v>
      </c>
      <c r="AV91" t="s">
        <v>235</v>
      </c>
      <c r="AW91" t="s">
        <v>338</v>
      </c>
      <c r="AX91" t="str">
        <f>REPLACE(Table1[[#This Row],[Product_ID]],1,1,"s")</f>
        <v>s115</v>
      </c>
      <c r="AY91" t="s">
        <v>659</v>
      </c>
      <c r="AZ91">
        <f>SEARCH("-",Table1[[#This Row],[Product ID]])</f>
        <v>2</v>
      </c>
      <c r="BA91">
        <f>FIND("-",Table1[[#This Row],[Product ID]])</f>
        <v>2</v>
      </c>
      <c r="BB91" t="str">
        <f>MID(Table1[[#This Row],[Product_ID]],2,3)</f>
        <v>115</v>
      </c>
      <c r="BC91" t="str">
        <f>RIGHT(Table1[[#This Row],[Product_ID]],3)</f>
        <v>115</v>
      </c>
      <c r="BD91" t="str">
        <f>LEFT(Table1[[#This Row],[Product_ID]],3)</f>
        <v>P11</v>
      </c>
      <c r="BE91" t="str">
        <f>_xlfn.XLOOKUP(Table1[[#This Row],[Product_ID]],AW:AW,BF:BF,,0)</f>
        <v>Dumbbell Set</v>
      </c>
      <c r="BF91" t="s">
        <v>340</v>
      </c>
      <c r="BG91">
        <f>LEN(Table1[[#This Row],[Product_Name]])</f>
        <v>12</v>
      </c>
      <c r="BH91" t="s">
        <v>264</v>
      </c>
      <c r="BI91">
        <f t="shared" si="14"/>
        <v>75</v>
      </c>
      <c r="BJ91" t="str">
        <f>SUBSTITUTE(Table1[[#This Row],[Category]],"Electronics","ELECTRONICS")</f>
        <v>Sports</v>
      </c>
      <c r="BN91" t="s">
        <v>265</v>
      </c>
      <c r="BS91" s="14">
        <v>1</v>
      </c>
      <c r="BT91" s="3">
        <v>2499</v>
      </c>
      <c r="BU91" s="4">
        <v>25</v>
      </c>
      <c r="BV91" s="4" t="str">
        <f>IF(AND(Table1[[#This Row],[Quantity]]&gt;=3,Table1[[#This Row],[Discount_%]]&gt;=15%),"Bulk Discount","no")</f>
        <v>no</v>
      </c>
      <c r="BW91" s="4" t="str">
        <f>IF(AND(Table1[[#This Row],[Quantity]]&gt;3,Table1[[#This Row],[Discount_%]]&gt;15%),"Bulk Customer","Normal")</f>
        <v>Normal</v>
      </c>
      <c r="BX91" t="s">
        <v>172</v>
      </c>
      <c r="BY91" t="s">
        <v>374</v>
      </c>
      <c r="CC91" t="str">
        <f>IF(OR(Table1[[#This Row],[Order_Status]]="Returned",Table1[[#This Row],[Order_Status]]="Cancelled"),"Attention Required","Not")</f>
        <v>Attention Required</v>
      </c>
      <c r="CD91" t="str">
        <f>IF(OR(Table1[[#This Row],[Order_Status]]="Returned",Table1[[#This Row],[Order_Status]]="Cancelled"),"Review","no")</f>
        <v>Review</v>
      </c>
      <c r="CE91" t="str">
        <f>SUBSTITUTE(Table1[[#This Row],[Order_Status]],"Delivered","Completed")</f>
        <v>Returned</v>
      </c>
      <c r="CF91" s="2">
        <v>45889</v>
      </c>
      <c r="CG91" s="17">
        <f>NETWORKDAYS(Table1[[#This Row],[Order_Date]],Table1[[#This Row],[Delivery_Date]])</f>
        <v>4</v>
      </c>
      <c r="CH91" s="17">
        <f>Table1[[#This Row],[Delivery_Date]]-Table1[[#This Row],[Order_Date]]</f>
        <v>5</v>
      </c>
      <c r="CI91" t="s">
        <v>375</v>
      </c>
      <c r="CJ91" t="str">
        <f>IF(Table1[[#This Row],[Rating]]&gt;=4,"Good","Needs Improvement")</f>
        <v>Good</v>
      </c>
      <c r="CK91" t="str">
        <f>IF(OR(Table1[[#This Row],[Rating]]&lt;=2,Table1[[#This Row],[Profit]]&lt;0),"Review","NO")</f>
        <v>NO</v>
      </c>
      <c r="CL91" t="str" cm="1">
        <f t="array" ref="CL91">_xlfn.IFS(Table1[[#This Row],[Rating]]&gt;2,"Poor",Table1[[#This Row],[Rating]]=3,"Average",Table1[[#This Row],[Rating]]=4,"Good",CP91=5,"Excellent")</f>
        <v>Poor</v>
      </c>
      <c r="CM91">
        <f>COUNT(Table1[[#This Row],[Rating]])</f>
        <v>1</v>
      </c>
      <c r="CN91">
        <f>COUNTBLANK(Table1[[#This Row],[Rating]])</f>
        <v>0</v>
      </c>
      <c r="CP91" t="s">
        <v>331</v>
      </c>
      <c r="CQ91" s="14">
        <v>5</v>
      </c>
      <c r="CR91" t="s">
        <v>173</v>
      </c>
      <c r="CS91" t="s">
        <v>267</v>
      </c>
      <c r="CU91" s="3">
        <v>1874.25</v>
      </c>
      <c r="CV91" s="3">
        <f>ROUND(Table1[[#This Row],[Sales_Amount]],0)</f>
        <v>1874</v>
      </c>
      <c r="CW91" s="3"/>
      <c r="CX91" s="3"/>
      <c r="CY91" s="3" t="b">
        <f>IF(AND(Table1[[#This Row],[Sales_Amount]]&gt;=10000,Table1[[#This Row],[Profit]]&gt;0),"Good Order")</f>
        <v>0</v>
      </c>
      <c r="CZ91" s="3" t="str">
        <f>IF(Table1[[#This Row],[Sales_Amount]]&gt;=10000,"High","Normal")</f>
        <v>Normal</v>
      </c>
      <c r="DA91" s="3">
        <v>424.25</v>
      </c>
      <c r="DB91" s="3">
        <f>ROUND(Table1[[#This Row],[Profit]],0)</f>
        <v>424</v>
      </c>
      <c r="DC91" s="3">
        <f>ABS(Table1[[#This Row],[Profit]])</f>
        <v>424.25</v>
      </c>
      <c r="DD91" s="3"/>
      <c r="DE91" s="3"/>
      <c r="DF91" s="3"/>
      <c r="DG91" s="3" t="str">
        <f>IF(Table1[[#This Row],[Profit]]&gt;0,"Profit","Loss")</f>
        <v>Profit</v>
      </c>
      <c r="DH91" s="3" t="str">
        <f>IF(AND(Table1[[#This Row],[Sales_Amount]]&gt;=10000,Table1[[#This Row],[Profit]]&gt;0),"Priority","Normal")</f>
        <v>Normal</v>
      </c>
      <c r="DI91" s="3">
        <f t="shared" ca="1" si="9"/>
        <v>0.18228073181951188</v>
      </c>
      <c r="DJ91" s="3">
        <f t="shared" ca="1" si="10"/>
        <v>50</v>
      </c>
      <c r="DK91" s="3"/>
      <c r="DL91" s="3"/>
      <c r="DM91" s="3"/>
      <c r="DN91" s="3"/>
      <c r="DO91" s="3"/>
      <c r="DP91" s="3"/>
    </row>
    <row r="92" spans="1:120">
      <c r="A92" t="s">
        <v>660</v>
      </c>
      <c r="B92" t="str">
        <f>REPLACE(Table1[[#This Row],[Order_ID]],1,3,"YOO")</f>
        <v>YOO10091</v>
      </c>
      <c r="C92" t="str">
        <f>MID(Table1[[#This Row],[Order_ID]],4,4)</f>
        <v>1009</v>
      </c>
      <c r="D92" t="str">
        <f>LEFT(Table1[[#This Row],[Order_ID]],4)</f>
        <v>ORD1</v>
      </c>
      <c r="E92" t="str">
        <f>RIGHT(Table1[[#This Row],[Order_ID]],5)</f>
        <v>10091</v>
      </c>
      <c r="F92" t="s">
        <v>5</v>
      </c>
      <c r="G92">
        <v>10091</v>
      </c>
      <c r="H92" t="s">
        <v>661</v>
      </c>
      <c r="I92" s="2">
        <f>EDATE(Table1[[#This Row],[Order_Date]],3)</f>
        <v>45990</v>
      </c>
      <c r="J92" s="2">
        <f>EDATE(Table1[[#This Row],[Order_Date]],6)</f>
        <v>46081</v>
      </c>
      <c r="K92">
        <f ca="1">YEAR(Table1[[#This Row],[Today]])</f>
        <v>2026</v>
      </c>
      <c r="L92">
        <v>91</v>
      </c>
      <c r="M92">
        <f ca="1">DAY(Table1[[#This Row],[Today]])</f>
        <v>11</v>
      </c>
      <c r="N92" s="19">
        <f t="shared" ca="1" si="13"/>
        <v>46245.589795138891</v>
      </c>
      <c r="O92" s="2">
        <f t="shared" ca="1" si="8"/>
        <v>46245</v>
      </c>
      <c r="P92" s="17">
        <f ca="1">Table1[[#This Row],[Today]]-Table1[[#This Row],[Order_Date]]</f>
        <v>347</v>
      </c>
      <c r="Q92" s="2">
        <v>45748</v>
      </c>
      <c r="R92" s="2">
        <v>45898</v>
      </c>
      <c r="S92" s="6">
        <f t="shared" si="11"/>
        <v>2025</v>
      </c>
      <c r="T92" s="7" t="str">
        <f t="shared" si="12"/>
        <v>August</v>
      </c>
      <c r="U92" s="2">
        <f>WORKDAY(Table1[[#This Row],[Order_Date]],5)</f>
        <v>45905</v>
      </c>
      <c r="V92" s="7" t="str">
        <f>CONCATENATE(Table1[[#This Row],[Customer_ID]],Table1[[#This Row],[Customer_Name]])</f>
        <v>C1139Isha Kapoor</v>
      </c>
      <c r="W92" t="s">
        <v>256</v>
      </c>
      <c r="X92" t="s">
        <v>411</v>
      </c>
      <c r="Y92">
        <f>COUNTA(Table1[[#This Row],[Customer_Name]])</f>
        <v>1</v>
      </c>
      <c r="Z92" t="str">
        <f>SUBSTITUTE(Table1[[#This Row],[Customer_Name]]," ","_")</f>
        <v>Isha_Kapoor</v>
      </c>
      <c r="AA92" s="10">
        <f>IFERROR(SEARCH("a",Table1[[#This Row],[Customer_Name]]),"N/A")</f>
        <v>4</v>
      </c>
      <c r="AB92">
        <f>SEARCH(" ",Table1[[#This Row],[Customer_Name]])</f>
        <v>5</v>
      </c>
      <c r="AC92" s="11">
        <f>IFERROR(FIND("a",Table1[[#This Row],[Customer_Name]]),"N/A")</f>
        <v>4</v>
      </c>
      <c r="AD92">
        <f>FIND(" ",Table1[[#This Row],[Customer_Name]])</f>
        <v>5</v>
      </c>
      <c r="AE92" t="str">
        <f>TRIM(Table1[[#This Row],[Customer_Name]])</f>
        <v>Isha Kapoor</v>
      </c>
      <c r="AF92">
        <f>LEN(Table1[[#This Row],[Trimmed]])</f>
        <v>11</v>
      </c>
      <c r="AG92">
        <f>MAX(Table1[Length])</f>
        <v>15</v>
      </c>
      <c r="AH92" t="str">
        <f>PROPER(Table1[[#This Row],[Customer_Name]])</f>
        <v>Isha Kapoor</v>
      </c>
      <c r="AI92" t="str">
        <f>LOWER(Table1[[#This Row],[Customer_Name]])</f>
        <v>isha kapoor</v>
      </c>
      <c r="AJ92" t="str">
        <f>UPPER(Table1[[#This Row],[Customer_Name]])</f>
        <v>ISHA KAPOOR</v>
      </c>
      <c r="AK92" t="str">
        <f>CONCATENATE(Table1[[#This Row],[Customer_ID]],Table1[[#This Row],[Customer_Name]])</f>
        <v>C1139Isha Kapoor</v>
      </c>
      <c r="AL92" t="s">
        <v>412</v>
      </c>
      <c r="AM92" t="s">
        <v>413</v>
      </c>
      <c r="AN92" t="s">
        <v>414</v>
      </c>
      <c r="AO92" t="s">
        <v>412</v>
      </c>
      <c r="AP92" t="s">
        <v>413</v>
      </c>
      <c r="AQ92" t="s">
        <v>127</v>
      </c>
      <c r="AR92" t="str">
        <f>TRIM(Table1[[#This Row],[City]])</f>
        <v>Pune</v>
      </c>
      <c r="AS92" t="str">
        <f>PROPER(Table1[[#This Row],[City]])</f>
        <v>Pune</v>
      </c>
      <c r="AT92" t="s">
        <v>128</v>
      </c>
      <c r="AU92" t="str">
        <f>CONCATENATE(Table1[[#This Row],[City]],Table1[[#This Row],[State]])</f>
        <v>PuneMaharashtra</v>
      </c>
      <c r="AV92" t="s">
        <v>129</v>
      </c>
      <c r="AW92" t="s">
        <v>151</v>
      </c>
      <c r="AX92" t="str">
        <f>REPLACE(Table1[[#This Row],[Product_ID]],1,1,"s")</f>
        <v>s102</v>
      </c>
      <c r="AY92" t="s">
        <v>662</v>
      </c>
      <c r="AZ92">
        <f>SEARCH("-",Table1[[#This Row],[Product ID]])</f>
        <v>2</v>
      </c>
      <c r="BA92">
        <f>FIND("-",Table1[[#This Row],[Product ID]])</f>
        <v>2</v>
      </c>
      <c r="BB92" t="str">
        <f>MID(Table1[[#This Row],[Product_ID]],2,3)</f>
        <v>102</v>
      </c>
      <c r="BC92" t="str">
        <f>RIGHT(Table1[[#This Row],[Product_ID]],3)</f>
        <v>102</v>
      </c>
      <c r="BD92" t="str">
        <f>LEFT(Table1[[#This Row],[Product_ID]],3)</f>
        <v>P10</v>
      </c>
      <c r="BE92" t="str">
        <f>_xlfn.XLOOKUP(Table1[[#This Row],[Product_ID]],AW:AW,BF:BF,,0)</f>
        <v>Mechanical Keyboard</v>
      </c>
      <c r="BF92" t="s">
        <v>153</v>
      </c>
      <c r="BG92">
        <f>LEN(Table1[[#This Row],[Product_Name]])</f>
        <v>19</v>
      </c>
      <c r="BH92" t="s">
        <v>154</v>
      </c>
      <c r="BI92">
        <f t="shared" si="14"/>
        <v>75</v>
      </c>
      <c r="BJ92" t="str">
        <f>SUBSTITUTE(Table1[[#This Row],[Category]],"Electronics","ELECTRONICS")</f>
        <v>ELECTRONICS</v>
      </c>
      <c r="BN92" t="s">
        <v>155</v>
      </c>
      <c r="BS92" s="14">
        <v>5</v>
      </c>
      <c r="BT92" s="3">
        <v>2499</v>
      </c>
      <c r="BU92" s="4">
        <v>5</v>
      </c>
      <c r="BV92" s="4" t="str">
        <f>IF(AND(Table1[[#This Row],[Quantity]]&gt;=3,Table1[[#This Row],[Discount_%]]&gt;=15%),"Bulk Discount","no")</f>
        <v>Bulk Discount</v>
      </c>
      <c r="BW92" s="4" t="str">
        <f>IF(AND(Table1[[#This Row],[Quantity]]&gt;3,Table1[[#This Row],[Discount_%]]&gt;15%),"Bulk Customer","Normal")</f>
        <v>Bulk Customer</v>
      </c>
      <c r="BX92" t="s">
        <v>135</v>
      </c>
      <c r="BY92" t="s">
        <v>136</v>
      </c>
      <c r="CC92" t="str">
        <f>IF(OR(Table1[[#This Row],[Order_Status]]="Returned",Table1[[#This Row],[Order_Status]]="Cancelled"),"Attention Required","Not")</f>
        <v>Not</v>
      </c>
      <c r="CD92" t="str">
        <f>IF(OR(Table1[[#This Row],[Order_Status]]="Returned",Table1[[#This Row],[Order_Status]]="Cancelled"),"Review","no")</f>
        <v>no</v>
      </c>
      <c r="CE92" t="str">
        <f>SUBSTITUTE(Table1[[#This Row],[Order_Status]],"Delivered","Completed")</f>
        <v>Completed</v>
      </c>
      <c r="CF92" s="2">
        <v>45906</v>
      </c>
      <c r="CG92" s="17">
        <f>NETWORKDAYS(Table1[[#This Row],[Order_Date]],Table1[[#This Row],[Delivery_Date]])</f>
        <v>6</v>
      </c>
      <c r="CH92" s="17">
        <f>Table1[[#This Row],[Delivery_Date]]-Table1[[#This Row],[Order_Date]]</f>
        <v>8</v>
      </c>
      <c r="CI92" t="s">
        <v>137</v>
      </c>
      <c r="CJ92" t="str">
        <f>IF(Table1[[#This Row],[Rating]]&gt;=4,"Good","Needs Improvement")</f>
        <v>Good</v>
      </c>
      <c r="CK92" t="str">
        <f>IF(OR(Table1[[#This Row],[Rating]]&lt;=2,Table1[[#This Row],[Profit]]&lt;0),"Review","NO")</f>
        <v>NO</v>
      </c>
      <c r="CL92" t="str" cm="1">
        <f t="array" ref="CL92">_xlfn.IFS(Table1[[#This Row],[Rating]]&gt;2,"Poor",Table1[[#This Row],[Rating]]=3,"Average",Table1[[#This Row],[Rating]]=4,"Good",CP92=5,"Excellent")</f>
        <v>Poor</v>
      </c>
      <c r="CM92">
        <f>COUNT(Table1[[#This Row],[Rating]])</f>
        <v>1</v>
      </c>
      <c r="CN92">
        <f>COUNTBLANK(Table1[[#This Row],[Rating]])</f>
        <v>0</v>
      </c>
      <c r="CQ92" s="14">
        <v>5</v>
      </c>
      <c r="CR92" t="s">
        <v>204</v>
      </c>
      <c r="CS92" t="s">
        <v>158</v>
      </c>
      <c r="CU92" s="3">
        <v>11870.25</v>
      </c>
      <c r="CV92" s="3">
        <f>ROUND(Table1[[#This Row],[Sales_Amount]],0)</f>
        <v>11870</v>
      </c>
      <c r="CW92" s="3"/>
      <c r="CX92" s="3"/>
      <c r="CY92" s="3" t="str">
        <f>IF(AND(Table1[[#This Row],[Sales_Amount]]&gt;=10000,Table1[[#This Row],[Profit]]&gt;0),"Good Order")</f>
        <v>Good Order</v>
      </c>
      <c r="CZ92" s="3" t="str">
        <f>IF(Table1[[#This Row],[Sales_Amount]]&gt;=10000,"High","Normal")</f>
        <v>High</v>
      </c>
      <c r="DA92" s="3">
        <v>4620.25</v>
      </c>
      <c r="DB92" s="3">
        <f>ROUND(Table1[[#This Row],[Profit]],0)</f>
        <v>4620</v>
      </c>
      <c r="DC92" s="3">
        <f>ABS(Table1[[#This Row],[Profit]])</f>
        <v>4620.25</v>
      </c>
      <c r="DD92" s="3"/>
      <c r="DE92" s="3"/>
      <c r="DF92" s="3"/>
      <c r="DG92" s="3" t="str">
        <f>IF(Table1[[#This Row],[Profit]]&gt;0,"Profit","Loss")</f>
        <v>Profit</v>
      </c>
      <c r="DH92" s="3" t="str">
        <f>IF(AND(Table1[[#This Row],[Sales_Amount]]&gt;=10000,Table1[[#This Row],[Profit]]&gt;0),"Priority","Normal")</f>
        <v>Priority</v>
      </c>
      <c r="DI92" s="3">
        <f t="shared" ca="1" si="9"/>
        <v>0.35605240235821345</v>
      </c>
      <c r="DJ92" s="3">
        <f t="shared" ca="1" si="10"/>
        <v>64</v>
      </c>
      <c r="DK92" s="3"/>
      <c r="DL92" s="3"/>
      <c r="DM92" s="3"/>
      <c r="DN92" s="3"/>
      <c r="DO92" s="3"/>
      <c r="DP92" s="3"/>
    </row>
    <row r="93" spans="1:120">
      <c r="A93" t="s">
        <v>663</v>
      </c>
      <c r="B93" t="str">
        <f>REPLACE(Table1[[#This Row],[Order_ID]],1,3,"YOO")</f>
        <v>YOO10092</v>
      </c>
      <c r="C93" t="str">
        <f>MID(Table1[[#This Row],[Order_ID]],4,4)</f>
        <v>1009</v>
      </c>
      <c r="D93" t="str">
        <f>LEFT(Table1[[#This Row],[Order_ID]],4)</f>
        <v>ORD1</v>
      </c>
      <c r="E93" t="str">
        <f>RIGHT(Table1[[#This Row],[Order_ID]],5)</f>
        <v>10092</v>
      </c>
      <c r="F93" t="s">
        <v>5</v>
      </c>
      <c r="G93">
        <v>10092</v>
      </c>
      <c r="H93" t="s">
        <v>664</v>
      </c>
      <c r="I93" s="2">
        <f>EDATE(Table1[[#This Row],[Order_Date]],3)</f>
        <v>45850</v>
      </c>
      <c r="J93" s="2">
        <f>EDATE(Table1[[#This Row],[Order_Date]],6)</f>
        <v>45942</v>
      </c>
      <c r="K93">
        <f ca="1">YEAR(Table1[[#This Row],[Today]])</f>
        <v>2026</v>
      </c>
      <c r="L93">
        <v>92</v>
      </c>
      <c r="M93">
        <f ca="1">DAY(Table1[[#This Row],[Today]])</f>
        <v>11</v>
      </c>
      <c r="N93" s="19">
        <f t="shared" ca="1" si="13"/>
        <v>46245.589795370368</v>
      </c>
      <c r="O93" s="2">
        <f t="shared" ca="1" si="8"/>
        <v>46245</v>
      </c>
      <c r="P93" s="17">
        <f ca="1">Table1[[#This Row],[Today]]-Table1[[#This Row],[Order_Date]]</f>
        <v>486</v>
      </c>
      <c r="Q93" s="2">
        <v>45749</v>
      </c>
      <c r="R93" s="2">
        <v>45759</v>
      </c>
      <c r="S93" s="6">
        <f t="shared" si="11"/>
        <v>2025</v>
      </c>
      <c r="T93" s="7" t="str">
        <f t="shared" si="12"/>
        <v>April</v>
      </c>
      <c r="U93" s="2">
        <f>WORKDAY(Table1[[#This Row],[Order_Date]],5)</f>
        <v>45765</v>
      </c>
      <c r="V93" s="7" t="str">
        <f>CONCATENATE(Table1[[#This Row],[Customer_ID]],Table1[[#This Row],[Customer_Name]])</f>
        <v>C1056Nitin Soni</v>
      </c>
      <c r="W93" t="s">
        <v>334</v>
      </c>
      <c r="X93" t="s">
        <v>144</v>
      </c>
      <c r="Y93">
        <f>COUNTA(Table1[[#This Row],[Customer_Name]])</f>
        <v>1</v>
      </c>
      <c r="Z93" t="str">
        <f>SUBSTITUTE(Table1[[#This Row],[Customer_Name]]," ","_")</f>
        <v>Nitin_Soni</v>
      </c>
      <c r="AA93" s="10" t="str">
        <f>IFERROR(SEARCH("a",Table1[[#This Row],[Customer_Name]]),"N/A")</f>
        <v>N/A</v>
      </c>
      <c r="AB93">
        <f>SEARCH(" ",Table1[[#This Row],[Customer_Name]])</f>
        <v>6</v>
      </c>
      <c r="AC93" s="11" t="str">
        <f>IFERROR(FIND("a",Table1[[#This Row],[Customer_Name]]),"N/A")</f>
        <v>N/A</v>
      </c>
      <c r="AD93">
        <f>FIND(" ",Table1[[#This Row],[Customer_Name]])</f>
        <v>6</v>
      </c>
      <c r="AE93" t="str">
        <f>TRIM(Table1[[#This Row],[Customer_Name]])</f>
        <v>Nitin Soni</v>
      </c>
      <c r="AF93">
        <f>LEN(Table1[[#This Row],[Trimmed]])</f>
        <v>10</v>
      </c>
      <c r="AG93">
        <f>MAX(Table1[Length])</f>
        <v>15</v>
      </c>
      <c r="AH93" t="str">
        <f>PROPER(Table1[[#This Row],[Customer_Name]])</f>
        <v>Nitin Soni</v>
      </c>
      <c r="AI93" t="str">
        <f>LOWER(Table1[[#This Row],[Customer_Name]])</f>
        <v>nitin soni</v>
      </c>
      <c r="AJ93" t="str">
        <f>UPPER(Table1[[#This Row],[Customer_Name]])</f>
        <v>NITIN SONI</v>
      </c>
      <c r="AK93" t="str">
        <f>CONCATENATE(Table1[[#This Row],[Customer_ID]],Table1[[#This Row],[Customer_Name]])</f>
        <v>C1056Nitin Soni</v>
      </c>
      <c r="AL93" t="s">
        <v>145</v>
      </c>
      <c r="AM93" t="s">
        <v>146</v>
      </c>
      <c r="AN93" t="s">
        <v>147</v>
      </c>
      <c r="AO93" t="s">
        <v>145</v>
      </c>
      <c r="AP93" t="s">
        <v>146</v>
      </c>
      <c r="AQ93" t="s">
        <v>166</v>
      </c>
      <c r="AR93" t="str">
        <f>TRIM(Table1[[#This Row],[City]])</f>
        <v>Bengaluru</v>
      </c>
      <c r="AS93" t="str">
        <f>PROPER(Table1[[#This Row],[City]])</f>
        <v>Bengaluru</v>
      </c>
      <c r="AT93" t="s">
        <v>167</v>
      </c>
      <c r="AU93" t="str">
        <f>CONCATENATE(Table1[[#This Row],[City]],Table1[[#This Row],[State]])</f>
        <v>BengaluruKarnataka</v>
      </c>
      <c r="AV93" t="s">
        <v>168</v>
      </c>
      <c r="AW93" t="s">
        <v>338</v>
      </c>
      <c r="AX93" t="str">
        <f>REPLACE(Table1[[#This Row],[Product_ID]],1,1,"s")</f>
        <v>s115</v>
      </c>
      <c r="AY93" t="s">
        <v>665</v>
      </c>
      <c r="AZ93">
        <f>SEARCH("-",Table1[[#This Row],[Product ID]])</f>
        <v>2</v>
      </c>
      <c r="BA93">
        <f>FIND("-",Table1[[#This Row],[Product ID]])</f>
        <v>2</v>
      </c>
      <c r="BB93" t="str">
        <f>MID(Table1[[#This Row],[Product_ID]],2,3)</f>
        <v>115</v>
      </c>
      <c r="BC93" t="str">
        <f>RIGHT(Table1[[#This Row],[Product_ID]],3)</f>
        <v>115</v>
      </c>
      <c r="BD93" t="str">
        <f>LEFT(Table1[[#This Row],[Product_ID]],3)</f>
        <v>P11</v>
      </c>
      <c r="BE93" t="str">
        <f>_xlfn.XLOOKUP(Table1[[#This Row],[Product_ID]],AW:AW,BF:BF,,0)</f>
        <v>Dumbbell Set</v>
      </c>
      <c r="BF93" t="s">
        <v>340</v>
      </c>
      <c r="BG93">
        <f>LEN(Table1[[#This Row],[Product_Name]])</f>
        <v>12</v>
      </c>
      <c r="BH93" t="s">
        <v>264</v>
      </c>
      <c r="BI93">
        <f t="shared" si="14"/>
        <v>75</v>
      </c>
      <c r="BJ93" t="str">
        <f>SUBSTITUTE(Table1[[#This Row],[Category]],"Electronics","ELECTRONICS")</f>
        <v>Sports</v>
      </c>
      <c r="BN93" t="s">
        <v>265</v>
      </c>
      <c r="BS93" s="14">
        <v>4</v>
      </c>
      <c r="BT93" s="3">
        <v>2499</v>
      </c>
      <c r="BU93" s="4">
        <v>20</v>
      </c>
      <c r="BV93" s="4" t="str">
        <f>IF(AND(Table1[[#This Row],[Quantity]]&gt;=3,Table1[[#This Row],[Discount_%]]&gt;=15%),"Bulk Discount","no")</f>
        <v>Bulk Discount</v>
      </c>
      <c r="BW93" s="4" t="str">
        <f>IF(AND(Table1[[#This Row],[Quantity]]&gt;3,Table1[[#This Row],[Discount_%]]&gt;15%),"Bulk Customer","Normal")</f>
        <v>Bulk Customer</v>
      </c>
      <c r="BX93" t="s">
        <v>330</v>
      </c>
      <c r="BY93" t="s">
        <v>136</v>
      </c>
      <c r="CC93" t="str">
        <f>IF(OR(Table1[[#This Row],[Order_Status]]="Returned",Table1[[#This Row],[Order_Status]]="Cancelled"),"Attention Required","Not")</f>
        <v>Not</v>
      </c>
      <c r="CD93" t="str">
        <f>IF(OR(Table1[[#This Row],[Order_Status]]="Returned",Table1[[#This Row],[Order_Status]]="Cancelled"),"Review","no")</f>
        <v>no</v>
      </c>
      <c r="CE93" t="str">
        <f>SUBSTITUTE(Table1[[#This Row],[Order_Status]],"Delivered","Completed")</f>
        <v>Completed</v>
      </c>
      <c r="CF93" s="2">
        <v>45760</v>
      </c>
      <c r="CG93" s="17">
        <f>NETWORKDAYS(Table1[[#This Row],[Order_Date]],Table1[[#This Row],[Delivery_Date]])</f>
        <v>0</v>
      </c>
      <c r="CH93" s="17">
        <f>Table1[[#This Row],[Delivery_Date]]-Table1[[#This Row],[Order_Date]]</f>
        <v>1</v>
      </c>
      <c r="CI93" t="s">
        <v>137</v>
      </c>
      <c r="CJ93" t="str">
        <f>IF(Table1[[#This Row],[Rating]]&gt;=4,"Good","Needs Improvement")</f>
        <v>Good</v>
      </c>
      <c r="CK93" t="str">
        <f>IF(OR(Table1[[#This Row],[Rating]]&lt;=2,Table1[[#This Row],[Profit]]&lt;0),"Review","NO")</f>
        <v>NO</v>
      </c>
      <c r="CL93" t="str" cm="1">
        <f t="array" ref="CL93">_xlfn.IFS(Table1[[#This Row],[Rating]]&gt;2,"Poor",Table1[[#This Row],[Rating]]=3,"Average",Table1[[#This Row],[Rating]]=4,"Good",CP93=5,"Excellent")</f>
        <v>Poor</v>
      </c>
      <c r="CM93">
        <f>COUNT(Table1[[#This Row],[Rating]])</f>
        <v>1</v>
      </c>
      <c r="CN93">
        <f>COUNTBLANK(Table1[[#This Row],[Rating]])</f>
        <v>0</v>
      </c>
      <c r="CP93" t="s">
        <v>194</v>
      </c>
      <c r="CQ93" s="14">
        <v>5</v>
      </c>
      <c r="CR93" t="s">
        <v>173</v>
      </c>
      <c r="CS93" t="s">
        <v>140</v>
      </c>
      <c r="CU93" s="3">
        <v>7996.8</v>
      </c>
      <c r="CV93" s="3">
        <f>ROUND(Table1[[#This Row],[Sales_Amount]],0)</f>
        <v>7997</v>
      </c>
      <c r="CW93" s="3"/>
      <c r="CX93" s="3"/>
      <c r="CY93" s="3" t="b">
        <f>IF(AND(Table1[[#This Row],[Sales_Amount]]&gt;=10000,Table1[[#This Row],[Profit]]&gt;0),"Good Order")</f>
        <v>0</v>
      </c>
      <c r="CZ93" s="3" t="str">
        <f>IF(Table1[[#This Row],[Sales_Amount]]&gt;=10000,"High","Normal")</f>
        <v>Normal</v>
      </c>
      <c r="DA93" s="3">
        <v>2196.8000000000002</v>
      </c>
      <c r="DB93" s="3">
        <f>ROUND(Table1[[#This Row],[Profit]],0)</f>
        <v>2197</v>
      </c>
      <c r="DC93" s="3">
        <f>ABS(Table1[[#This Row],[Profit]])</f>
        <v>2196.8000000000002</v>
      </c>
      <c r="DD93" s="3"/>
      <c r="DE93" s="3"/>
      <c r="DF93" s="3"/>
      <c r="DG93" s="3" t="str">
        <f>IF(Table1[[#This Row],[Profit]]&gt;0,"Profit","Loss")</f>
        <v>Profit</v>
      </c>
      <c r="DH93" s="3" t="str">
        <f>IF(AND(Table1[[#This Row],[Sales_Amount]]&gt;=10000,Table1[[#This Row],[Profit]]&gt;0),"Priority","Normal")</f>
        <v>Normal</v>
      </c>
      <c r="DI93" s="3">
        <f t="shared" ca="1" si="9"/>
        <v>0.22958544118319313</v>
      </c>
      <c r="DJ93" s="3">
        <f t="shared" ca="1" si="10"/>
        <v>68</v>
      </c>
      <c r="DK93" s="3"/>
      <c r="DL93" s="3"/>
      <c r="DM93" s="3"/>
      <c r="DN93" s="3"/>
      <c r="DO93" s="3"/>
      <c r="DP93" s="3"/>
    </row>
    <row r="94" spans="1:120">
      <c r="A94" t="s">
        <v>666</v>
      </c>
      <c r="B94" t="str">
        <f>REPLACE(Table1[[#This Row],[Order_ID]],1,3,"YOO")</f>
        <v>YOO10093</v>
      </c>
      <c r="C94" t="str">
        <f>MID(Table1[[#This Row],[Order_ID]],4,4)</f>
        <v>1009</v>
      </c>
      <c r="D94" t="str">
        <f>LEFT(Table1[[#This Row],[Order_ID]],4)</f>
        <v>ORD1</v>
      </c>
      <c r="E94" t="str">
        <f>RIGHT(Table1[[#This Row],[Order_ID]],5)</f>
        <v>10093</v>
      </c>
      <c r="F94" t="s">
        <v>5</v>
      </c>
      <c r="G94">
        <v>10093</v>
      </c>
      <c r="H94" t="s">
        <v>667</v>
      </c>
      <c r="I94" s="2">
        <f>EDATE(Table1[[#This Row],[Order_Date]],3)</f>
        <v>46307</v>
      </c>
      <c r="J94" s="2">
        <f>EDATE(Table1[[#This Row],[Order_Date]],6)</f>
        <v>46399</v>
      </c>
      <c r="K94">
        <f ca="1">YEAR(Table1[[#This Row],[Today]])</f>
        <v>2026</v>
      </c>
      <c r="L94">
        <v>93</v>
      </c>
      <c r="M94">
        <f ca="1">DAY(Table1[[#This Row],[Today]])</f>
        <v>11</v>
      </c>
      <c r="N94" s="19">
        <f t="shared" ca="1" si="13"/>
        <v>46245.589795370368</v>
      </c>
      <c r="O94" s="2">
        <f t="shared" ca="1" si="8"/>
        <v>46245</v>
      </c>
      <c r="P94" s="17">
        <f ca="1">Table1[[#This Row],[Today]]-Table1[[#This Row],[Order_Date]]</f>
        <v>30</v>
      </c>
      <c r="Q94" s="2">
        <v>45750</v>
      </c>
      <c r="R94" s="2">
        <v>46215</v>
      </c>
      <c r="S94" s="6">
        <f t="shared" si="11"/>
        <v>2026</v>
      </c>
      <c r="T94" s="7" t="str">
        <f t="shared" si="12"/>
        <v>July</v>
      </c>
      <c r="U94" s="2">
        <f>WORKDAY(Table1[[#This Row],[Order_Date]],5)</f>
        <v>46220</v>
      </c>
      <c r="V94" s="7" t="str">
        <f>CONCATENATE(Table1[[#This Row],[Customer_ID]],Table1[[#This Row],[Customer_Name]])</f>
        <v>C1032Nitin Soni</v>
      </c>
      <c r="W94" t="s">
        <v>418</v>
      </c>
      <c r="X94" t="s">
        <v>144</v>
      </c>
      <c r="Y94">
        <f>COUNTA(Table1[[#This Row],[Customer_Name]])</f>
        <v>1</v>
      </c>
      <c r="Z94" t="str">
        <f>SUBSTITUTE(Table1[[#This Row],[Customer_Name]]," ","_")</f>
        <v>Nitin_Soni</v>
      </c>
      <c r="AA94" s="10" t="str">
        <f>IFERROR(SEARCH("a",Table1[[#This Row],[Customer_Name]]),"N/A")</f>
        <v>N/A</v>
      </c>
      <c r="AB94">
        <f>SEARCH(" ",Table1[[#This Row],[Customer_Name]])</f>
        <v>6</v>
      </c>
      <c r="AC94" s="11" t="str">
        <f>IFERROR(FIND("a",Table1[[#This Row],[Customer_Name]]),"N/A")</f>
        <v>N/A</v>
      </c>
      <c r="AD94">
        <f>FIND(" ",Table1[[#This Row],[Customer_Name]])</f>
        <v>6</v>
      </c>
      <c r="AE94" t="str">
        <f>TRIM(Table1[[#This Row],[Customer_Name]])</f>
        <v>Nitin Soni</v>
      </c>
      <c r="AF94">
        <f>LEN(Table1[[#This Row],[Trimmed]])</f>
        <v>10</v>
      </c>
      <c r="AG94">
        <f>MAX(Table1[Length])</f>
        <v>15</v>
      </c>
      <c r="AH94" t="str">
        <f>PROPER(Table1[[#This Row],[Customer_Name]])</f>
        <v>Nitin Soni</v>
      </c>
      <c r="AI94" t="str">
        <f>LOWER(Table1[[#This Row],[Customer_Name]])</f>
        <v>nitin soni</v>
      </c>
      <c r="AJ94" t="str">
        <f>UPPER(Table1[[#This Row],[Customer_Name]])</f>
        <v>NITIN SONI</v>
      </c>
      <c r="AK94" t="str">
        <f>CONCATENATE(Table1[[#This Row],[Customer_ID]],Table1[[#This Row],[Customer_Name]])</f>
        <v>C1032Nitin Soni</v>
      </c>
      <c r="AL94" t="s">
        <v>145</v>
      </c>
      <c r="AM94" t="s">
        <v>146</v>
      </c>
      <c r="AN94" t="s">
        <v>147</v>
      </c>
      <c r="AO94" t="s">
        <v>145</v>
      </c>
      <c r="AP94" t="s">
        <v>146</v>
      </c>
      <c r="AQ94" t="s">
        <v>344</v>
      </c>
      <c r="AR94" t="str">
        <f>TRIM(Table1[[#This Row],[City]])</f>
        <v>Bhopal</v>
      </c>
      <c r="AS94" t="str">
        <f>PROPER(Table1[[#This Row],[City]])</f>
        <v>Bhopal</v>
      </c>
      <c r="AT94" t="s">
        <v>345</v>
      </c>
      <c r="AU94" t="str">
        <f>CONCATENATE(Table1[[#This Row],[City]],Table1[[#This Row],[State]])</f>
        <v>BhopalMadhya Pradesh</v>
      </c>
      <c r="AV94" t="s">
        <v>346</v>
      </c>
      <c r="AW94" t="s">
        <v>130</v>
      </c>
      <c r="AX94" t="str">
        <f>REPLACE(Table1[[#This Row],[Product_ID]],1,1,"s")</f>
        <v>s111</v>
      </c>
      <c r="AY94" t="s">
        <v>668</v>
      </c>
      <c r="AZ94">
        <f>SEARCH("-",Table1[[#This Row],[Product ID]])</f>
        <v>2</v>
      </c>
      <c r="BA94">
        <f>FIND("-",Table1[[#This Row],[Product ID]])</f>
        <v>2</v>
      </c>
      <c r="BB94" t="str">
        <f>MID(Table1[[#This Row],[Product_ID]],2,3)</f>
        <v>111</v>
      </c>
      <c r="BC94" t="str">
        <f>RIGHT(Table1[[#This Row],[Product_ID]],3)</f>
        <v>111</v>
      </c>
      <c r="BD94" t="str">
        <f>LEFT(Table1[[#This Row],[Product_ID]],3)</f>
        <v>P11</v>
      </c>
      <c r="BE94" t="str">
        <f>_xlfn.XLOOKUP(Table1[[#This Row],[Product_ID]],AW:AW,BF:BF,,0)</f>
        <v>Coffee Maker</v>
      </c>
      <c r="BF94" t="s">
        <v>132</v>
      </c>
      <c r="BG94">
        <f>LEN(Table1[[#This Row],[Product_Name]])</f>
        <v>12</v>
      </c>
      <c r="BH94" t="s">
        <v>133</v>
      </c>
      <c r="BI94">
        <f t="shared" si="14"/>
        <v>75</v>
      </c>
      <c r="BJ94" t="str">
        <f>SUBSTITUTE(Table1[[#This Row],[Category]],"Electronics","ELECTRONICS")</f>
        <v>Home</v>
      </c>
      <c r="BN94" t="s">
        <v>134</v>
      </c>
      <c r="BS94" s="14">
        <v>3</v>
      </c>
      <c r="BT94" s="3">
        <v>3999</v>
      </c>
      <c r="BU94" s="4">
        <v>0</v>
      </c>
      <c r="BV94" s="4" t="str">
        <f>IF(AND(Table1[[#This Row],[Quantity]]&gt;=3,Table1[[#This Row],[Discount_%]]&gt;=15%),"Bulk Discount","no")</f>
        <v>no</v>
      </c>
      <c r="BW94" s="4" t="str">
        <f>IF(AND(Table1[[#This Row],[Quantity]]&gt;3,Table1[[#This Row],[Discount_%]]&gt;15%),"Bulk Customer","Normal")</f>
        <v>Normal</v>
      </c>
      <c r="BX94" t="s">
        <v>172</v>
      </c>
      <c r="BY94" t="s">
        <v>136</v>
      </c>
      <c r="CC94" t="str">
        <f>IF(OR(Table1[[#This Row],[Order_Status]]="Returned",Table1[[#This Row],[Order_Status]]="Cancelled"),"Attention Required","Not")</f>
        <v>Not</v>
      </c>
      <c r="CD94" t="str">
        <f>IF(OR(Table1[[#This Row],[Order_Status]]="Returned",Table1[[#This Row],[Order_Status]]="Cancelled"),"Review","no")</f>
        <v>no</v>
      </c>
      <c r="CE94" t="str">
        <f>SUBSTITUTE(Table1[[#This Row],[Order_Status]],"Delivered","Completed")</f>
        <v>Completed</v>
      </c>
      <c r="CF94" s="2">
        <v>46220</v>
      </c>
      <c r="CG94" s="17">
        <f>NETWORKDAYS(Table1[[#This Row],[Order_Date]],Table1[[#This Row],[Delivery_Date]])</f>
        <v>5</v>
      </c>
      <c r="CH94" s="17">
        <f>Table1[[#This Row],[Delivery_Date]]-Table1[[#This Row],[Order_Date]]</f>
        <v>5</v>
      </c>
      <c r="CI94" t="s">
        <v>137</v>
      </c>
      <c r="CJ94" t="str">
        <f>IF(Table1[[#This Row],[Rating]]&gt;=4,"Good","Needs Improvement")</f>
        <v>Good</v>
      </c>
      <c r="CK94" t="str">
        <f>IF(OR(Table1[[#This Row],[Rating]]&lt;=2,Table1[[#This Row],[Profit]]&lt;0),"Review","NO")</f>
        <v>NO</v>
      </c>
      <c r="CL94" t="str" cm="1">
        <f t="array" ref="CL94">_xlfn.IFS(Table1[[#This Row],[Rating]]&gt;2,"Poor",Table1[[#This Row],[Rating]]=3,"Average",Table1[[#This Row],[Rating]]=4,"Good",CP94=5,"Excellent")</f>
        <v>Poor</v>
      </c>
      <c r="CM94">
        <f>COUNT(Table1[[#This Row],[Rating]])</f>
        <v>1</v>
      </c>
      <c r="CN94">
        <f>COUNTBLANK(Table1[[#This Row],[Rating]])</f>
        <v>0</v>
      </c>
      <c r="CQ94" s="14">
        <v>4</v>
      </c>
      <c r="CR94" t="s">
        <v>139</v>
      </c>
      <c r="CS94" t="s">
        <v>213</v>
      </c>
      <c r="CU94" s="3">
        <v>11997</v>
      </c>
      <c r="CV94" s="3">
        <f>ROUND(Table1[[#This Row],[Sales_Amount]],0)</f>
        <v>11997</v>
      </c>
      <c r="CW94" s="3"/>
      <c r="CX94" s="3"/>
      <c r="CY94" s="3" t="str">
        <f>IF(AND(Table1[[#This Row],[Sales_Amount]]&gt;=10000,Table1[[#This Row],[Profit]]&gt;0),"Good Order")</f>
        <v>Good Order</v>
      </c>
      <c r="CZ94" s="3" t="str">
        <f>IF(Table1[[#This Row],[Sales_Amount]]&gt;=10000,"High","Normal")</f>
        <v>High</v>
      </c>
      <c r="DA94" s="3">
        <v>4497</v>
      </c>
      <c r="DB94" s="3">
        <f>ROUND(Table1[[#This Row],[Profit]],0)</f>
        <v>4497</v>
      </c>
      <c r="DC94" s="3">
        <f>ABS(Table1[[#This Row],[Profit]])</f>
        <v>4497</v>
      </c>
      <c r="DD94" s="3"/>
      <c r="DE94" s="3"/>
      <c r="DF94" s="3"/>
      <c r="DG94" s="3" t="str">
        <f>IF(Table1[[#This Row],[Profit]]&gt;0,"Profit","Loss")</f>
        <v>Profit</v>
      </c>
      <c r="DH94" s="3" t="str">
        <f>IF(AND(Table1[[#This Row],[Sales_Amount]]&gt;=10000,Table1[[#This Row],[Profit]]&gt;0),"Priority","Normal")</f>
        <v>Priority</v>
      </c>
      <c r="DI94" s="3">
        <f t="shared" ca="1" si="9"/>
        <v>0.8573168690258558</v>
      </c>
      <c r="DJ94" s="3">
        <f t="shared" ca="1" si="10"/>
        <v>68</v>
      </c>
      <c r="DK94" s="3"/>
      <c r="DL94" s="3"/>
      <c r="DM94" s="3"/>
      <c r="DN94" s="3"/>
      <c r="DO94" s="3"/>
      <c r="DP94" s="3"/>
    </row>
    <row r="95" spans="1:120">
      <c r="A95" t="s">
        <v>669</v>
      </c>
      <c r="B95" t="str">
        <f>REPLACE(Table1[[#This Row],[Order_ID]],1,3,"YOO")</f>
        <v>YOO10094</v>
      </c>
      <c r="C95" t="str">
        <f>MID(Table1[[#This Row],[Order_ID]],4,4)</f>
        <v>1009</v>
      </c>
      <c r="D95" t="str">
        <f>LEFT(Table1[[#This Row],[Order_ID]],4)</f>
        <v>ORD1</v>
      </c>
      <c r="E95" t="str">
        <f>RIGHT(Table1[[#This Row],[Order_ID]],5)</f>
        <v>10094</v>
      </c>
      <c r="F95" t="s">
        <v>5</v>
      </c>
      <c r="G95">
        <v>10094</v>
      </c>
      <c r="H95" t="s">
        <v>670</v>
      </c>
      <c r="I95" s="2">
        <f>EDATE(Table1[[#This Row],[Order_Date]],3)</f>
        <v>45769</v>
      </c>
      <c r="J95" s="2">
        <f>EDATE(Table1[[#This Row],[Order_Date]],6)</f>
        <v>45860</v>
      </c>
      <c r="K95">
        <f ca="1">YEAR(Table1[[#This Row],[Today]])</f>
        <v>2026</v>
      </c>
      <c r="L95">
        <v>94</v>
      </c>
      <c r="M95">
        <f ca="1">DAY(Table1[[#This Row],[Today]])</f>
        <v>11</v>
      </c>
      <c r="N95" s="19">
        <f t="shared" ca="1" si="13"/>
        <v>46245.589795138891</v>
      </c>
      <c r="O95" s="2">
        <f t="shared" ca="1" si="8"/>
        <v>46245</v>
      </c>
      <c r="P95" s="17">
        <f ca="1">Table1[[#This Row],[Today]]-Table1[[#This Row],[Order_Date]]</f>
        <v>566</v>
      </c>
      <c r="Q95" s="2">
        <v>45751</v>
      </c>
      <c r="R95" s="2">
        <v>45679</v>
      </c>
      <c r="S95" s="6">
        <f t="shared" si="11"/>
        <v>2025</v>
      </c>
      <c r="T95" s="7" t="str">
        <f t="shared" si="12"/>
        <v>January</v>
      </c>
      <c r="U95" s="2">
        <f>WORKDAY(Table1[[#This Row],[Order_Date]],5)</f>
        <v>45686</v>
      </c>
      <c r="V95" s="7" t="str">
        <f>CONCATENATE(Table1[[#This Row],[Customer_ID]],Table1[[#This Row],[Customer_Name]])</f>
        <v>C1018Riya Agarwal</v>
      </c>
      <c r="W95" t="s">
        <v>403</v>
      </c>
      <c r="X95" t="s">
        <v>217</v>
      </c>
      <c r="Y95">
        <f>COUNTA(Table1[[#This Row],[Customer_Name]])</f>
        <v>1</v>
      </c>
      <c r="Z95" t="str">
        <f>SUBSTITUTE(Table1[[#This Row],[Customer_Name]]," ","_")</f>
        <v>Riya_Agarwal</v>
      </c>
      <c r="AA95" s="10">
        <f>IFERROR(SEARCH("a",Table1[[#This Row],[Customer_Name]]),"N/A")</f>
        <v>4</v>
      </c>
      <c r="AB95">
        <f>SEARCH(" ",Table1[[#This Row],[Customer_Name]])</f>
        <v>5</v>
      </c>
      <c r="AC95" s="11">
        <f>IFERROR(FIND("a",Table1[[#This Row],[Customer_Name]]),"N/A")</f>
        <v>4</v>
      </c>
      <c r="AD95">
        <f>FIND(" ",Table1[[#This Row],[Customer_Name]])</f>
        <v>5</v>
      </c>
      <c r="AE95" t="str">
        <f>TRIM(Table1[[#This Row],[Customer_Name]])</f>
        <v>Riya Agarwal</v>
      </c>
      <c r="AF95">
        <f>LEN(Table1[[#This Row],[Trimmed]])</f>
        <v>12</v>
      </c>
      <c r="AG95">
        <f>MAX(Table1[Length])</f>
        <v>15</v>
      </c>
      <c r="AH95" t="str">
        <f>PROPER(Table1[[#This Row],[Customer_Name]])</f>
        <v>Riya Agarwal</v>
      </c>
      <c r="AI95" t="str">
        <f>LOWER(Table1[[#This Row],[Customer_Name]])</f>
        <v>riya agarwal</v>
      </c>
      <c r="AJ95" t="str">
        <f>UPPER(Table1[[#This Row],[Customer_Name]])</f>
        <v>RIYA AGARWAL</v>
      </c>
      <c r="AK95" t="str">
        <f>CONCATENATE(Table1[[#This Row],[Customer_ID]],Table1[[#This Row],[Customer_Name]])</f>
        <v>C1018Riya Agarwal</v>
      </c>
      <c r="AL95" t="s">
        <v>218</v>
      </c>
      <c r="AM95" t="s">
        <v>219</v>
      </c>
      <c r="AN95" t="s">
        <v>220</v>
      </c>
      <c r="AO95" t="s">
        <v>218</v>
      </c>
      <c r="AP95" t="s">
        <v>219</v>
      </c>
      <c r="AQ95" t="s">
        <v>233</v>
      </c>
      <c r="AR95" t="str">
        <f>TRIM(Table1[[#This Row],[City]])</f>
        <v>Kolkata</v>
      </c>
      <c r="AS95" t="str">
        <f>PROPER(Table1[[#This Row],[City]])</f>
        <v>Kolkata</v>
      </c>
      <c r="AT95" t="s">
        <v>234</v>
      </c>
      <c r="AU95" t="str">
        <f>CONCATENATE(Table1[[#This Row],[City]],Table1[[#This Row],[State]])</f>
        <v>KolkataWest Bengal</v>
      </c>
      <c r="AV95" t="s">
        <v>235</v>
      </c>
      <c r="AW95" t="s">
        <v>130</v>
      </c>
      <c r="AX95" t="str">
        <f>REPLACE(Table1[[#This Row],[Product_ID]],1,1,"s")</f>
        <v>s111</v>
      </c>
      <c r="AY95" t="s">
        <v>671</v>
      </c>
      <c r="AZ95">
        <f>SEARCH("-",Table1[[#This Row],[Product ID]])</f>
        <v>2</v>
      </c>
      <c r="BA95">
        <f>FIND("-",Table1[[#This Row],[Product ID]])</f>
        <v>2</v>
      </c>
      <c r="BB95" t="str">
        <f>MID(Table1[[#This Row],[Product_ID]],2,3)</f>
        <v>111</v>
      </c>
      <c r="BC95" t="str">
        <f>RIGHT(Table1[[#This Row],[Product_ID]],3)</f>
        <v>111</v>
      </c>
      <c r="BD95" t="str">
        <f>LEFT(Table1[[#This Row],[Product_ID]],3)</f>
        <v>P11</v>
      </c>
      <c r="BE95" t="str">
        <f>_xlfn.XLOOKUP(Table1[[#This Row],[Product_ID]],AW:AW,BF:BF,,0)</f>
        <v>Coffee Maker</v>
      </c>
      <c r="BF95" t="s">
        <v>132</v>
      </c>
      <c r="BG95">
        <f>LEN(Table1[[#This Row],[Product_Name]])</f>
        <v>12</v>
      </c>
      <c r="BH95" t="s">
        <v>133</v>
      </c>
      <c r="BI95">
        <f t="shared" si="14"/>
        <v>75</v>
      </c>
      <c r="BJ95" t="str">
        <f>SUBSTITUTE(Table1[[#This Row],[Category]],"Electronics","ELECTRONICS")</f>
        <v>Home</v>
      </c>
      <c r="BN95" t="s">
        <v>134</v>
      </c>
      <c r="BS95" s="14">
        <v>1</v>
      </c>
      <c r="BT95" s="3">
        <v>3999</v>
      </c>
      <c r="BU95" s="4">
        <v>15</v>
      </c>
      <c r="BV95" s="4" t="str">
        <f>IF(AND(Table1[[#This Row],[Quantity]]&gt;=3,Table1[[#This Row],[Discount_%]]&gt;=15%),"Bulk Discount","no")</f>
        <v>no</v>
      </c>
      <c r="BW95" s="4" t="str">
        <f>IF(AND(Table1[[#This Row],[Quantity]]&gt;3,Table1[[#This Row],[Discount_%]]&gt;15%),"Bulk Customer","Normal")</f>
        <v>Normal</v>
      </c>
      <c r="BX95" t="s">
        <v>187</v>
      </c>
      <c r="BY95" t="s">
        <v>136</v>
      </c>
      <c r="CC95" t="str">
        <f>IF(OR(Table1[[#This Row],[Order_Status]]="Returned",Table1[[#This Row],[Order_Status]]="Cancelled"),"Attention Required","Not")</f>
        <v>Not</v>
      </c>
      <c r="CD95" t="str">
        <f>IF(OR(Table1[[#This Row],[Order_Status]]="Returned",Table1[[#This Row],[Order_Status]]="Cancelled"),"Review","no")</f>
        <v>no</v>
      </c>
      <c r="CE95" t="str">
        <f>SUBSTITUTE(Table1[[#This Row],[Order_Status]],"Delivered","Completed")</f>
        <v>Completed</v>
      </c>
      <c r="CF95" s="2">
        <v>45682</v>
      </c>
      <c r="CG95" s="17">
        <f>NETWORKDAYS(Table1[[#This Row],[Order_Date]],Table1[[#This Row],[Delivery_Date]])</f>
        <v>3</v>
      </c>
      <c r="CH95" s="17">
        <f>Table1[[#This Row],[Delivery_Date]]-Table1[[#This Row],[Order_Date]]</f>
        <v>3</v>
      </c>
      <c r="CI95" t="s">
        <v>137</v>
      </c>
      <c r="CJ95" t="str">
        <f>IF(Table1[[#This Row],[Rating]]&gt;=4,"Good","Needs Improvement")</f>
        <v>Good</v>
      </c>
      <c r="CK95" t="str">
        <f>IF(OR(Table1[[#This Row],[Rating]]&lt;=2,Table1[[#This Row],[Profit]]&lt;0),"Review","NO")</f>
        <v>NO</v>
      </c>
      <c r="CL95" t="str" cm="1">
        <f t="array" ref="CL95">_xlfn.IFS(Table1[[#This Row],[Rating]]&gt;2,"Poor",Table1[[#This Row],[Rating]]=3,"Average",Table1[[#This Row],[Rating]]=4,"Good",CP95=5,"Excellent")</f>
        <v>Poor</v>
      </c>
      <c r="CM95">
        <f>COUNT(Table1[[#This Row],[Rating]])</f>
        <v>1</v>
      </c>
      <c r="CN95">
        <f>COUNTBLANK(Table1[[#This Row],[Rating]])</f>
        <v>0</v>
      </c>
      <c r="CP95" t="s">
        <v>266</v>
      </c>
      <c r="CQ95" s="14">
        <v>4</v>
      </c>
      <c r="CR95" t="s">
        <v>139</v>
      </c>
      <c r="CS95" t="s">
        <v>158</v>
      </c>
      <c r="CU95" s="3">
        <v>3399.15</v>
      </c>
      <c r="CV95" s="3">
        <f>ROUND(Table1[[#This Row],[Sales_Amount]],0)</f>
        <v>3399</v>
      </c>
      <c r="CW95" s="3"/>
      <c r="CX95" s="3"/>
      <c r="CY95" s="3" t="b">
        <f>IF(AND(Table1[[#This Row],[Sales_Amount]]&gt;=10000,Table1[[#This Row],[Profit]]&gt;0),"Good Order")</f>
        <v>0</v>
      </c>
      <c r="CZ95" s="3" t="str">
        <f>IF(Table1[[#This Row],[Sales_Amount]]&gt;=10000,"High","Normal")</f>
        <v>Normal</v>
      </c>
      <c r="DA95" s="3">
        <v>899.15</v>
      </c>
      <c r="DB95" s="3">
        <f>ROUND(Table1[[#This Row],[Profit]],0)</f>
        <v>899</v>
      </c>
      <c r="DC95" s="3">
        <f>ABS(Table1[[#This Row],[Profit]])</f>
        <v>899.15</v>
      </c>
      <c r="DD95" s="3"/>
      <c r="DE95" s="3"/>
      <c r="DF95" s="3"/>
      <c r="DG95" s="3" t="str">
        <f>IF(Table1[[#This Row],[Profit]]&gt;0,"Profit","Loss")</f>
        <v>Profit</v>
      </c>
      <c r="DH95" s="3" t="str">
        <f>IF(AND(Table1[[#This Row],[Sales_Amount]]&gt;=10000,Table1[[#This Row],[Profit]]&gt;0),"Priority","Normal")</f>
        <v>Normal</v>
      </c>
      <c r="DI95" s="3">
        <f t="shared" ca="1" si="9"/>
        <v>0.2696625140288581</v>
      </c>
      <c r="DJ95" s="3">
        <f t="shared" ca="1" si="10"/>
        <v>97</v>
      </c>
      <c r="DK95" s="3"/>
      <c r="DL95" s="3"/>
      <c r="DM95" s="3"/>
      <c r="DN95" s="3"/>
      <c r="DO95" s="3"/>
      <c r="DP95" s="3"/>
    </row>
    <row r="96" spans="1:120">
      <c r="A96" t="s">
        <v>672</v>
      </c>
      <c r="B96" t="str">
        <f>REPLACE(Table1[[#This Row],[Order_ID]],1,3,"YOO")</f>
        <v>YOO10095</v>
      </c>
      <c r="C96" t="str">
        <f>MID(Table1[[#This Row],[Order_ID]],4,4)</f>
        <v>1009</v>
      </c>
      <c r="D96" t="str">
        <f>LEFT(Table1[[#This Row],[Order_ID]],4)</f>
        <v>ORD1</v>
      </c>
      <c r="E96" t="str">
        <f>RIGHT(Table1[[#This Row],[Order_ID]],5)</f>
        <v>10095</v>
      </c>
      <c r="F96" t="s">
        <v>5</v>
      </c>
      <c r="G96">
        <v>10095</v>
      </c>
      <c r="H96" t="s">
        <v>673</v>
      </c>
      <c r="I96" s="2">
        <f>EDATE(Table1[[#This Row],[Order_Date]],3)</f>
        <v>45750</v>
      </c>
      <c r="J96" s="2">
        <f>EDATE(Table1[[#This Row],[Order_Date]],6)</f>
        <v>45841</v>
      </c>
      <c r="K96">
        <f ca="1">YEAR(Table1[[#This Row],[Today]])</f>
        <v>2026</v>
      </c>
      <c r="L96">
        <v>95</v>
      </c>
      <c r="M96">
        <f ca="1">DAY(Table1[[#This Row],[Today]])</f>
        <v>11</v>
      </c>
      <c r="N96" s="19">
        <f t="shared" ca="1" si="13"/>
        <v>46245.589795370368</v>
      </c>
      <c r="O96" s="2">
        <f t="shared" ca="1" si="8"/>
        <v>46245</v>
      </c>
      <c r="P96" s="17">
        <f ca="1">Table1[[#This Row],[Today]]-Table1[[#This Row],[Order_Date]]</f>
        <v>585</v>
      </c>
      <c r="Q96" s="2">
        <v>45752</v>
      </c>
      <c r="R96" s="2">
        <v>45660</v>
      </c>
      <c r="S96" s="6">
        <f t="shared" si="11"/>
        <v>2025</v>
      </c>
      <c r="T96" s="7" t="str">
        <f t="shared" si="12"/>
        <v>January</v>
      </c>
      <c r="U96" s="2">
        <f>WORKDAY(Table1[[#This Row],[Order_Date]],5)</f>
        <v>45667</v>
      </c>
      <c r="V96" s="7" t="str">
        <f>CONCATENATE(Table1[[#This Row],[Customer_ID]],Table1[[#This Row],[Customer_Name]])</f>
        <v>C1029Rahul Sharma</v>
      </c>
      <c r="W96" t="s">
        <v>674</v>
      </c>
      <c r="X96" t="s">
        <v>290</v>
      </c>
      <c r="Y96">
        <f>COUNTA(Table1[[#This Row],[Customer_Name]])</f>
        <v>1</v>
      </c>
      <c r="Z96" t="str">
        <f>SUBSTITUTE(Table1[[#This Row],[Customer_Name]]," ","_")</f>
        <v>Rahul_Sharma</v>
      </c>
      <c r="AA96" s="10">
        <f>IFERROR(SEARCH("a",Table1[[#This Row],[Customer_Name]]),"N/A")</f>
        <v>2</v>
      </c>
      <c r="AB96">
        <f>SEARCH(" ",Table1[[#This Row],[Customer_Name]])</f>
        <v>6</v>
      </c>
      <c r="AC96" s="11">
        <f>IFERROR(FIND("a",Table1[[#This Row],[Customer_Name]]),"N/A")</f>
        <v>2</v>
      </c>
      <c r="AD96">
        <f>FIND(" ",Table1[[#This Row],[Customer_Name]])</f>
        <v>6</v>
      </c>
      <c r="AE96" t="str">
        <f>TRIM(Table1[[#This Row],[Customer_Name]])</f>
        <v>Rahul Sharma</v>
      </c>
      <c r="AF96">
        <f>LEN(Table1[[#This Row],[Trimmed]])</f>
        <v>12</v>
      </c>
      <c r="AG96">
        <f>MAX(Table1[Length])</f>
        <v>15</v>
      </c>
      <c r="AH96" t="str">
        <f>PROPER(Table1[[#This Row],[Customer_Name]])</f>
        <v>Rahul Sharma</v>
      </c>
      <c r="AI96" t="str">
        <f>LOWER(Table1[[#This Row],[Customer_Name]])</f>
        <v>rahul sharma</v>
      </c>
      <c r="AJ96" t="str">
        <f>UPPER(Table1[[#This Row],[Customer_Name]])</f>
        <v>RAHUL SHARMA</v>
      </c>
      <c r="AK96" t="str">
        <f>CONCATENATE(Table1[[#This Row],[Customer_ID]],Table1[[#This Row],[Customer_Name]])</f>
        <v>C1029Rahul Sharma</v>
      </c>
      <c r="AL96" t="s">
        <v>291</v>
      </c>
      <c r="AM96" t="s">
        <v>292</v>
      </c>
      <c r="AN96" t="s">
        <v>245</v>
      </c>
      <c r="AO96" t="s">
        <v>291</v>
      </c>
      <c r="AP96" t="s">
        <v>292</v>
      </c>
      <c r="AQ96" t="s">
        <v>569</v>
      </c>
      <c r="AR96" t="str">
        <f>TRIM(Table1[[#This Row],[City]])</f>
        <v>Delhi</v>
      </c>
      <c r="AS96" t="str">
        <f>PROPER(Table1[[#This Row],[City]])</f>
        <v>Delhi</v>
      </c>
      <c r="AT96" t="s">
        <v>569</v>
      </c>
      <c r="AU96" t="str">
        <f>CONCATENATE(Table1[[#This Row],[City]],Table1[[#This Row],[State]])</f>
        <v>DelhiDelhi</v>
      </c>
      <c r="AV96" t="s">
        <v>150</v>
      </c>
      <c r="AW96" t="s">
        <v>221</v>
      </c>
      <c r="AX96" t="str">
        <f>REPLACE(Table1[[#This Row],[Product_ID]],1,1,"s")</f>
        <v>s106</v>
      </c>
      <c r="AY96" t="s">
        <v>675</v>
      </c>
      <c r="AZ96">
        <f>SEARCH("-",Table1[[#This Row],[Product ID]])</f>
        <v>2</v>
      </c>
      <c r="BA96">
        <f>FIND("-",Table1[[#This Row],[Product ID]])</f>
        <v>2</v>
      </c>
      <c r="BB96" t="str">
        <f>MID(Table1[[#This Row],[Product_ID]],2,3)</f>
        <v>106</v>
      </c>
      <c r="BC96" t="str">
        <f>RIGHT(Table1[[#This Row],[Product_ID]],3)</f>
        <v>106</v>
      </c>
      <c r="BD96" t="str">
        <f>LEFT(Table1[[#This Row],[Product_ID]],3)</f>
        <v>P10</v>
      </c>
      <c r="BE96" t="str">
        <f>_xlfn.XLOOKUP(Table1[[#This Row],[Product_ID]],AW:AW,BF:BF,,0)</f>
        <v>Running Shoes</v>
      </c>
      <c r="BF96" t="s">
        <v>223</v>
      </c>
      <c r="BG96">
        <f>LEN(Table1[[#This Row],[Product_Name]])</f>
        <v>13</v>
      </c>
      <c r="BH96" t="s">
        <v>224</v>
      </c>
      <c r="BI96">
        <f t="shared" si="14"/>
        <v>75</v>
      </c>
      <c r="BJ96" t="str">
        <f>SUBSTITUTE(Table1[[#This Row],[Category]],"Electronics","ELECTRONICS")</f>
        <v>Fashion</v>
      </c>
      <c r="BN96" t="s">
        <v>225</v>
      </c>
      <c r="BS96" s="14">
        <v>3</v>
      </c>
      <c r="BT96" s="3">
        <v>3499</v>
      </c>
      <c r="BU96" s="4">
        <v>5</v>
      </c>
      <c r="BV96" s="4" t="str">
        <f>IF(AND(Table1[[#This Row],[Quantity]]&gt;=3,Table1[[#This Row],[Discount_%]]&gt;=15%),"Bulk Discount","no")</f>
        <v>Bulk Discount</v>
      </c>
      <c r="BW96" s="4" t="str">
        <f>IF(AND(Table1[[#This Row],[Quantity]]&gt;3,Table1[[#This Row],[Discount_%]]&gt;15%),"Bulk Customer","Normal")</f>
        <v>Normal</v>
      </c>
      <c r="BX96" t="s">
        <v>187</v>
      </c>
      <c r="BY96" t="s">
        <v>136</v>
      </c>
      <c r="CC96" t="str">
        <f>IF(OR(Table1[[#This Row],[Order_Status]]="Returned",Table1[[#This Row],[Order_Status]]="Cancelled"),"Attention Required","Not")</f>
        <v>Not</v>
      </c>
      <c r="CD96" t="str">
        <f>IF(OR(Table1[[#This Row],[Order_Status]]="Returned",Table1[[#This Row],[Order_Status]]="Cancelled"),"Review","no")</f>
        <v>no</v>
      </c>
      <c r="CE96" t="str">
        <f>SUBSTITUTE(Table1[[#This Row],[Order_Status]],"Delivered","Completed")</f>
        <v>Completed</v>
      </c>
      <c r="CF96" s="2">
        <v>45665</v>
      </c>
      <c r="CG96" s="17">
        <f>NETWORKDAYS(Table1[[#This Row],[Order_Date]],Table1[[#This Row],[Delivery_Date]])</f>
        <v>4</v>
      </c>
      <c r="CH96" s="17">
        <f>Table1[[#This Row],[Delivery_Date]]-Table1[[#This Row],[Order_Date]]</f>
        <v>5</v>
      </c>
      <c r="CI96" t="s">
        <v>137</v>
      </c>
      <c r="CJ96" t="str">
        <f>IF(Table1[[#This Row],[Rating]]&gt;=4,"Good","Needs Improvement")</f>
        <v>Needs Improvement</v>
      </c>
      <c r="CK96" t="str">
        <f>IF(OR(Table1[[#This Row],[Rating]]&lt;=2,Table1[[#This Row],[Profit]]&lt;0),"Review","NO")</f>
        <v>NO</v>
      </c>
      <c r="CL96" t="str" cm="1">
        <f t="array" ref="CL96">_xlfn.IFS(Table1[[#This Row],[Rating]]&gt;2,"Poor",Table1[[#This Row],[Rating]]=3,"Average",Table1[[#This Row],[Rating]]=4,"Good",CP96=5,"Excellent")</f>
        <v>Poor</v>
      </c>
      <c r="CM96">
        <f>COUNT(Table1[[#This Row],[Rating]])</f>
        <v>1</v>
      </c>
      <c r="CN96">
        <f>COUNTBLANK(Table1[[#This Row],[Rating]])</f>
        <v>0</v>
      </c>
      <c r="CP96" t="s">
        <v>331</v>
      </c>
      <c r="CQ96" s="14">
        <v>3</v>
      </c>
      <c r="CR96" t="s">
        <v>173</v>
      </c>
      <c r="CS96" t="s">
        <v>158</v>
      </c>
      <c r="CU96" s="3">
        <v>9972.15</v>
      </c>
      <c r="CV96" s="3">
        <f>ROUND(Table1[[#This Row],[Sales_Amount]],0)</f>
        <v>9972</v>
      </c>
      <c r="CW96" s="3"/>
      <c r="CX96" s="3"/>
      <c r="CY96" s="3" t="b">
        <f>IF(AND(Table1[[#This Row],[Sales_Amount]]&gt;=10000,Table1[[#This Row],[Profit]]&gt;0),"Good Order")</f>
        <v>0</v>
      </c>
      <c r="CZ96" s="3" t="str">
        <f>IF(Table1[[#This Row],[Sales_Amount]]&gt;=10000,"High","Normal")</f>
        <v>Normal</v>
      </c>
      <c r="DA96" s="3">
        <v>4272.1499999999996</v>
      </c>
      <c r="DB96" s="3">
        <f>ROUND(Table1[[#This Row],[Profit]],0)</f>
        <v>4272</v>
      </c>
      <c r="DC96" s="3">
        <f>ABS(Table1[[#This Row],[Profit]])</f>
        <v>4272.1499999999996</v>
      </c>
      <c r="DD96" s="3"/>
      <c r="DE96" s="3"/>
      <c r="DF96" s="3"/>
      <c r="DG96" s="3" t="str">
        <f>IF(Table1[[#This Row],[Profit]]&gt;0,"Profit","Loss")</f>
        <v>Profit</v>
      </c>
      <c r="DH96" s="3" t="str">
        <f>IF(AND(Table1[[#This Row],[Sales_Amount]]&gt;=10000,Table1[[#This Row],[Profit]]&gt;0),"Priority","Normal")</f>
        <v>Normal</v>
      </c>
      <c r="DI96" s="3">
        <f t="shared" ca="1" si="9"/>
        <v>0.81650381909506775</v>
      </c>
      <c r="DJ96" s="3">
        <f t="shared" ca="1" si="10"/>
        <v>36</v>
      </c>
      <c r="DK96" s="3"/>
      <c r="DL96" s="3"/>
      <c r="DM96" s="3"/>
      <c r="DN96" s="3"/>
      <c r="DO96" s="3"/>
      <c r="DP96" s="3"/>
    </row>
    <row r="97" spans="1:120">
      <c r="A97" t="s">
        <v>676</v>
      </c>
      <c r="B97" t="str">
        <f>REPLACE(Table1[[#This Row],[Order_ID]],1,3,"YOO")</f>
        <v>YOO10096</v>
      </c>
      <c r="C97" t="str">
        <f>MID(Table1[[#This Row],[Order_ID]],4,4)</f>
        <v>1009</v>
      </c>
      <c r="D97" t="str">
        <f>LEFT(Table1[[#This Row],[Order_ID]],4)</f>
        <v>ORD1</v>
      </c>
      <c r="E97" t="str">
        <f>RIGHT(Table1[[#This Row],[Order_ID]],5)</f>
        <v>10096</v>
      </c>
      <c r="F97" t="s">
        <v>5</v>
      </c>
      <c r="G97">
        <v>10096</v>
      </c>
      <c r="H97" t="s">
        <v>677</v>
      </c>
      <c r="I97" s="2">
        <f>EDATE(Table1[[#This Row],[Order_Date]],3)</f>
        <v>45764</v>
      </c>
      <c r="J97" s="2">
        <f>EDATE(Table1[[#This Row],[Order_Date]],6)</f>
        <v>45855</v>
      </c>
      <c r="K97">
        <f ca="1">YEAR(Table1[[#This Row],[Today]])</f>
        <v>2026</v>
      </c>
      <c r="L97">
        <v>96</v>
      </c>
      <c r="M97">
        <f ca="1">DAY(Table1[[#This Row],[Today]])</f>
        <v>11</v>
      </c>
      <c r="N97" s="19">
        <f t="shared" ca="1" si="13"/>
        <v>46245.589795370368</v>
      </c>
      <c r="O97" s="2">
        <f t="shared" ca="1" si="8"/>
        <v>46245</v>
      </c>
      <c r="P97" s="17">
        <f ca="1">Table1[[#This Row],[Today]]-Table1[[#This Row],[Order_Date]]</f>
        <v>571</v>
      </c>
      <c r="Q97" s="2">
        <v>45753</v>
      </c>
      <c r="R97" s="2">
        <v>45674</v>
      </c>
      <c r="S97" s="6">
        <f t="shared" si="11"/>
        <v>2025</v>
      </c>
      <c r="T97" s="7" t="str">
        <f t="shared" si="12"/>
        <v>January</v>
      </c>
      <c r="U97" s="2">
        <f>WORKDAY(Table1[[#This Row],[Order_Date]],5)</f>
        <v>45681</v>
      </c>
      <c r="V97" s="7" t="str">
        <f>CONCATENATE(Table1[[#This Row],[Customer_ID]],Table1[[#This Row],[Customer_Name]])</f>
        <v>C1135Neha Gupta</v>
      </c>
      <c r="W97" t="s">
        <v>678</v>
      </c>
      <c r="X97" t="s">
        <v>229</v>
      </c>
      <c r="Y97">
        <f>COUNTA(Table1[[#This Row],[Customer_Name]])</f>
        <v>1</v>
      </c>
      <c r="Z97" t="str">
        <f>SUBSTITUTE(Table1[[#This Row],[Customer_Name]]," ","_")</f>
        <v>Neha_Gupta</v>
      </c>
      <c r="AA97" s="10">
        <f>IFERROR(SEARCH("a",Table1[[#This Row],[Customer_Name]]),"N/A")</f>
        <v>4</v>
      </c>
      <c r="AB97">
        <f>SEARCH(" ",Table1[[#This Row],[Customer_Name]])</f>
        <v>5</v>
      </c>
      <c r="AC97" s="11">
        <f>IFERROR(FIND("a",Table1[[#This Row],[Customer_Name]]),"N/A")</f>
        <v>4</v>
      </c>
      <c r="AD97">
        <f>FIND(" ",Table1[[#This Row],[Customer_Name]])</f>
        <v>5</v>
      </c>
      <c r="AE97" t="str">
        <f>TRIM(Table1[[#This Row],[Customer_Name]])</f>
        <v>Neha Gupta</v>
      </c>
      <c r="AF97">
        <f>LEN(Table1[[#This Row],[Trimmed]])</f>
        <v>10</v>
      </c>
      <c r="AG97">
        <f>MAX(Table1[Length])</f>
        <v>15</v>
      </c>
      <c r="AH97" t="str">
        <f>PROPER(Table1[[#This Row],[Customer_Name]])</f>
        <v>Neha Gupta</v>
      </c>
      <c r="AI97" t="str">
        <f>LOWER(Table1[[#This Row],[Customer_Name]])</f>
        <v>neha gupta</v>
      </c>
      <c r="AJ97" t="str">
        <f>UPPER(Table1[[#This Row],[Customer_Name]])</f>
        <v>NEHA GUPTA</v>
      </c>
      <c r="AK97" t="str">
        <f>CONCATENATE(Table1[[#This Row],[Customer_ID]],Table1[[#This Row],[Customer_Name]])</f>
        <v>C1135Neha Gupta</v>
      </c>
      <c r="AL97" t="s">
        <v>230</v>
      </c>
      <c r="AM97" t="s">
        <v>231</v>
      </c>
      <c r="AN97" t="s">
        <v>232</v>
      </c>
      <c r="AO97" t="s">
        <v>230</v>
      </c>
      <c r="AP97" t="s">
        <v>231</v>
      </c>
      <c r="AQ97" t="s">
        <v>344</v>
      </c>
      <c r="AR97" t="str">
        <f>TRIM(Table1[[#This Row],[City]])</f>
        <v>Bhopal</v>
      </c>
      <c r="AS97" t="str">
        <f>PROPER(Table1[[#This Row],[City]])</f>
        <v>Bhopal</v>
      </c>
      <c r="AT97" t="s">
        <v>345</v>
      </c>
      <c r="AU97" t="str">
        <f>CONCATENATE(Table1[[#This Row],[City]],Table1[[#This Row],[State]])</f>
        <v>BhopalMadhya Pradesh</v>
      </c>
      <c r="AV97" t="s">
        <v>346</v>
      </c>
      <c r="AW97" t="s">
        <v>363</v>
      </c>
      <c r="AX97" t="str">
        <f>REPLACE(Table1[[#This Row],[Product_ID]],1,1,"s")</f>
        <v>s110</v>
      </c>
      <c r="AY97" t="s">
        <v>679</v>
      </c>
      <c r="AZ97">
        <f>SEARCH("-",Table1[[#This Row],[Product ID]])</f>
        <v>2</v>
      </c>
      <c r="BA97">
        <f>FIND("-",Table1[[#This Row],[Product ID]])</f>
        <v>2</v>
      </c>
      <c r="BB97" t="str">
        <f>MID(Table1[[#This Row],[Product_ID]],2,3)</f>
        <v>110</v>
      </c>
      <c r="BC97" t="str">
        <f>RIGHT(Table1[[#This Row],[Product_ID]],3)</f>
        <v>110</v>
      </c>
      <c r="BD97" t="str">
        <f>LEFT(Table1[[#This Row],[Product_ID]],3)</f>
        <v>P11</v>
      </c>
      <c r="BE97" t="str">
        <f>_xlfn.XLOOKUP(Table1[[#This Row],[Product_ID]],AW:AW,BF:BF,,0)</f>
        <v>Smart Watch</v>
      </c>
      <c r="BF97" t="s">
        <v>365</v>
      </c>
      <c r="BG97">
        <f>LEN(Table1[[#This Row],[Product_Name]])</f>
        <v>11</v>
      </c>
      <c r="BH97" t="s">
        <v>154</v>
      </c>
      <c r="BI97">
        <f t="shared" si="14"/>
        <v>75</v>
      </c>
      <c r="BJ97" t="str">
        <f>SUBSTITUTE(Table1[[#This Row],[Category]],"Electronics","ELECTRONICS")</f>
        <v>ELECTRONICS</v>
      </c>
      <c r="BN97" t="s">
        <v>366</v>
      </c>
      <c r="BS97" s="14">
        <v>2</v>
      </c>
      <c r="BT97" s="3">
        <v>4999</v>
      </c>
      <c r="BU97" s="4">
        <v>10</v>
      </c>
      <c r="BV97" s="4" t="str">
        <f>IF(AND(Table1[[#This Row],[Quantity]]&gt;=3,Table1[[#This Row],[Discount_%]]&gt;=15%),"Bulk Discount","no")</f>
        <v>no</v>
      </c>
      <c r="BW97" s="4" t="str">
        <f>IF(AND(Table1[[#This Row],[Quantity]]&gt;3,Table1[[#This Row],[Discount_%]]&gt;15%),"Bulk Customer","Normal")</f>
        <v>Normal</v>
      </c>
      <c r="BX97" t="s">
        <v>172</v>
      </c>
      <c r="BY97" t="s">
        <v>136</v>
      </c>
      <c r="CC97" t="str">
        <f>IF(OR(Table1[[#This Row],[Order_Status]]="Returned",Table1[[#This Row],[Order_Status]]="Cancelled"),"Attention Required","Not")</f>
        <v>Not</v>
      </c>
      <c r="CD97" t="str">
        <f>IF(OR(Table1[[#This Row],[Order_Status]]="Returned",Table1[[#This Row],[Order_Status]]="Cancelled"),"Review","no")</f>
        <v>no</v>
      </c>
      <c r="CE97" t="str">
        <f>SUBSTITUTE(Table1[[#This Row],[Order_Status]],"Delivered","Completed")</f>
        <v>Completed</v>
      </c>
      <c r="CF97" s="2">
        <v>45677</v>
      </c>
      <c r="CG97" s="17">
        <f>NETWORKDAYS(Table1[[#This Row],[Order_Date]],Table1[[#This Row],[Delivery_Date]])</f>
        <v>2</v>
      </c>
      <c r="CH97" s="17">
        <f>Table1[[#This Row],[Delivery_Date]]-Table1[[#This Row],[Order_Date]]</f>
        <v>3</v>
      </c>
      <c r="CI97" t="s">
        <v>137</v>
      </c>
      <c r="CJ97" t="str">
        <f>IF(Table1[[#This Row],[Rating]]&gt;=4,"Good","Needs Improvement")</f>
        <v>Good</v>
      </c>
      <c r="CK97" t="str">
        <f>IF(OR(Table1[[#This Row],[Rating]]&lt;=2,Table1[[#This Row],[Profit]]&lt;0),"Review","NO")</f>
        <v>NO</v>
      </c>
      <c r="CL97" t="str" cm="1">
        <f t="array" ref="CL97">_xlfn.IFS(Table1[[#This Row],[Rating]]&gt;2,"Poor",Table1[[#This Row],[Rating]]=3,"Average",Table1[[#This Row],[Rating]]=4,"Good",CP97=5,"Excellent")</f>
        <v>Poor</v>
      </c>
      <c r="CM97">
        <f>COUNT(Table1[[#This Row],[Rating]])</f>
        <v>1</v>
      </c>
      <c r="CN97">
        <f>COUNTBLANK(Table1[[#This Row],[Rating]])</f>
        <v>0</v>
      </c>
      <c r="CP97" t="s">
        <v>138</v>
      </c>
      <c r="CQ97" s="14">
        <v>5</v>
      </c>
      <c r="CR97" t="s">
        <v>173</v>
      </c>
      <c r="CS97" t="s">
        <v>195</v>
      </c>
      <c r="CU97" s="3">
        <v>8998.2000000000007</v>
      </c>
      <c r="CV97" s="3">
        <f>ROUND(Table1[[#This Row],[Sales_Amount]],0)</f>
        <v>8998</v>
      </c>
      <c r="CW97" s="3"/>
      <c r="CX97" s="3"/>
      <c r="CY97" s="3" t="b">
        <f>IF(AND(Table1[[#This Row],[Sales_Amount]]&gt;=10000,Table1[[#This Row],[Profit]]&gt;0),"Good Order")</f>
        <v>0</v>
      </c>
      <c r="CZ97" s="3" t="str">
        <f>IF(Table1[[#This Row],[Sales_Amount]]&gt;=10000,"High","Normal")</f>
        <v>Normal</v>
      </c>
      <c r="DA97" s="3">
        <v>2798.2</v>
      </c>
      <c r="DB97" s="3">
        <f>ROUND(Table1[[#This Row],[Profit]],0)</f>
        <v>2798</v>
      </c>
      <c r="DC97" s="3">
        <f>ABS(Table1[[#This Row],[Profit]])</f>
        <v>2798.2</v>
      </c>
      <c r="DD97" s="3"/>
      <c r="DE97" s="3"/>
      <c r="DF97" s="3"/>
      <c r="DG97" s="3" t="str">
        <f>IF(Table1[[#This Row],[Profit]]&gt;0,"Profit","Loss")</f>
        <v>Profit</v>
      </c>
      <c r="DH97" s="3" t="str">
        <f>IF(AND(Table1[[#This Row],[Sales_Amount]]&gt;=10000,Table1[[#This Row],[Profit]]&gt;0),"Priority","Normal")</f>
        <v>Normal</v>
      </c>
      <c r="DI97" s="3">
        <f t="shared" ca="1" si="9"/>
        <v>0.58276715218003483</v>
      </c>
      <c r="DJ97" s="3">
        <f t="shared" ca="1" si="10"/>
        <v>4</v>
      </c>
      <c r="DK97" s="3"/>
      <c r="DL97" s="3"/>
      <c r="DM97" s="3"/>
      <c r="DN97" s="3"/>
      <c r="DO97" s="3"/>
      <c r="DP97" s="3"/>
    </row>
    <row r="98" spans="1:120">
      <c r="A98" t="s">
        <v>680</v>
      </c>
      <c r="B98" t="str">
        <f>REPLACE(Table1[[#This Row],[Order_ID]],1,3,"YOO")</f>
        <v>YOO10097</v>
      </c>
      <c r="C98" t="str">
        <f>MID(Table1[[#This Row],[Order_ID]],4,4)</f>
        <v>1009</v>
      </c>
      <c r="D98" t="str">
        <f>LEFT(Table1[[#This Row],[Order_ID]],4)</f>
        <v>ORD1</v>
      </c>
      <c r="E98" t="str">
        <f>RIGHT(Table1[[#This Row],[Order_ID]],5)</f>
        <v>10097</v>
      </c>
      <c r="F98" t="s">
        <v>5</v>
      </c>
      <c r="G98">
        <v>10097</v>
      </c>
      <c r="H98" t="s">
        <v>681</v>
      </c>
      <c r="I98" s="2">
        <f>EDATE(Table1[[#This Row],[Order_Date]],3)</f>
        <v>45860</v>
      </c>
      <c r="J98" s="2">
        <f>EDATE(Table1[[#This Row],[Order_Date]],6)</f>
        <v>45952</v>
      </c>
      <c r="K98">
        <f ca="1">YEAR(Table1[[#This Row],[Today]])</f>
        <v>2026</v>
      </c>
      <c r="L98">
        <v>97</v>
      </c>
      <c r="M98">
        <f ca="1">DAY(Table1[[#This Row],[Today]])</f>
        <v>11</v>
      </c>
      <c r="N98" s="19">
        <f t="shared" ca="1" si="13"/>
        <v>46245.589795138891</v>
      </c>
      <c r="O98" s="2">
        <f t="shared" ca="1" si="8"/>
        <v>46245</v>
      </c>
      <c r="P98" s="17">
        <f ca="1">Table1[[#This Row],[Today]]-Table1[[#This Row],[Order_Date]]</f>
        <v>476</v>
      </c>
      <c r="Q98" s="2">
        <v>45754</v>
      </c>
      <c r="R98" s="2">
        <v>45769</v>
      </c>
      <c r="S98" s="6">
        <f t="shared" si="11"/>
        <v>2025</v>
      </c>
      <c r="T98" s="7" t="str">
        <f t="shared" si="12"/>
        <v>April</v>
      </c>
      <c r="U98" s="2">
        <f>WORKDAY(Table1[[#This Row],[Order_Date]],5)</f>
        <v>45776</v>
      </c>
      <c r="V98" s="7" t="str">
        <f>CONCATENATE(Table1[[#This Row],[Customer_ID]],Table1[[#This Row],[Customer_Name]])</f>
        <v>C1118Rahul Sharma</v>
      </c>
      <c r="W98" t="s">
        <v>354</v>
      </c>
      <c r="X98" t="s">
        <v>290</v>
      </c>
      <c r="Y98">
        <f>COUNTA(Table1[[#This Row],[Customer_Name]])</f>
        <v>1</v>
      </c>
      <c r="Z98" t="str">
        <f>SUBSTITUTE(Table1[[#This Row],[Customer_Name]]," ","_")</f>
        <v>Rahul_Sharma</v>
      </c>
      <c r="AA98" s="10">
        <f>IFERROR(SEARCH("a",Table1[[#This Row],[Customer_Name]]),"N/A")</f>
        <v>2</v>
      </c>
      <c r="AB98">
        <f>SEARCH(" ",Table1[[#This Row],[Customer_Name]])</f>
        <v>6</v>
      </c>
      <c r="AC98" s="11">
        <f>IFERROR(FIND("a",Table1[[#This Row],[Customer_Name]]),"N/A")</f>
        <v>2</v>
      </c>
      <c r="AD98">
        <f>FIND(" ",Table1[[#This Row],[Customer_Name]])</f>
        <v>6</v>
      </c>
      <c r="AE98" t="str">
        <f>TRIM(Table1[[#This Row],[Customer_Name]])</f>
        <v>Rahul Sharma</v>
      </c>
      <c r="AF98">
        <f>LEN(Table1[[#This Row],[Trimmed]])</f>
        <v>12</v>
      </c>
      <c r="AG98">
        <f>MAX(Table1[Length])</f>
        <v>15</v>
      </c>
      <c r="AH98" t="str">
        <f>PROPER(Table1[[#This Row],[Customer_Name]])</f>
        <v>Rahul Sharma</v>
      </c>
      <c r="AI98" t="str">
        <f>LOWER(Table1[[#This Row],[Customer_Name]])</f>
        <v>rahul sharma</v>
      </c>
      <c r="AJ98" t="str">
        <f>UPPER(Table1[[#This Row],[Customer_Name]])</f>
        <v>RAHUL SHARMA</v>
      </c>
      <c r="AK98" t="str">
        <f>CONCATENATE(Table1[[#This Row],[Customer_ID]],Table1[[#This Row],[Customer_Name]])</f>
        <v>C1118Rahul Sharma</v>
      </c>
      <c r="AL98" t="s">
        <v>291</v>
      </c>
      <c r="AM98" t="s">
        <v>292</v>
      </c>
      <c r="AN98" t="s">
        <v>245</v>
      </c>
      <c r="AO98" t="s">
        <v>291</v>
      </c>
      <c r="AP98" t="s">
        <v>292</v>
      </c>
      <c r="AQ98" t="s">
        <v>233</v>
      </c>
      <c r="AR98" t="str">
        <f>TRIM(Table1[[#This Row],[City]])</f>
        <v>Kolkata</v>
      </c>
      <c r="AS98" t="str">
        <f>PROPER(Table1[[#This Row],[City]])</f>
        <v>Kolkata</v>
      </c>
      <c r="AT98" t="s">
        <v>234</v>
      </c>
      <c r="AU98" t="str">
        <f>CONCATENATE(Table1[[#This Row],[City]],Table1[[#This Row],[State]])</f>
        <v>KolkataWest Bengal</v>
      </c>
      <c r="AV98" t="s">
        <v>235</v>
      </c>
      <c r="AW98" t="s">
        <v>477</v>
      </c>
      <c r="AX98" t="str">
        <f>REPLACE(Table1[[#This Row],[Product_ID]],1,1,"s")</f>
        <v>s109</v>
      </c>
      <c r="AY98" t="s">
        <v>682</v>
      </c>
      <c r="AZ98">
        <f>SEARCH("-",Table1[[#This Row],[Product ID]])</f>
        <v>2</v>
      </c>
      <c r="BA98">
        <f>FIND("-",Table1[[#This Row],[Product ID]])</f>
        <v>2</v>
      </c>
      <c r="BB98" t="str">
        <f>MID(Table1[[#This Row],[Product_ID]],2,3)</f>
        <v>109</v>
      </c>
      <c r="BC98" t="str">
        <f>RIGHT(Table1[[#This Row],[Product_ID]],3)</f>
        <v>109</v>
      </c>
      <c r="BD98" t="str">
        <f>LEFT(Table1[[#This Row],[Product_ID]],3)</f>
        <v>P10</v>
      </c>
      <c r="BE98" t="str">
        <f>_xlfn.XLOOKUP(Table1[[#This Row],[Product_ID]],AW:AW,BF:BF,,0)</f>
        <v>Backpack</v>
      </c>
      <c r="BF98" t="s">
        <v>479</v>
      </c>
      <c r="BG98">
        <f>LEN(Table1[[#This Row],[Product_Name]])</f>
        <v>8</v>
      </c>
      <c r="BH98" t="s">
        <v>224</v>
      </c>
      <c r="BI98">
        <f t="shared" si="14"/>
        <v>75</v>
      </c>
      <c r="BJ98" t="str">
        <f>SUBSTITUTE(Table1[[#This Row],[Category]],"Electronics","ELECTRONICS")</f>
        <v>Fashion</v>
      </c>
      <c r="BN98" t="s">
        <v>480</v>
      </c>
      <c r="BS98" s="14">
        <v>4</v>
      </c>
      <c r="BT98" s="3">
        <v>2299</v>
      </c>
      <c r="BU98" s="4">
        <v>10</v>
      </c>
      <c r="BV98" s="4" t="str">
        <f>IF(AND(Table1[[#This Row],[Quantity]]&gt;=3,Table1[[#This Row],[Discount_%]]&gt;=15%),"Bulk Discount","no")</f>
        <v>Bulk Discount</v>
      </c>
      <c r="BW98" s="4" t="str">
        <f>IF(AND(Table1[[#This Row],[Quantity]]&gt;3,Table1[[#This Row],[Discount_%]]&gt;15%),"Bulk Customer","Normal")</f>
        <v>Bulk Customer</v>
      </c>
      <c r="BX98" t="s">
        <v>172</v>
      </c>
      <c r="BY98" t="s">
        <v>156</v>
      </c>
      <c r="CC98" t="str">
        <f>IF(OR(Table1[[#This Row],[Order_Status]]="Returned",Table1[[#This Row],[Order_Status]]="Cancelled"),"Attention Required","Not")</f>
        <v>Attention Required</v>
      </c>
      <c r="CD98" t="str">
        <f>IF(OR(Table1[[#This Row],[Order_Status]]="Returned",Table1[[#This Row],[Order_Status]]="Cancelled"),"Review","no")</f>
        <v>Review</v>
      </c>
      <c r="CE98" t="str">
        <f>SUBSTITUTE(Table1[[#This Row],[Order_Status]],"Delivered","Completed")</f>
        <v>Cancelled</v>
      </c>
      <c r="CF98" s="2">
        <v>45770</v>
      </c>
      <c r="CG98" s="17">
        <f>NETWORKDAYS(Table1[[#This Row],[Order_Date]],Table1[[#This Row],[Delivery_Date]])</f>
        <v>2</v>
      </c>
      <c r="CH98" s="17">
        <f>Table1[[#This Row],[Delivery_Date]]-Table1[[#This Row],[Order_Date]]</f>
        <v>1</v>
      </c>
      <c r="CI98" t="s">
        <v>137</v>
      </c>
      <c r="CJ98" t="str">
        <f>IF(Table1[[#This Row],[Rating]]&gt;=4,"Good","Needs Improvement")</f>
        <v>Good</v>
      </c>
      <c r="CK98" t="str">
        <f>IF(OR(Table1[[#This Row],[Rating]]&lt;=2,Table1[[#This Row],[Profit]]&lt;0),"Review","NO")</f>
        <v>NO</v>
      </c>
      <c r="CL98" t="str" cm="1">
        <f t="array" ref="CL98">_xlfn.IFS(Table1[[#This Row],[Rating]]&gt;2,"Poor",Table1[[#This Row],[Rating]]=3,"Average",Table1[[#This Row],[Rating]]=4,"Good",CP98=5,"Excellent")</f>
        <v>Poor</v>
      </c>
      <c r="CM98">
        <f>COUNT(Table1[[#This Row],[Rating]])</f>
        <v>1</v>
      </c>
      <c r="CN98">
        <f>COUNTBLANK(Table1[[#This Row],[Rating]])</f>
        <v>0</v>
      </c>
      <c r="CP98" t="s">
        <v>138</v>
      </c>
      <c r="CQ98" s="14">
        <v>4</v>
      </c>
      <c r="CR98" t="s">
        <v>173</v>
      </c>
      <c r="CS98" t="s">
        <v>267</v>
      </c>
      <c r="CU98" s="3">
        <v>8276.4</v>
      </c>
      <c r="CV98" s="3">
        <f>ROUND(Table1[[#This Row],[Sales_Amount]],0)</f>
        <v>8276</v>
      </c>
      <c r="CW98" s="3"/>
      <c r="CX98" s="3"/>
      <c r="CY98" s="3" t="b">
        <f>IF(AND(Table1[[#This Row],[Sales_Amount]]&gt;=10000,Table1[[#This Row],[Profit]]&gt;0),"Good Order")</f>
        <v>0</v>
      </c>
      <c r="CZ98" s="3" t="str">
        <f>IF(Table1[[#This Row],[Sales_Amount]]&gt;=10000,"High","Normal")</f>
        <v>Normal</v>
      </c>
      <c r="DA98" s="3">
        <v>3276.4</v>
      </c>
      <c r="DB98" s="3">
        <f>ROUND(Table1[[#This Row],[Profit]],0)</f>
        <v>3276</v>
      </c>
      <c r="DC98" s="3">
        <f>ABS(Table1[[#This Row],[Profit]])</f>
        <v>3276.4</v>
      </c>
      <c r="DD98" s="3"/>
      <c r="DE98" s="3"/>
      <c r="DF98" s="3"/>
      <c r="DG98" s="3" t="str">
        <f>IF(Table1[[#This Row],[Profit]]&gt;0,"Profit","Loss")</f>
        <v>Profit</v>
      </c>
      <c r="DH98" s="3" t="str">
        <f>IF(AND(Table1[[#This Row],[Sales_Amount]]&gt;=10000,Table1[[#This Row],[Profit]]&gt;0),"Priority","Normal")</f>
        <v>Normal</v>
      </c>
      <c r="DI98" s="3">
        <f t="shared" ca="1" si="9"/>
        <v>0.54362420454660665</v>
      </c>
      <c r="DJ98" s="3">
        <f t="shared" ca="1" si="10"/>
        <v>16</v>
      </c>
      <c r="DK98" s="3"/>
      <c r="DL98" s="3"/>
      <c r="DM98" s="3"/>
      <c r="DN98" s="3"/>
      <c r="DO98" s="3"/>
      <c r="DP98" s="3"/>
    </row>
    <row r="99" spans="1:120">
      <c r="A99" t="s">
        <v>683</v>
      </c>
      <c r="B99" t="str">
        <f>REPLACE(Table1[[#This Row],[Order_ID]],1,3,"YOO")</f>
        <v>YOO10098</v>
      </c>
      <c r="C99" t="str">
        <f>MID(Table1[[#This Row],[Order_ID]],4,4)</f>
        <v>1009</v>
      </c>
      <c r="D99" t="str">
        <f>LEFT(Table1[[#This Row],[Order_ID]],4)</f>
        <v>ORD1</v>
      </c>
      <c r="E99" t="str">
        <f>RIGHT(Table1[[#This Row],[Order_ID]],5)</f>
        <v>10098</v>
      </c>
      <c r="F99" t="s">
        <v>5</v>
      </c>
      <c r="G99">
        <v>10098</v>
      </c>
      <c r="H99" t="s">
        <v>684</v>
      </c>
      <c r="I99" s="2">
        <f>EDATE(Table1[[#This Row],[Order_Date]],3)</f>
        <v>46252</v>
      </c>
      <c r="J99" s="2">
        <f>EDATE(Table1[[#This Row],[Order_Date]],6)</f>
        <v>46344</v>
      </c>
      <c r="K99">
        <f ca="1">YEAR(Table1[[#This Row],[Today]])</f>
        <v>2026</v>
      </c>
      <c r="L99">
        <v>98</v>
      </c>
      <c r="M99">
        <f ca="1">DAY(Table1[[#This Row],[Today]])</f>
        <v>11</v>
      </c>
      <c r="N99" s="19">
        <f t="shared" ca="1" si="13"/>
        <v>46245.589795370368</v>
      </c>
      <c r="O99" s="2">
        <f t="shared" ca="1" si="8"/>
        <v>46245</v>
      </c>
      <c r="P99" s="17">
        <f ca="1">Table1[[#This Row],[Today]]-Table1[[#This Row],[Order_Date]]</f>
        <v>85</v>
      </c>
      <c r="Q99" s="2">
        <v>45755</v>
      </c>
      <c r="R99" s="2">
        <v>46160</v>
      </c>
      <c r="S99" s="6">
        <f t="shared" si="11"/>
        <v>2026</v>
      </c>
      <c r="T99" s="7" t="str">
        <f t="shared" si="12"/>
        <v>May</v>
      </c>
      <c r="U99" s="2">
        <f>WORKDAY(Table1[[#This Row],[Order_Date]],5)</f>
        <v>46167</v>
      </c>
      <c r="V99" s="7" t="str">
        <f>CONCATENATE(Table1[[#This Row],[Customer_ID]],Table1[[#This Row],[Customer_Name]])</f>
        <v>C1017Rohan Mehta</v>
      </c>
      <c r="W99" t="s">
        <v>685</v>
      </c>
      <c r="X99" t="s">
        <v>388</v>
      </c>
      <c r="Y99">
        <f>COUNTA(Table1[[#This Row],[Customer_Name]])</f>
        <v>1</v>
      </c>
      <c r="Z99" t="str">
        <f>SUBSTITUTE(Table1[[#This Row],[Customer_Name]]," ","_")</f>
        <v>Rohan_Mehta</v>
      </c>
      <c r="AA99" s="10">
        <f>IFERROR(SEARCH("a",Table1[[#This Row],[Customer_Name]]),"N/A")</f>
        <v>4</v>
      </c>
      <c r="AB99">
        <f>SEARCH(" ",Table1[[#This Row],[Customer_Name]])</f>
        <v>6</v>
      </c>
      <c r="AC99" s="11">
        <f>IFERROR(FIND("a",Table1[[#This Row],[Customer_Name]]),"N/A")</f>
        <v>4</v>
      </c>
      <c r="AD99">
        <f>FIND(" ",Table1[[#This Row],[Customer_Name]])</f>
        <v>6</v>
      </c>
      <c r="AE99" t="str">
        <f>TRIM(Table1[[#This Row],[Customer_Name]])</f>
        <v>Rohan Mehta</v>
      </c>
      <c r="AF99">
        <f>LEN(Table1[[#This Row],[Trimmed]])</f>
        <v>11</v>
      </c>
      <c r="AG99">
        <f>MAX(Table1[Length])</f>
        <v>15</v>
      </c>
      <c r="AH99" t="str">
        <f>PROPER(Table1[[#This Row],[Customer_Name]])</f>
        <v>Rohan Mehta</v>
      </c>
      <c r="AI99" t="str">
        <f>LOWER(Table1[[#This Row],[Customer_Name]])</f>
        <v>rohan mehta</v>
      </c>
      <c r="AJ99" t="str">
        <f>UPPER(Table1[[#This Row],[Customer_Name]])</f>
        <v>ROHAN MEHTA</v>
      </c>
      <c r="AK99" t="str">
        <f>CONCATENATE(Table1[[#This Row],[Customer_ID]],Table1[[#This Row],[Customer_Name]])</f>
        <v>C1017Rohan Mehta</v>
      </c>
      <c r="AL99" t="s">
        <v>389</v>
      </c>
      <c r="AM99" t="s">
        <v>390</v>
      </c>
      <c r="AN99" t="s">
        <v>391</v>
      </c>
      <c r="AO99" t="s">
        <v>389</v>
      </c>
      <c r="AP99" t="s">
        <v>390</v>
      </c>
      <c r="AQ99" t="s">
        <v>127</v>
      </c>
      <c r="AR99" t="str">
        <f>TRIM(Table1[[#This Row],[City]])</f>
        <v>Pune</v>
      </c>
      <c r="AS99" t="str">
        <f>PROPER(Table1[[#This Row],[City]])</f>
        <v>Pune</v>
      </c>
      <c r="AT99" t="s">
        <v>128</v>
      </c>
      <c r="AU99" t="str">
        <f>CONCATENATE(Table1[[#This Row],[City]],Table1[[#This Row],[State]])</f>
        <v>PuneMaharashtra</v>
      </c>
      <c r="AV99" t="s">
        <v>129</v>
      </c>
      <c r="AW99" t="s">
        <v>130</v>
      </c>
      <c r="AX99" t="str">
        <f>REPLACE(Table1[[#This Row],[Product_ID]],1,1,"s")</f>
        <v>s111</v>
      </c>
      <c r="AY99" t="s">
        <v>686</v>
      </c>
      <c r="AZ99">
        <f>SEARCH("-",Table1[[#This Row],[Product ID]])</f>
        <v>2</v>
      </c>
      <c r="BA99">
        <f>FIND("-",Table1[[#This Row],[Product ID]])</f>
        <v>2</v>
      </c>
      <c r="BB99" t="str">
        <f>MID(Table1[[#This Row],[Product_ID]],2,3)</f>
        <v>111</v>
      </c>
      <c r="BC99" t="str">
        <f>RIGHT(Table1[[#This Row],[Product_ID]],3)</f>
        <v>111</v>
      </c>
      <c r="BD99" t="str">
        <f>LEFT(Table1[[#This Row],[Product_ID]],3)</f>
        <v>P11</v>
      </c>
      <c r="BE99" t="str">
        <f>_xlfn.XLOOKUP(Table1[[#This Row],[Product_ID]],AW:AW,BF:BF,,0)</f>
        <v>Coffee Maker</v>
      </c>
      <c r="BF99" t="s">
        <v>132</v>
      </c>
      <c r="BG99">
        <f>LEN(Table1[[#This Row],[Product_Name]])</f>
        <v>12</v>
      </c>
      <c r="BH99" t="s">
        <v>133</v>
      </c>
      <c r="BI99">
        <f t="shared" si="14"/>
        <v>75</v>
      </c>
      <c r="BJ99" t="str">
        <f>SUBSTITUTE(Table1[[#This Row],[Category]],"Electronics","ELECTRONICS")</f>
        <v>Home</v>
      </c>
      <c r="BN99" t="s">
        <v>134</v>
      </c>
      <c r="BS99" s="14">
        <v>4</v>
      </c>
      <c r="BT99" s="3">
        <v>3999</v>
      </c>
      <c r="BU99" s="4">
        <v>0</v>
      </c>
      <c r="BV99" s="4" t="str">
        <f>IF(AND(Table1[[#This Row],[Quantity]]&gt;=3,Table1[[#This Row],[Discount_%]]&gt;=15%),"Bulk Discount","no")</f>
        <v>no</v>
      </c>
      <c r="BW99" s="4" t="str">
        <f>IF(AND(Table1[[#This Row],[Quantity]]&gt;3,Table1[[#This Row],[Discount_%]]&gt;15%),"Bulk Customer","Normal")</f>
        <v>Normal</v>
      </c>
      <c r="BX99" t="s">
        <v>192</v>
      </c>
      <c r="BY99" t="s">
        <v>136</v>
      </c>
      <c r="CC99" t="str">
        <f>IF(OR(Table1[[#This Row],[Order_Status]]="Returned",Table1[[#This Row],[Order_Status]]="Cancelled"),"Attention Required","Not")</f>
        <v>Not</v>
      </c>
      <c r="CD99" t="str">
        <f>IF(OR(Table1[[#This Row],[Order_Status]]="Returned",Table1[[#This Row],[Order_Status]]="Cancelled"),"Review","no")</f>
        <v>no</v>
      </c>
      <c r="CE99" t="str">
        <f>SUBSTITUTE(Table1[[#This Row],[Order_Status]],"Delivered","Completed")</f>
        <v>Completed</v>
      </c>
      <c r="CF99" s="2">
        <v>46166</v>
      </c>
      <c r="CG99" s="17">
        <f>NETWORKDAYS(Table1[[#This Row],[Order_Date]],Table1[[#This Row],[Delivery_Date]])</f>
        <v>5</v>
      </c>
      <c r="CH99" s="17">
        <f>Table1[[#This Row],[Delivery_Date]]-Table1[[#This Row],[Order_Date]]</f>
        <v>6</v>
      </c>
      <c r="CI99" t="s">
        <v>137</v>
      </c>
      <c r="CJ99" t="str">
        <f>IF(Table1[[#This Row],[Rating]]&gt;=4,"Good","Needs Improvement")</f>
        <v>Needs Improvement</v>
      </c>
      <c r="CK99" t="str">
        <f>IF(OR(Table1[[#This Row],[Rating]]&lt;=2,Table1[[#This Row],[Profit]]&lt;0),"Review","NO")</f>
        <v>NO</v>
      </c>
      <c r="CL99" t="str" cm="1">
        <f t="array" ref="CL99">_xlfn.IFS(Table1[[#This Row],[Rating]]&gt;2,"Poor",Table1[[#This Row],[Rating]]=3,"Average",Table1[[#This Row],[Rating]]=4,"Good",CP99=5,"Excellent")</f>
        <v>Poor</v>
      </c>
      <c r="CM99">
        <f>COUNT(Table1[[#This Row],[Rating]])</f>
        <v>1</v>
      </c>
      <c r="CN99">
        <f>COUNTBLANK(Table1[[#This Row],[Rating]])</f>
        <v>0</v>
      </c>
      <c r="CP99" t="s">
        <v>266</v>
      </c>
      <c r="CQ99" s="14">
        <v>3</v>
      </c>
      <c r="CR99" t="s">
        <v>204</v>
      </c>
      <c r="CS99" t="s">
        <v>174</v>
      </c>
      <c r="CU99" s="3">
        <v>15996</v>
      </c>
      <c r="CV99" s="3">
        <f>ROUND(Table1[[#This Row],[Sales_Amount]],0)</f>
        <v>15996</v>
      </c>
      <c r="CW99" s="3"/>
      <c r="CX99" s="3"/>
      <c r="CY99" s="3" t="str">
        <f>IF(AND(Table1[[#This Row],[Sales_Amount]]&gt;=10000,Table1[[#This Row],[Profit]]&gt;0),"Good Order")</f>
        <v>Good Order</v>
      </c>
      <c r="CZ99" s="3" t="str">
        <f>IF(Table1[[#This Row],[Sales_Amount]]&gt;=10000,"High","Normal")</f>
        <v>High</v>
      </c>
      <c r="DA99" s="3">
        <v>5996</v>
      </c>
      <c r="DB99" s="3">
        <f>ROUND(Table1[[#This Row],[Profit]],0)</f>
        <v>5996</v>
      </c>
      <c r="DC99" s="3">
        <f>ABS(Table1[[#This Row],[Profit]])</f>
        <v>5996</v>
      </c>
      <c r="DD99" s="3"/>
      <c r="DE99" s="3"/>
      <c r="DF99" s="3"/>
      <c r="DG99" s="3" t="str">
        <f>IF(Table1[[#This Row],[Profit]]&gt;0,"Profit","Loss")</f>
        <v>Profit</v>
      </c>
      <c r="DH99" s="3" t="str">
        <f>IF(AND(Table1[[#This Row],[Sales_Amount]]&gt;=10000,Table1[[#This Row],[Profit]]&gt;0),"Priority","Normal")</f>
        <v>Priority</v>
      </c>
      <c r="DI99" s="3">
        <f t="shared" ca="1" si="9"/>
        <v>0.7742383083380372</v>
      </c>
      <c r="DJ99" s="3">
        <f t="shared" ca="1" si="10"/>
        <v>91</v>
      </c>
      <c r="DK99" s="3"/>
      <c r="DL99" s="3"/>
      <c r="DM99" s="3"/>
      <c r="DN99" s="3"/>
      <c r="DO99" s="3"/>
      <c r="DP99" s="3"/>
    </row>
    <row r="100" spans="1:120">
      <c r="A100" t="s">
        <v>687</v>
      </c>
      <c r="B100" t="str">
        <f>REPLACE(Table1[[#This Row],[Order_ID]],1,3,"YOO")</f>
        <v>YOO10099</v>
      </c>
      <c r="C100" t="str">
        <f>MID(Table1[[#This Row],[Order_ID]],4,4)</f>
        <v>1009</v>
      </c>
      <c r="D100" t="str">
        <f>LEFT(Table1[[#This Row],[Order_ID]],4)</f>
        <v>ORD1</v>
      </c>
      <c r="E100" t="str">
        <f>RIGHT(Table1[[#This Row],[Order_ID]],5)</f>
        <v>10099</v>
      </c>
      <c r="F100" t="s">
        <v>5</v>
      </c>
      <c r="G100">
        <v>10099</v>
      </c>
      <c r="H100" t="s">
        <v>688</v>
      </c>
      <c r="I100" s="2">
        <f>EDATE(Table1[[#This Row],[Order_Date]],3)</f>
        <v>46081</v>
      </c>
      <c r="J100" s="2">
        <f>EDATE(Table1[[#This Row],[Order_Date]],6)</f>
        <v>46171</v>
      </c>
      <c r="K100">
        <f ca="1">YEAR(Table1[[#This Row],[Today]])</f>
        <v>2026</v>
      </c>
      <c r="L100">
        <v>99</v>
      </c>
      <c r="M100">
        <f ca="1">DAY(Table1[[#This Row],[Today]])</f>
        <v>11</v>
      </c>
      <c r="N100" s="19">
        <f t="shared" ca="1" si="13"/>
        <v>46245.589795370368</v>
      </c>
      <c r="O100" s="2">
        <f t="shared" ca="1" si="8"/>
        <v>46245</v>
      </c>
      <c r="P100" s="17">
        <f ca="1">Table1[[#This Row],[Today]]-Table1[[#This Row],[Order_Date]]</f>
        <v>255</v>
      </c>
      <c r="Q100" s="2">
        <v>45756</v>
      </c>
      <c r="R100" s="2">
        <v>45990</v>
      </c>
      <c r="S100" s="6">
        <f t="shared" si="11"/>
        <v>2025</v>
      </c>
      <c r="T100" s="7" t="str">
        <f t="shared" si="12"/>
        <v>November</v>
      </c>
      <c r="U100" s="2">
        <f>WORKDAY(Table1[[#This Row],[Order_Date]],5)</f>
        <v>45996</v>
      </c>
      <c r="V100" s="7" t="str">
        <f>CONCATENATE(Table1[[#This Row],[Customer_ID]],Table1[[#This Row],[Customer_Name]])</f>
        <v>C1030Riya Agarwal</v>
      </c>
      <c r="W100" t="s">
        <v>645</v>
      </c>
      <c r="X100" t="s">
        <v>217</v>
      </c>
      <c r="Y100">
        <f>COUNTA(Table1[[#This Row],[Customer_Name]])</f>
        <v>1</v>
      </c>
      <c r="Z100" t="str">
        <f>SUBSTITUTE(Table1[[#This Row],[Customer_Name]]," ","_")</f>
        <v>Riya_Agarwal</v>
      </c>
      <c r="AA100" s="10">
        <f>IFERROR(SEARCH("a",Table1[[#This Row],[Customer_Name]]),"N/A")</f>
        <v>4</v>
      </c>
      <c r="AB100">
        <f>SEARCH(" ",Table1[[#This Row],[Customer_Name]])</f>
        <v>5</v>
      </c>
      <c r="AC100" s="11">
        <f>IFERROR(FIND("a",Table1[[#This Row],[Customer_Name]]),"N/A")</f>
        <v>4</v>
      </c>
      <c r="AD100">
        <f>FIND(" ",Table1[[#This Row],[Customer_Name]])</f>
        <v>5</v>
      </c>
      <c r="AE100" t="str">
        <f>TRIM(Table1[[#This Row],[Customer_Name]])</f>
        <v>Riya Agarwal</v>
      </c>
      <c r="AF100">
        <f>LEN(Table1[[#This Row],[Trimmed]])</f>
        <v>12</v>
      </c>
      <c r="AG100">
        <f>MAX(Table1[Length])</f>
        <v>15</v>
      </c>
      <c r="AH100" t="str">
        <f>PROPER(Table1[[#This Row],[Customer_Name]])</f>
        <v>Riya Agarwal</v>
      </c>
      <c r="AI100" t="str">
        <f>LOWER(Table1[[#This Row],[Customer_Name]])</f>
        <v>riya agarwal</v>
      </c>
      <c r="AJ100" t="str">
        <f>UPPER(Table1[[#This Row],[Customer_Name]])</f>
        <v>RIYA AGARWAL</v>
      </c>
      <c r="AK100" t="str">
        <f>CONCATENATE(Table1[[#This Row],[Customer_ID]],Table1[[#This Row],[Customer_Name]])</f>
        <v>C1030Riya Agarwal</v>
      </c>
      <c r="AL100" t="s">
        <v>218</v>
      </c>
      <c r="AM100" t="s">
        <v>219</v>
      </c>
      <c r="AN100" t="s">
        <v>220</v>
      </c>
      <c r="AO100" t="s">
        <v>218</v>
      </c>
      <c r="AP100" t="s">
        <v>219</v>
      </c>
      <c r="AQ100" t="s">
        <v>423</v>
      </c>
      <c r="AR100" t="str">
        <f>TRIM(Table1[[#This Row],[City]])</f>
        <v>Ahmedabad</v>
      </c>
      <c r="AS100" t="str">
        <f>PROPER(Table1[[#This Row],[City]])</f>
        <v>Ahmedabad</v>
      </c>
      <c r="AT100" t="s">
        <v>424</v>
      </c>
      <c r="AU100" t="str">
        <f>CONCATENATE(Table1[[#This Row],[City]],Table1[[#This Row],[State]])</f>
        <v>AhmedabadGujarat</v>
      </c>
      <c r="AV100" t="s">
        <v>129</v>
      </c>
      <c r="AW100" t="s">
        <v>477</v>
      </c>
      <c r="AX100" t="str">
        <f>REPLACE(Table1[[#This Row],[Product_ID]],1,1,"s")</f>
        <v>s109</v>
      </c>
      <c r="AY100" t="s">
        <v>689</v>
      </c>
      <c r="AZ100">
        <f>SEARCH("-",Table1[[#This Row],[Product ID]])</f>
        <v>2</v>
      </c>
      <c r="BA100">
        <f>FIND("-",Table1[[#This Row],[Product ID]])</f>
        <v>2</v>
      </c>
      <c r="BB100" t="str">
        <f>MID(Table1[[#This Row],[Product_ID]],2,3)</f>
        <v>109</v>
      </c>
      <c r="BC100" t="str">
        <f>RIGHT(Table1[[#This Row],[Product_ID]],3)</f>
        <v>109</v>
      </c>
      <c r="BD100" t="str">
        <f>LEFT(Table1[[#This Row],[Product_ID]],3)</f>
        <v>P10</v>
      </c>
      <c r="BE100" t="str">
        <f>_xlfn.XLOOKUP(Table1[[#This Row],[Product_ID]],AW:AW,BF:BF,,0)</f>
        <v>Backpack</v>
      </c>
      <c r="BF100" t="s">
        <v>479</v>
      </c>
      <c r="BG100">
        <f>LEN(Table1[[#This Row],[Product_Name]])</f>
        <v>8</v>
      </c>
      <c r="BH100" t="s">
        <v>224</v>
      </c>
      <c r="BI100">
        <f t="shared" si="14"/>
        <v>75</v>
      </c>
      <c r="BJ100" t="str">
        <f>SUBSTITUTE(Table1[[#This Row],[Category]],"Electronics","ELECTRONICS")</f>
        <v>Fashion</v>
      </c>
      <c r="BN100" t="s">
        <v>480</v>
      </c>
      <c r="BS100" s="14">
        <v>4</v>
      </c>
      <c r="BT100" s="3">
        <v>2299</v>
      </c>
      <c r="BU100" s="4">
        <v>10</v>
      </c>
      <c r="BV100" s="4" t="str">
        <f>IF(AND(Table1[[#This Row],[Quantity]]&gt;=3,Table1[[#This Row],[Discount_%]]&gt;=15%),"Bulk Discount","no")</f>
        <v>Bulk Discount</v>
      </c>
      <c r="BW100" s="4" t="str">
        <f>IF(AND(Table1[[#This Row],[Quantity]]&gt;3,Table1[[#This Row],[Discount_%]]&gt;15%),"Bulk Customer","Normal")</f>
        <v>Bulk Customer</v>
      </c>
      <c r="BX100" t="s">
        <v>187</v>
      </c>
      <c r="BY100" t="s">
        <v>136</v>
      </c>
      <c r="CC100" t="str">
        <f>IF(OR(Table1[[#This Row],[Order_Status]]="Returned",Table1[[#This Row],[Order_Status]]="Cancelled"),"Attention Required","Not")</f>
        <v>Not</v>
      </c>
      <c r="CD100" t="str">
        <f>IF(OR(Table1[[#This Row],[Order_Status]]="Returned",Table1[[#This Row],[Order_Status]]="Cancelled"),"Review","no")</f>
        <v>no</v>
      </c>
      <c r="CE100" t="str">
        <f>SUBSTITUTE(Table1[[#This Row],[Order_Status]],"Delivered","Completed")</f>
        <v>Completed</v>
      </c>
      <c r="CF100" s="2">
        <v>45997</v>
      </c>
      <c r="CG100" s="17">
        <f>NETWORKDAYS(Table1[[#This Row],[Order_Date]],Table1[[#This Row],[Delivery_Date]])</f>
        <v>5</v>
      </c>
      <c r="CH100" s="17">
        <f>Table1[[#This Row],[Delivery_Date]]-Table1[[#This Row],[Order_Date]]</f>
        <v>7</v>
      </c>
      <c r="CI100" t="s">
        <v>137</v>
      </c>
      <c r="CJ100" t="str">
        <f>IF(Table1[[#This Row],[Rating]]&gt;=4,"Good","Needs Improvement")</f>
        <v>Needs Improvement</v>
      </c>
      <c r="CK100" t="str">
        <f>IF(OR(Table1[[#This Row],[Rating]]&lt;=2,Table1[[#This Row],[Profit]]&lt;0),"Review","NO")</f>
        <v>Review</v>
      </c>
      <c r="CL100" t="e" cm="1">
        <f t="array" ref="CL100">_xlfn.IFS(Table1[[#This Row],[Rating]]&gt;2,"Poor",Table1[[#This Row],[Rating]]=3,"Average",Table1[[#This Row],[Rating]]=4,"Good",CP100=5,"Excellent")</f>
        <v>#N/A</v>
      </c>
      <c r="CM100">
        <f>COUNT(Table1[[#This Row],[Rating]])</f>
        <v>1</v>
      </c>
      <c r="CN100">
        <f>COUNTBLANK(Table1[[#This Row],[Rating]])</f>
        <v>0</v>
      </c>
      <c r="CP100" t="s">
        <v>138</v>
      </c>
      <c r="CQ100" s="14">
        <v>2</v>
      </c>
      <c r="CR100" t="s">
        <v>173</v>
      </c>
      <c r="CS100" t="s">
        <v>158</v>
      </c>
      <c r="CU100" s="3">
        <v>8276.4</v>
      </c>
      <c r="CV100" s="3">
        <f>ROUND(Table1[[#This Row],[Sales_Amount]],0)</f>
        <v>8276</v>
      </c>
      <c r="CW100" s="3"/>
      <c r="CX100" s="3"/>
      <c r="CY100" s="3" t="b">
        <f>IF(AND(Table1[[#This Row],[Sales_Amount]]&gt;=10000,Table1[[#This Row],[Profit]]&gt;0),"Good Order")</f>
        <v>0</v>
      </c>
      <c r="CZ100" s="3" t="str">
        <f>IF(Table1[[#This Row],[Sales_Amount]]&gt;=10000,"High","Normal")</f>
        <v>Normal</v>
      </c>
      <c r="DA100" s="3">
        <v>3276.4</v>
      </c>
      <c r="DB100" s="3">
        <f>ROUND(Table1[[#This Row],[Profit]],0)</f>
        <v>3276</v>
      </c>
      <c r="DC100" s="3">
        <f>ABS(Table1[[#This Row],[Profit]])</f>
        <v>3276.4</v>
      </c>
      <c r="DD100" s="3"/>
      <c r="DE100" s="3"/>
      <c r="DF100" s="3"/>
      <c r="DG100" s="3" t="str">
        <f>IF(Table1[[#This Row],[Profit]]&gt;0,"Profit","Loss")</f>
        <v>Profit</v>
      </c>
      <c r="DH100" s="3" t="str">
        <f>IF(AND(Table1[[#This Row],[Sales_Amount]]&gt;=10000,Table1[[#This Row],[Profit]]&gt;0),"Priority","Normal")</f>
        <v>Normal</v>
      </c>
      <c r="DI100" s="3">
        <f t="shared" ca="1" si="9"/>
        <v>0.50938831703422505</v>
      </c>
      <c r="DJ100" s="3">
        <f t="shared" ca="1" si="10"/>
        <v>11</v>
      </c>
      <c r="DK100" s="3"/>
      <c r="DL100" s="3"/>
      <c r="DM100" s="3"/>
      <c r="DN100" s="3"/>
      <c r="DO100" s="3"/>
      <c r="DP100" s="3"/>
    </row>
    <row r="101" spans="1:120">
      <c r="A101" t="s">
        <v>690</v>
      </c>
      <c r="B101" t="str">
        <f>REPLACE(Table1[[#This Row],[Order_ID]],1,3,"YOO")</f>
        <v>YOO10100</v>
      </c>
      <c r="C101" t="str">
        <f>MID(Table1[[#This Row],[Order_ID]],4,4)</f>
        <v>1010</v>
      </c>
      <c r="D101" t="str">
        <f>LEFT(Table1[[#This Row],[Order_ID]],4)</f>
        <v>ORD1</v>
      </c>
      <c r="E101" t="str">
        <f>RIGHT(Table1[[#This Row],[Order_ID]],5)</f>
        <v>10100</v>
      </c>
      <c r="F101" t="s">
        <v>5</v>
      </c>
      <c r="G101">
        <v>10100</v>
      </c>
      <c r="H101" t="s">
        <v>691</v>
      </c>
      <c r="I101" s="2">
        <f>EDATE(Table1[[#This Row],[Order_Date]],3)</f>
        <v>46213</v>
      </c>
      <c r="J101" s="2">
        <f>EDATE(Table1[[#This Row],[Order_Date]],6)</f>
        <v>46305</v>
      </c>
      <c r="K101">
        <f ca="1">YEAR(Table1[[#This Row],[Today]])</f>
        <v>2026</v>
      </c>
      <c r="L101">
        <v>100</v>
      </c>
      <c r="M101">
        <f ca="1">DAY(Table1[[#This Row],[Today]])</f>
        <v>11</v>
      </c>
      <c r="N101" s="19">
        <f t="shared" ca="1" si="13"/>
        <v>46245.589795138891</v>
      </c>
      <c r="O101" s="2">
        <f t="shared" ca="1" si="8"/>
        <v>46245</v>
      </c>
      <c r="P101" s="17">
        <f ca="1">Table1[[#This Row],[Today]]-Table1[[#This Row],[Order_Date]]</f>
        <v>123</v>
      </c>
      <c r="Q101" s="2">
        <v>45757</v>
      </c>
      <c r="R101" s="2">
        <v>46122</v>
      </c>
      <c r="S101" s="6">
        <f t="shared" si="11"/>
        <v>2026</v>
      </c>
      <c r="T101" s="7" t="str">
        <f t="shared" si="12"/>
        <v>April</v>
      </c>
      <c r="U101" s="2">
        <f>WORKDAY(Table1[[#This Row],[Order_Date]],5)</f>
        <v>46129</v>
      </c>
      <c r="V101" s="7" t="str">
        <f>CONCATENATE(Table1[[#This Row],[Customer_ID]],Table1[[#This Row],[Customer_Name]])</f>
        <v>C1110Arjun Rao</v>
      </c>
      <c r="W101" t="s">
        <v>692</v>
      </c>
      <c r="X101" t="s">
        <v>355</v>
      </c>
      <c r="Y101">
        <f>COUNTA(Table1[[#This Row],[Customer_Name]])</f>
        <v>1</v>
      </c>
      <c r="Z101" t="str">
        <f>SUBSTITUTE(Table1[[#This Row],[Customer_Name]]," ","_")</f>
        <v>Arjun_Rao</v>
      </c>
      <c r="AA101" s="10">
        <f>IFERROR(SEARCH("a",Table1[[#This Row],[Customer_Name]]),"N/A")</f>
        <v>1</v>
      </c>
      <c r="AB101">
        <f>SEARCH(" ",Table1[[#This Row],[Customer_Name]])</f>
        <v>6</v>
      </c>
      <c r="AC101" s="11">
        <f>IFERROR(FIND("a",Table1[[#This Row],[Customer_Name]]),"N/A")</f>
        <v>8</v>
      </c>
      <c r="AD101">
        <f>FIND(" ",Table1[[#This Row],[Customer_Name]])</f>
        <v>6</v>
      </c>
      <c r="AE101" t="str">
        <f>TRIM(Table1[[#This Row],[Customer_Name]])</f>
        <v>Arjun Rao</v>
      </c>
      <c r="AF101">
        <f>LEN(Table1[[#This Row],[Trimmed]])</f>
        <v>9</v>
      </c>
      <c r="AG101">
        <f>MAX(Table1[Length])</f>
        <v>15</v>
      </c>
      <c r="AH101" t="str">
        <f>PROPER(Table1[[#This Row],[Customer_Name]])</f>
        <v>Arjun Rao</v>
      </c>
      <c r="AI101" t="str">
        <f>LOWER(Table1[[#This Row],[Customer_Name]])</f>
        <v>arjun rao</v>
      </c>
      <c r="AJ101" t="str">
        <f>UPPER(Table1[[#This Row],[Customer_Name]])</f>
        <v>ARJUN RAO</v>
      </c>
      <c r="AK101" t="str">
        <f>CONCATENATE(Table1[[#This Row],[Customer_ID]],Table1[[#This Row],[Customer_Name]])</f>
        <v>C1110Arjun Rao</v>
      </c>
      <c r="AL101" t="s">
        <v>356</v>
      </c>
      <c r="AM101" t="s">
        <v>357</v>
      </c>
      <c r="AN101" t="s">
        <v>358</v>
      </c>
      <c r="AO101" t="s">
        <v>356</v>
      </c>
      <c r="AP101" t="s">
        <v>357</v>
      </c>
      <c r="AQ101" t="s">
        <v>344</v>
      </c>
      <c r="AR101" t="str">
        <f>TRIM(Table1[[#This Row],[City]])</f>
        <v>Bhopal</v>
      </c>
      <c r="AS101" t="str">
        <f>PROPER(Table1[[#This Row],[City]])</f>
        <v>Bhopal</v>
      </c>
      <c r="AT101" t="s">
        <v>345</v>
      </c>
      <c r="AU101" t="str">
        <f>CONCATENATE(Table1[[#This Row],[City]],Table1[[#This Row],[State]])</f>
        <v>BhopalMadhya Pradesh</v>
      </c>
      <c r="AV101" t="s">
        <v>346</v>
      </c>
      <c r="AW101" t="s">
        <v>236</v>
      </c>
      <c r="AX101" t="str">
        <f>REPLACE(Table1[[#This Row],[Product_ID]],1,1,"s")</f>
        <v>s107</v>
      </c>
      <c r="AY101" t="s">
        <v>693</v>
      </c>
      <c r="AZ101">
        <f>SEARCH("-",Table1[[#This Row],[Product ID]])</f>
        <v>2</v>
      </c>
      <c r="BA101">
        <f>FIND("-",Table1[[#This Row],[Product ID]])</f>
        <v>2</v>
      </c>
      <c r="BB101" t="str">
        <f>MID(Table1[[#This Row],[Product_ID]],2,3)</f>
        <v>107</v>
      </c>
      <c r="BC101" t="str">
        <f>RIGHT(Table1[[#This Row],[Product_ID]],3)</f>
        <v>107</v>
      </c>
      <c r="BD101" t="str">
        <f>LEFT(Table1[[#This Row],[Product_ID]],3)</f>
        <v>P10</v>
      </c>
      <c r="BE101" t="str">
        <f>_xlfn.XLOOKUP(Table1[[#This Row],[Product_ID]],AW:AW,BF:BF,,0)</f>
        <v>Casual Sneakers</v>
      </c>
      <c r="BF101" t="s">
        <v>238</v>
      </c>
      <c r="BG101">
        <f>LEN(Table1[[#This Row],[Product_Name]])</f>
        <v>15</v>
      </c>
      <c r="BH101" t="s">
        <v>224</v>
      </c>
      <c r="BI101">
        <f t="shared" si="14"/>
        <v>75</v>
      </c>
      <c r="BJ101" t="str">
        <f>SUBSTITUTE(Table1[[#This Row],[Category]],"Electronics","ELECTRONICS")</f>
        <v>Fashion</v>
      </c>
      <c r="BN101" t="s">
        <v>225</v>
      </c>
      <c r="BS101" s="14">
        <v>4</v>
      </c>
      <c r="BT101" s="3">
        <v>2799</v>
      </c>
      <c r="BU101" s="4">
        <v>20</v>
      </c>
      <c r="BV101" s="4" t="str">
        <f>IF(AND(Table1[[#This Row],[Quantity]]&gt;=3,Table1[[#This Row],[Discount_%]]&gt;=15%),"Bulk Discount","no")</f>
        <v>Bulk Discount</v>
      </c>
      <c r="BW101" s="4" t="str">
        <f>IF(AND(Table1[[#This Row],[Quantity]]&gt;3,Table1[[#This Row],[Discount_%]]&gt;15%),"Bulk Customer","Normal")</f>
        <v>Bulk Customer</v>
      </c>
      <c r="BX101" t="s">
        <v>192</v>
      </c>
      <c r="BY101" t="s">
        <v>374</v>
      </c>
      <c r="CC101" t="str">
        <f>IF(OR(Table1[[#This Row],[Order_Status]]="Returned",Table1[[#This Row],[Order_Status]]="Cancelled"),"Attention Required","Not")</f>
        <v>Attention Required</v>
      </c>
      <c r="CD101" t="str">
        <f>IF(OR(Table1[[#This Row],[Order_Status]]="Returned",Table1[[#This Row],[Order_Status]]="Cancelled"),"Review","no")</f>
        <v>Review</v>
      </c>
      <c r="CE101" t="str">
        <f>SUBSTITUTE(Table1[[#This Row],[Order_Status]],"Delivered","Completed")</f>
        <v>Returned</v>
      </c>
      <c r="CF101" s="2">
        <v>46124</v>
      </c>
      <c r="CG101" s="17">
        <f>NETWORKDAYS(Table1[[#This Row],[Order_Date]],Table1[[#This Row],[Delivery_Date]])</f>
        <v>1</v>
      </c>
      <c r="CH101" s="17">
        <f>Table1[[#This Row],[Delivery_Date]]-Table1[[#This Row],[Order_Date]]</f>
        <v>2</v>
      </c>
      <c r="CI101" t="s">
        <v>375</v>
      </c>
      <c r="CJ101" t="str">
        <f>IF(Table1[[#This Row],[Rating]]&gt;=4,"Good","Needs Improvement")</f>
        <v>Good</v>
      </c>
      <c r="CK101" t="str">
        <f>IF(OR(Table1[[#This Row],[Rating]]&lt;=2,Table1[[#This Row],[Profit]]&lt;0),"Review","NO")</f>
        <v>NO</v>
      </c>
      <c r="CL101" t="str" cm="1">
        <f t="array" ref="CL101">_xlfn.IFS(Table1[[#This Row],[Rating]]&gt;2,"Poor",Table1[[#This Row],[Rating]]=3,"Average",Table1[[#This Row],[Rating]]=4,"Good",CP101=5,"Excellent")</f>
        <v>Poor</v>
      </c>
      <c r="CM101">
        <f>COUNT(Table1[[#This Row],[Rating]])</f>
        <v>1</v>
      </c>
      <c r="CN101">
        <f>COUNTBLANK(Table1[[#This Row],[Rating]])</f>
        <v>0</v>
      </c>
      <c r="CP101" t="s">
        <v>157</v>
      </c>
      <c r="CQ101" s="14">
        <v>5</v>
      </c>
      <c r="CR101" t="s">
        <v>139</v>
      </c>
      <c r="CS101" t="s">
        <v>213</v>
      </c>
      <c r="CU101" s="3">
        <v>8956.7999999999993</v>
      </c>
      <c r="CV101" s="3">
        <f>ROUND(Table1[[#This Row],[Sales_Amount]],0)</f>
        <v>8957</v>
      </c>
      <c r="CW101" s="3"/>
      <c r="CX101" s="3"/>
      <c r="CY101" s="3" t="b">
        <f>IF(AND(Table1[[#This Row],[Sales_Amount]]&gt;=10000,Table1[[#This Row],[Profit]]&gt;0),"Good Order")</f>
        <v>0</v>
      </c>
      <c r="CZ101" s="3" t="str">
        <f>IF(Table1[[#This Row],[Sales_Amount]]&gt;=10000,"High","Normal")</f>
        <v>Normal</v>
      </c>
      <c r="DA101" s="3">
        <v>2956.8</v>
      </c>
      <c r="DB101" s="3">
        <f>ROUND(Table1[[#This Row],[Profit]],0)</f>
        <v>2957</v>
      </c>
      <c r="DC101" s="3">
        <f>ABS(Table1[[#This Row],[Profit]])</f>
        <v>2956.8</v>
      </c>
      <c r="DD101" s="3"/>
      <c r="DE101" s="3"/>
      <c r="DF101" s="3"/>
      <c r="DG101" s="3" t="str">
        <f>IF(Table1[[#This Row],[Profit]]&gt;0,"Profit","Loss")</f>
        <v>Profit</v>
      </c>
      <c r="DH101" s="3" t="str">
        <f>IF(AND(Table1[[#This Row],[Sales_Amount]]&gt;=10000,Table1[[#This Row],[Profit]]&gt;0),"Priority","Normal")</f>
        <v>Normal</v>
      </c>
      <c r="DI101" s="3">
        <f t="shared" ca="1" si="9"/>
        <v>0.62345518934262711</v>
      </c>
      <c r="DJ101" s="3">
        <f t="shared" ca="1" si="10"/>
        <v>41</v>
      </c>
      <c r="DK101" s="3"/>
      <c r="DL101" s="3"/>
      <c r="DM101" s="3"/>
      <c r="DN101" s="3"/>
      <c r="DO101" s="3"/>
      <c r="DP101" s="3"/>
    </row>
    <row r="102" spans="1:120">
      <c r="A102" t="s">
        <v>694</v>
      </c>
      <c r="B102" t="str">
        <f>REPLACE(Table1[[#This Row],[Order_ID]],1,3,"YOO")</f>
        <v>YOO10101</v>
      </c>
      <c r="C102" t="str">
        <f>MID(Table1[[#This Row],[Order_ID]],4,4)</f>
        <v>1010</v>
      </c>
      <c r="D102" t="str">
        <f>LEFT(Table1[[#This Row],[Order_ID]],4)</f>
        <v>ORD1</v>
      </c>
      <c r="E102" t="str">
        <f>RIGHT(Table1[[#This Row],[Order_ID]],5)</f>
        <v>10101</v>
      </c>
      <c r="F102" t="s">
        <v>5</v>
      </c>
      <c r="G102">
        <v>10101</v>
      </c>
      <c r="H102" t="s">
        <v>695</v>
      </c>
      <c r="I102" s="2">
        <f>EDATE(Table1[[#This Row],[Order_Date]],3)</f>
        <v>45818</v>
      </c>
      <c r="J102" s="2">
        <f>EDATE(Table1[[#This Row],[Order_Date]],6)</f>
        <v>45910</v>
      </c>
      <c r="K102">
        <f ca="1">YEAR(Table1[[#This Row],[Today]])</f>
        <v>2026</v>
      </c>
      <c r="L102">
        <v>101</v>
      </c>
      <c r="M102">
        <f ca="1">DAY(Table1[[#This Row],[Today]])</f>
        <v>11</v>
      </c>
      <c r="N102" s="19">
        <f t="shared" ca="1" si="13"/>
        <v>46245.589795370368</v>
      </c>
      <c r="O102" s="2">
        <f t="shared" ca="1" si="8"/>
        <v>46245</v>
      </c>
      <c r="P102" s="17">
        <f ca="1">Table1[[#This Row],[Today]]-Table1[[#This Row],[Order_Date]]</f>
        <v>519</v>
      </c>
      <c r="Q102" s="2">
        <v>45758</v>
      </c>
      <c r="R102" s="2">
        <v>45726</v>
      </c>
      <c r="S102" s="6">
        <f t="shared" si="11"/>
        <v>2025</v>
      </c>
      <c r="T102" s="7" t="str">
        <f t="shared" si="12"/>
        <v>March</v>
      </c>
      <c r="U102" s="2">
        <f>WORKDAY(Table1[[#This Row],[Order_Date]],5)</f>
        <v>45733</v>
      </c>
      <c r="V102" s="7" t="str">
        <f>CONCATENATE(Table1[[#This Row],[Customer_ID]],Table1[[#This Row],[Customer_Name]])</f>
        <v xml:space="preserve">C1096  rohan mehta  </v>
      </c>
      <c r="W102" t="s">
        <v>696</v>
      </c>
      <c r="X102" t="s">
        <v>656</v>
      </c>
      <c r="Y102">
        <f>COUNTA(Table1[[#This Row],[Customer_Name]])</f>
        <v>1</v>
      </c>
      <c r="Z102" t="str">
        <f>SUBSTITUTE(Table1[[#This Row],[Customer_Name]]," ","_")</f>
        <v>__rohan_mehta__</v>
      </c>
      <c r="AA102" s="10">
        <f>IFERROR(SEARCH("a",Table1[[#This Row],[Customer_Name]]),"N/A")</f>
        <v>6</v>
      </c>
      <c r="AB102">
        <f>SEARCH(" ",Table1[[#This Row],[Customer_Name]])</f>
        <v>1</v>
      </c>
      <c r="AC102" s="11">
        <f>IFERROR(FIND("a",Table1[[#This Row],[Customer_Name]]),"N/A")</f>
        <v>6</v>
      </c>
      <c r="AD102">
        <f>FIND(" ",Table1[[#This Row],[Customer_Name]])</f>
        <v>1</v>
      </c>
      <c r="AE102" t="str">
        <f>TRIM(Table1[[#This Row],[Customer_Name]])</f>
        <v>rohan mehta</v>
      </c>
      <c r="AF102">
        <f>LEN(Table1[[#This Row],[Trimmed]])</f>
        <v>11</v>
      </c>
      <c r="AG102">
        <f>MAX(Table1[Length])</f>
        <v>15</v>
      </c>
      <c r="AH102" t="str">
        <f>PROPER(Table1[[#This Row],[Customer_Name]])</f>
        <v xml:space="preserve">  Rohan Mehta  </v>
      </c>
      <c r="AI102" t="str">
        <f>LOWER(Table1[[#This Row],[Customer_Name]])</f>
        <v xml:space="preserve">  rohan mehta  </v>
      </c>
      <c r="AJ102" t="str">
        <f>UPPER(Table1[[#This Row],[Customer_Name]])</f>
        <v xml:space="preserve">  ROHAN MEHTA  </v>
      </c>
      <c r="AK102" t="str">
        <f>CONCATENATE(Table1[[#This Row],[Customer_ID]],Table1[[#This Row],[Customer_Name]])</f>
        <v xml:space="preserve">C1096  rohan mehta  </v>
      </c>
      <c r="AL102" t="s">
        <v>657</v>
      </c>
      <c r="AM102" t="s">
        <v>658</v>
      </c>
      <c r="AN102" t="s">
        <v>391</v>
      </c>
      <c r="AO102" t="s">
        <v>657</v>
      </c>
      <c r="AP102" t="s">
        <v>658</v>
      </c>
      <c r="AQ102" t="s">
        <v>284</v>
      </c>
      <c r="AR102" t="str">
        <f>TRIM(Table1[[#This Row],[City]])</f>
        <v>Hyderabad</v>
      </c>
      <c r="AS102" t="str">
        <f>PROPER(Table1[[#This Row],[City]])</f>
        <v>Hyderabad</v>
      </c>
      <c r="AT102" t="s">
        <v>285</v>
      </c>
      <c r="AU102" t="str">
        <f>CONCATENATE(Table1[[#This Row],[City]],Table1[[#This Row],[State]])</f>
        <v>HyderabadTelangana</v>
      </c>
      <c r="AV102" t="s">
        <v>168</v>
      </c>
      <c r="AW102" t="s">
        <v>338</v>
      </c>
      <c r="AX102" t="str">
        <f>REPLACE(Table1[[#This Row],[Product_ID]],1,1,"s")</f>
        <v>s115</v>
      </c>
      <c r="AY102" t="s">
        <v>697</v>
      </c>
      <c r="AZ102">
        <f>SEARCH("-",Table1[[#This Row],[Product ID]])</f>
        <v>2</v>
      </c>
      <c r="BA102">
        <f>FIND("-",Table1[[#This Row],[Product ID]])</f>
        <v>2</v>
      </c>
      <c r="BB102" t="str">
        <f>MID(Table1[[#This Row],[Product_ID]],2,3)</f>
        <v>115</v>
      </c>
      <c r="BC102" t="str">
        <f>RIGHT(Table1[[#This Row],[Product_ID]],3)</f>
        <v>115</v>
      </c>
      <c r="BD102" t="str">
        <f>LEFT(Table1[[#This Row],[Product_ID]],3)</f>
        <v>P11</v>
      </c>
      <c r="BE102" t="str">
        <f>_xlfn.XLOOKUP(Table1[[#This Row],[Product_ID]],AW:AW,BF:BF,,0)</f>
        <v>Dumbbell Set</v>
      </c>
      <c r="BF102" t="s">
        <v>340</v>
      </c>
      <c r="BG102">
        <f>LEN(Table1[[#This Row],[Product_Name]])</f>
        <v>12</v>
      </c>
      <c r="BH102" t="s">
        <v>264</v>
      </c>
      <c r="BI102">
        <f t="shared" si="14"/>
        <v>75</v>
      </c>
      <c r="BJ102" t="str">
        <f>SUBSTITUTE(Table1[[#This Row],[Category]],"Electronics","ELECTRONICS")</f>
        <v>Sports</v>
      </c>
      <c r="BN102" t="s">
        <v>265</v>
      </c>
      <c r="BS102" s="14">
        <v>1</v>
      </c>
      <c r="BT102" s="3">
        <v>2499</v>
      </c>
      <c r="BU102" s="4">
        <v>0</v>
      </c>
      <c r="BV102" s="4" t="str">
        <f>IF(AND(Table1[[#This Row],[Quantity]]&gt;=3,Table1[[#This Row],[Discount_%]]&gt;=15%),"Bulk Discount","no")</f>
        <v>no</v>
      </c>
      <c r="BW102" s="4" t="str">
        <f>IF(AND(Table1[[#This Row],[Quantity]]&gt;3,Table1[[#This Row],[Discount_%]]&gt;15%),"Bulk Customer","Normal")</f>
        <v>Normal</v>
      </c>
      <c r="BX102" t="s">
        <v>135</v>
      </c>
      <c r="BY102" t="s">
        <v>136</v>
      </c>
      <c r="CC102" t="str">
        <f>IF(OR(Table1[[#This Row],[Order_Status]]="Returned",Table1[[#This Row],[Order_Status]]="Cancelled"),"Attention Required","Not")</f>
        <v>Not</v>
      </c>
      <c r="CD102" t="str">
        <f>IF(OR(Table1[[#This Row],[Order_Status]]="Returned",Table1[[#This Row],[Order_Status]]="Cancelled"),"Review","no")</f>
        <v>no</v>
      </c>
      <c r="CE102" t="str">
        <f>SUBSTITUTE(Table1[[#This Row],[Order_Status]],"Delivered","Completed")</f>
        <v>Completed</v>
      </c>
      <c r="CF102" s="2">
        <v>45733</v>
      </c>
      <c r="CG102" s="17">
        <f>NETWORKDAYS(Table1[[#This Row],[Order_Date]],Table1[[#This Row],[Delivery_Date]])</f>
        <v>6</v>
      </c>
      <c r="CH102" s="17">
        <f>Table1[[#This Row],[Delivery_Date]]-Table1[[#This Row],[Order_Date]]</f>
        <v>7</v>
      </c>
      <c r="CI102" t="s">
        <v>137</v>
      </c>
      <c r="CJ102" t="str">
        <f>IF(Table1[[#This Row],[Rating]]&gt;=4,"Good","Needs Improvement")</f>
        <v>Needs Improvement</v>
      </c>
      <c r="CK102" t="str">
        <f>IF(OR(Table1[[#This Row],[Rating]]&lt;=2,Table1[[#This Row],[Profit]]&lt;0),"Review","NO")</f>
        <v>Review</v>
      </c>
      <c r="CL102" t="e" cm="1">
        <f t="array" ref="CL102">_xlfn.IFS(Table1[[#This Row],[Rating]]&gt;2,"Poor",Table1[[#This Row],[Rating]]=3,"Average",Table1[[#This Row],[Rating]]=4,"Good",CP102=5,"Excellent")</f>
        <v>#N/A</v>
      </c>
      <c r="CM102">
        <f>COUNT(Table1[[#This Row],[Rating]])</f>
        <v>1</v>
      </c>
      <c r="CN102">
        <f>COUNTBLANK(Table1[[#This Row],[Rating]])</f>
        <v>0</v>
      </c>
      <c r="CP102" t="s">
        <v>331</v>
      </c>
      <c r="CQ102" s="14">
        <v>2</v>
      </c>
      <c r="CR102" t="s">
        <v>204</v>
      </c>
      <c r="CS102" t="s">
        <v>174</v>
      </c>
      <c r="CU102" s="3">
        <v>2499</v>
      </c>
      <c r="CV102" s="3">
        <f>ROUND(Table1[[#This Row],[Sales_Amount]],0)</f>
        <v>2499</v>
      </c>
      <c r="CW102" s="3"/>
      <c r="CX102" s="3"/>
      <c r="CY102" s="3" t="b">
        <f>IF(AND(Table1[[#This Row],[Sales_Amount]]&gt;=10000,Table1[[#This Row],[Profit]]&gt;0),"Good Order")</f>
        <v>0</v>
      </c>
      <c r="CZ102" s="3" t="str">
        <f>IF(Table1[[#This Row],[Sales_Amount]]&gt;=10000,"High","Normal")</f>
        <v>Normal</v>
      </c>
      <c r="DA102" s="3">
        <v>1049</v>
      </c>
      <c r="DB102" s="3">
        <f>ROUND(Table1[[#This Row],[Profit]],0)</f>
        <v>1049</v>
      </c>
      <c r="DC102" s="3">
        <f>ABS(Table1[[#This Row],[Profit]])</f>
        <v>1049</v>
      </c>
      <c r="DD102" s="3"/>
      <c r="DE102" s="3"/>
      <c r="DF102" s="3"/>
      <c r="DG102" s="3" t="str">
        <f>IF(Table1[[#This Row],[Profit]]&gt;0,"Profit","Loss")</f>
        <v>Profit</v>
      </c>
      <c r="DH102" s="3" t="str">
        <f>IF(AND(Table1[[#This Row],[Sales_Amount]]&gt;=10000,Table1[[#This Row],[Profit]]&gt;0),"Priority","Normal")</f>
        <v>Normal</v>
      </c>
      <c r="DI102" s="3">
        <f t="shared" ca="1" si="9"/>
        <v>0.92973886308211007</v>
      </c>
      <c r="DJ102" s="3">
        <f t="shared" ca="1" si="10"/>
        <v>79</v>
      </c>
      <c r="DK102" s="3"/>
      <c r="DL102" s="3"/>
      <c r="DM102" s="3"/>
      <c r="DN102" s="3"/>
      <c r="DO102" s="3"/>
      <c r="DP102" s="3"/>
    </row>
    <row r="103" spans="1:120">
      <c r="A103" t="s">
        <v>698</v>
      </c>
      <c r="B103" t="str">
        <f>REPLACE(Table1[[#This Row],[Order_ID]],1,3,"YOO")</f>
        <v>YOO10102</v>
      </c>
      <c r="C103" t="str">
        <f>MID(Table1[[#This Row],[Order_ID]],4,4)</f>
        <v>1010</v>
      </c>
      <c r="D103" t="str">
        <f>LEFT(Table1[[#This Row],[Order_ID]],4)</f>
        <v>ORD1</v>
      </c>
      <c r="E103" t="str">
        <f>RIGHT(Table1[[#This Row],[Order_ID]],5)</f>
        <v>10102</v>
      </c>
      <c r="F103" t="s">
        <v>5</v>
      </c>
      <c r="G103">
        <v>10102</v>
      </c>
      <c r="H103" t="s">
        <v>699</v>
      </c>
      <c r="I103" s="2">
        <f>EDATE(Table1[[#This Row],[Order_Date]],3)</f>
        <v>45875</v>
      </c>
      <c r="J103" s="2">
        <f>EDATE(Table1[[#This Row],[Order_Date]],6)</f>
        <v>45967</v>
      </c>
      <c r="K103">
        <f ca="1">YEAR(Table1[[#This Row],[Today]])</f>
        <v>2026</v>
      </c>
      <c r="L103">
        <v>102</v>
      </c>
      <c r="M103">
        <f ca="1">DAY(Table1[[#This Row],[Today]])</f>
        <v>11</v>
      </c>
      <c r="N103" s="19">
        <f t="shared" ca="1" si="13"/>
        <v>46245.589795370368</v>
      </c>
      <c r="O103" s="2">
        <f t="shared" ca="1" si="8"/>
        <v>46245</v>
      </c>
      <c r="P103" s="17">
        <f ca="1">Table1[[#This Row],[Today]]-Table1[[#This Row],[Order_Date]]</f>
        <v>462</v>
      </c>
      <c r="Q103" s="2">
        <v>45759</v>
      </c>
      <c r="R103" s="2">
        <v>45783</v>
      </c>
      <c r="S103" s="6">
        <f t="shared" si="11"/>
        <v>2025</v>
      </c>
      <c r="T103" s="7" t="str">
        <f t="shared" si="12"/>
        <v>May</v>
      </c>
      <c r="U103" s="2">
        <f>WORKDAY(Table1[[#This Row],[Order_Date]],5)</f>
        <v>45790</v>
      </c>
      <c r="V103" s="7" t="str">
        <f>CONCATENATE(Table1[[#This Row],[Customer_ID]],Table1[[#This Row],[Customer_Name]])</f>
        <v>C1074Meera Nair</v>
      </c>
      <c r="W103" t="s">
        <v>614</v>
      </c>
      <c r="X103" t="s">
        <v>429</v>
      </c>
      <c r="Y103">
        <f>COUNTA(Table1[[#This Row],[Customer_Name]])</f>
        <v>1</v>
      </c>
      <c r="Z103" t="str">
        <f>SUBSTITUTE(Table1[[#This Row],[Customer_Name]]," ","_")</f>
        <v>Meera_Nair</v>
      </c>
      <c r="AA103" s="10">
        <f>IFERROR(SEARCH("a",Table1[[#This Row],[Customer_Name]]),"N/A")</f>
        <v>5</v>
      </c>
      <c r="AB103">
        <f>SEARCH(" ",Table1[[#This Row],[Customer_Name]])</f>
        <v>6</v>
      </c>
      <c r="AC103" s="11">
        <f>IFERROR(FIND("a",Table1[[#This Row],[Customer_Name]]),"N/A")</f>
        <v>5</v>
      </c>
      <c r="AD103">
        <f>FIND(" ",Table1[[#This Row],[Customer_Name]])</f>
        <v>6</v>
      </c>
      <c r="AE103" t="str">
        <f>TRIM(Table1[[#This Row],[Customer_Name]])</f>
        <v>Meera Nair</v>
      </c>
      <c r="AF103">
        <f>LEN(Table1[[#This Row],[Trimmed]])</f>
        <v>10</v>
      </c>
      <c r="AG103">
        <f>MAX(Table1[Length])</f>
        <v>15</v>
      </c>
      <c r="AH103" t="str">
        <f>PROPER(Table1[[#This Row],[Customer_Name]])</f>
        <v>Meera Nair</v>
      </c>
      <c r="AI103" t="str">
        <f>LOWER(Table1[[#This Row],[Customer_Name]])</f>
        <v>meera nair</v>
      </c>
      <c r="AJ103" t="str">
        <f>UPPER(Table1[[#This Row],[Customer_Name]])</f>
        <v>MEERA NAIR</v>
      </c>
      <c r="AK103" t="str">
        <f>CONCATENATE(Table1[[#This Row],[Customer_ID]],Table1[[#This Row],[Customer_Name]])</f>
        <v>C1074Meera Nair</v>
      </c>
      <c r="AL103" t="s">
        <v>430</v>
      </c>
      <c r="AM103" t="s">
        <v>431</v>
      </c>
      <c r="AN103" t="s">
        <v>432</v>
      </c>
      <c r="AO103" t="s">
        <v>430</v>
      </c>
      <c r="AP103" t="s">
        <v>431</v>
      </c>
      <c r="AQ103" t="s">
        <v>344</v>
      </c>
      <c r="AR103" t="str">
        <f>TRIM(Table1[[#This Row],[City]])</f>
        <v>Bhopal</v>
      </c>
      <c r="AS103" t="str">
        <f>PROPER(Table1[[#This Row],[City]])</f>
        <v>Bhopal</v>
      </c>
      <c r="AT103" t="s">
        <v>345</v>
      </c>
      <c r="AU103" t="str">
        <f>CONCATENATE(Table1[[#This Row],[City]],Table1[[#This Row],[State]])</f>
        <v>BhopalMadhya Pradesh</v>
      </c>
      <c r="AV103" t="s">
        <v>346</v>
      </c>
      <c r="AW103" t="s">
        <v>477</v>
      </c>
      <c r="AX103" t="str">
        <f>REPLACE(Table1[[#This Row],[Product_ID]],1,1,"s")</f>
        <v>s109</v>
      </c>
      <c r="AY103" t="s">
        <v>700</v>
      </c>
      <c r="AZ103">
        <f>SEARCH("-",Table1[[#This Row],[Product ID]])</f>
        <v>2</v>
      </c>
      <c r="BA103">
        <f>FIND("-",Table1[[#This Row],[Product ID]])</f>
        <v>2</v>
      </c>
      <c r="BB103" t="str">
        <f>MID(Table1[[#This Row],[Product_ID]],2,3)</f>
        <v>109</v>
      </c>
      <c r="BC103" t="str">
        <f>RIGHT(Table1[[#This Row],[Product_ID]],3)</f>
        <v>109</v>
      </c>
      <c r="BD103" t="str">
        <f>LEFT(Table1[[#This Row],[Product_ID]],3)</f>
        <v>P10</v>
      </c>
      <c r="BE103" t="str">
        <f>_xlfn.XLOOKUP(Table1[[#This Row],[Product_ID]],AW:AW,BF:BF,,0)</f>
        <v>Backpack</v>
      </c>
      <c r="BF103" t="s">
        <v>479</v>
      </c>
      <c r="BG103">
        <f>LEN(Table1[[#This Row],[Product_Name]])</f>
        <v>8</v>
      </c>
      <c r="BH103" t="s">
        <v>224</v>
      </c>
      <c r="BI103">
        <f t="shared" si="14"/>
        <v>75</v>
      </c>
      <c r="BJ103" t="str">
        <f>SUBSTITUTE(Table1[[#This Row],[Category]],"Electronics","ELECTRONICS")</f>
        <v>Fashion</v>
      </c>
      <c r="BN103" t="s">
        <v>480</v>
      </c>
      <c r="BS103" s="14">
        <v>4</v>
      </c>
      <c r="BT103" s="3">
        <v>2299</v>
      </c>
      <c r="BU103" s="4">
        <v>15</v>
      </c>
      <c r="BV103" s="4" t="str">
        <f>IF(AND(Table1[[#This Row],[Quantity]]&gt;=3,Table1[[#This Row],[Discount_%]]&gt;=15%),"Bulk Discount","no")</f>
        <v>Bulk Discount</v>
      </c>
      <c r="BW103" s="4" t="str">
        <f>IF(AND(Table1[[#This Row],[Quantity]]&gt;3,Table1[[#This Row],[Discount_%]]&gt;15%),"Bulk Customer","Normal")</f>
        <v>Bulk Customer</v>
      </c>
      <c r="BX103" t="s">
        <v>192</v>
      </c>
      <c r="BY103" t="s">
        <v>193</v>
      </c>
      <c r="CC103" t="str">
        <f>IF(OR(Table1[[#This Row],[Order_Status]]="Returned",Table1[[#This Row],[Order_Status]]="Cancelled"),"Attention Required","Not")</f>
        <v>Not</v>
      </c>
      <c r="CD103" t="str">
        <f>IF(OR(Table1[[#This Row],[Order_Status]]="Returned",Table1[[#This Row],[Order_Status]]="Cancelled"),"Review","no")</f>
        <v>no</v>
      </c>
      <c r="CE103" t="str">
        <f>SUBSTITUTE(Table1[[#This Row],[Order_Status]],"Delivered","Completed")</f>
        <v>Shipped</v>
      </c>
      <c r="CF103" s="2">
        <v>45790</v>
      </c>
      <c r="CG103" s="17">
        <f>NETWORKDAYS(Table1[[#This Row],[Order_Date]],Table1[[#This Row],[Delivery_Date]])</f>
        <v>6</v>
      </c>
      <c r="CH103" s="17">
        <f>Table1[[#This Row],[Delivery_Date]]-Table1[[#This Row],[Order_Date]]</f>
        <v>7</v>
      </c>
      <c r="CI103" t="s">
        <v>137</v>
      </c>
      <c r="CJ103" t="str">
        <f>IF(Table1[[#This Row],[Rating]]&gt;=4,"Good","Needs Improvement")</f>
        <v>Needs Improvement</v>
      </c>
      <c r="CK103" t="str">
        <f>IF(OR(Table1[[#This Row],[Rating]]&lt;=2,Table1[[#This Row],[Profit]]&lt;0),"Review","NO")</f>
        <v>Review</v>
      </c>
      <c r="CL103" t="e" cm="1">
        <f t="array" ref="CL103">_xlfn.IFS(Table1[[#This Row],[Rating]]&gt;2,"Poor",Table1[[#This Row],[Rating]]=3,"Average",Table1[[#This Row],[Rating]]=4,"Good",CP103=5,"Excellent")</f>
        <v>#N/A</v>
      </c>
      <c r="CM103">
        <f>COUNT(Table1[[#This Row],[Rating]])</f>
        <v>1</v>
      </c>
      <c r="CN103">
        <f>COUNTBLANK(Table1[[#This Row],[Rating]])</f>
        <v>0</v>
      </c>
      <c r="CP103" t="s">
        <v>157</v>
      </c>
      <c r="CQ103" s="14">
        <v>1</v>
      </c>
      <c r="CR103" t="s">
        <v>139</v>
      </c>
      <c r="CS103" t="s">
        <v>174</v>
      </c>
      <c r="CU103" s="3">
        <v>7816.6</v>
      </c>
      <c r="CV103" s="3">
        <f>ROUND(Table1[[#This Row],[Sales_Amount]],0)</f>
        <v>7817</v>
      </c>
      <c r="CW103" s="3"/>
      <c r="CX103" s="3"/>
      <c r="CY103" s="3" t="b">
        <f>IF(AND(Table1[[#This Row],[Sales_Amount]]&gt;=10000,Table1[[#This Row],[Profit]]&gt;0),"Good Order")</f>
        <v>0</v>
      </c>
      <c r="CZ103" s="3" t="str">
        <f>IF(Table1[[#This Row],[Sales_Amount]]&gt;=10000,"High","Normal")</f>
        <v>Normal</v>
      </c>
      <c r="DA103" s="3">
        <v>2816.6</v>
      </c>
      <c r="DB103" s="3">
        <f>ROUND(Table1[[#This Row],[Profit]],0)</f>
        <v>2817</v>
      </c>
      <c r="DC103" s="3">
        <f>ABS(Table1[[#This Row],[Profit]])</f>
        <v>2816.6</v>
      </c>
      <c r="DD103" s="3"/>
      <c r="DE103" s="3"/>
      <c r="DF103" s="3"/>
      <c r="DG103" s="3" t="str">
        <f>IF(Table1[[#This Row],[Profit]]&gt;0,"Profit","Loss")</f>
        <v>Profit</v>
      </c>
      <c r="DH103" s="3" t="str">
        <f>IF(AND(Table1[[#This Row],[Sales_Amount]]&gt;=10000,Table1[[#This Row],[Profit]]&gt;0),"Priority","Normal")</f>
        <v>Normal</v>
      </c>
      <c r="DI103" s="3">
        <f t="shared" ca="1" si="9"/>
        <v>0.21121188622791798</v>
      </c>
      <c r="DJ103" s="3">
        <f t="shared" ca="1" si="10"/>
        <v>36</v>
      </c>
      <c r="DK103" s="3"/>
      <c r="DL103" s="3"/>
      <c r="DM103" s="3"/>
      <c r="DN103" s="3"/>
      <c r="DO103" s="3"/>
      <c r="DP103" s="3"/>
    </row>
    <row r="104" spans="1:120">
      <c r="A104" t="s">
        <v>701</v>
      </c>
      <c r="B104" t="str">
        <f>REPLACE(Table1[[#This Row],[Order_ID]],1,3,"YOO")</f>
        <v>YOO10103</v>
      </c>
      <c r="C104" t="str">
        <f>MID(Table1[[#This Row],[Order_ID]],4,4)</f>
        <v>1010</v>
      </c>
      <c r="D104" t="str">
        <f>LEFT(Table1[[#This Row],[Order_ID]],4)</f>
        <v>ORD1</v>
      </c>
      <c r="E104" t="str">
        <f>RIGHT(Table1[[#This Row],[Order_ID]],5)</f>
        <v>10103</v>
      </c>
      <c r="F104" t="s">
        <v>5</v>
      </c>
      <c r="G104">
        <v>10103</v>
      </c>
      <c r="H104" t="s">
        <v>702</v>
      </c>
      <c r="I104" s="2">
        <f>EDATE(Table1[[#This Row],[Order_Date]],3)</f>
        <v>45908</v>
      </c>
      <c r="J104" s="2">
        <f>EDATE(Table1[[#This Row],[Order_Date]],6)</f>
        <v>45999</v>
      </c>
      <c r="K104">
        <f ca="1">YEAR(Table1[[#This Row],[Today]])</f>
        <v>2026</v>
      </c>
      <c r="L104">
        <v>103</v>
      </c>
      <c r="M104">
        <f ca="1">DAY(Table1[[#This Row],[Today]])</f>
        <v>11</v>
      </c>
      <c r="N104" s="19">
        <f t="shared" ca="1" si="13"/>
        <v>46245.589795138891</v>
      </c>
      <c r="O104" s="2">
        <f t="shared" ca="1" si="8"/>
        <v>46245</v>
      </c>
      <c r="P104" s="17">
        <f ca="1">Table1[[#This Row],[Today]]-Table1[[#This Row],[Order_Date]]</f>
        <v>429</v>
      </c>
      <c r="Q104" s="2">
        <v>45760</v>
      </c>
      <c r="R104" s="2">
        <v>45816</v>
      </c>
      <c r="S104" s="6">
        <f t="shared" si="11"/>
        <v>2025</v>
      </c>
      <c r="T104" s="7" t="str">
        <f t="shared" si="12"/>
        <v>June</v>
      </c>
      <c r="U104" s="2">
        <f>WORKDAY(Table1[[#This Row],[Order_Date]],5)</f>
        <v>45821</v>
      </c>
      <c r="V104" s="7" t="str">
        <f>CONCATENATE(Table1[[#This Row],[Customer_ID]],Table1[[#This Row],[Customer_Name]])</f>
        <v>C1143Sneha Mishra</v>
      </c>
      <c r="W104" t="s">
        <v>451</v>
      </c>
      <c r="X104" t="s">
        <v>496</v>
      </c>
      <c r="Y104">
        <f>COUNTA(Table1[[#This Row],[Customer_Name]])</f>
        <v>1</v>
      </c>
      <c r="Z104" t="str">
        <f>SUBSTITUTE(Table1[[#This Row],[Customer_Name]]," ","_")</f>
        <v>Sneha_Mishra</v>
      </c>
      <c r="AA104" s="10">
        <f>IFERROR(SEARCH("a",Table1[[#This Row],[Customer_Name]]),"N/A")</f>
        <v>5</v>
      </c>
      <c r="AB104">
        <f>SEARCH(" ",Table1[[#This Row],[Customer_Name]])</f>
        <v>6</v>
      </c>
      <c r="AC104" s="11">
        <f>IFERROR(FIND("a",Table1[[#This Row],[Customer_Name]]),"N/A")</f>
        <v>5</v>
      </c>
      <c r="AD104">
        <f>FIND(" ",Table1[[#This Row],[Customer_Name]])</f>
        <v>6</v>
      </c>
      <c r="AE104" t="str">
        <f>TRIM(Table1[[#This Row],[Customer_Name]])</f>
        <v>Sneha Mishra</v>
      </c>
      <c r="AF104">
        <f>LEN(Table1[[#This Row],[Trimmed]])</f>
        <v>12</v>
      </c>
      <c r="AG104">
        <f>MAX(Table1[Length])</f>
        <v>15</v>
      </c>
      <c r="AH104" t="str">
        <f>PROPER(Table1[[#This Row],[Customer_Name]])</f>
        <v>Sneha Mishra</v>
      </c>
      <c r="AI104" t="str">
        <f>LOWER(Table1[[#This Row],[Customer_Name]])</f>
        <v>sneha mishra</v>
      </c>
      <c r="AJ104" t="str">
        <f>UPPER(Table1[[#This Row],[Customer_Name]])</f>
        <v>SNEHA MISHRA</v>
      </c>
      <c r="AK104" t="str">
        <f>CONCATENATE(Table1[[#This Row],[Customer_ID]],Table1[[#This Row],[Customer_Name]])</f>
        <v>C1143Sneha Mishra</v>
      </c>
      <c r="AL104" t="s">
        <v>195</v>
      </c>
      <c r="AM104" t="s">
        <v>497</v>
      </c>
      <c r="AN104" t="s">
        <v>498</v>
      </c>
      <c r="AO104" t="s">
        <v>195</v>
      </c>
      <c r="AP104" t="s">
        <v>497</v>
      </c>
      <c r="AQ104" t="s">
        <v>148</v>
      </c>
      <c r="AR104" t="str">
        <f>TRIM(Table1[[#This Row],[City]])</f>
        <v>Jaipur</v>
      </c>
      <c r="AS104" t="str">
        <f>PROPER(Table1[[#This Row],[City]])</f>
        <v>Jaipur</v>
      </c>
      <c r="AT104" t="s">
        <v>149</v>
      </c>
      <c r="AU104" t="str">
        <f>CONCATENATE(Table1[[#This Row],[City]],Table1[[#This Row],[State]])</f>
        <v>JaipurRajasthan</v>
      </c>
      <c r="AV104" t="s">
        <v>150</v>
      </c>
      <c r="AW104" t="s">
        <v>477</v>
      </c>
      <c r="AX104" t="str">
        <f>REPLACE(Table1[[#This Row],[Product_ID]],1,1,"s")</f>
        <v>s109</v>
      </c>
      <c r="AY104" t="s">
        <v>703</v>
      </c>
      <c r="AZ104">
        <f>SEARCH("-",Table1[[#This Row],[Product ID]])</f>
        <v>2</v>
      </c>
      <c r="BA104">
        <f>FIND("-",Table1[[#This Row],[Product ID]])</f>
        <v>2</v>
      </c>
      <c r="BB104" t="str">
        <f>MID(Table1[[#This Row],[Product_ID]],2,3)</f>
        <v>109</v>
      </c>
      <c r="BC104" t="str">
        <f>RIGHT(Table1[[#This Row],[Product_ID]],3)</f>
        <v>109</v>
      </c>
      <c r="BD104" t="str">
        <f>LEFT(Table1[[#This Row],[Product_ID]],3)</f>
        <v>P10</v>
      </c>
      <c r="BE104" t="str">
        <f>_xlfn.XLOOKUP(Table1[[#This Row],[Product_ID]],AW:AW,BF:BF,,0)</f>
        <v>Backpack</v>
      </c>
      <c r="BF104" t="s">
        <v>479</v>
      </c>
      <c r="BG104">
        <f>LEN(Table1[[#This Row],[Product_Name]])</f>
        <v>8</v>
      </c>
      <c r="BH104" t="s">
        <v>224</v>
      </c>
      <c r="BI104">
        <f t="shared" si="14"/>
        <v>75</v>
      </c>
      <c r="BJ104" t="str">
        <f>SUBSTITUTE(Table1[[#This Row],[Category]],"Electronics","ELECTRONICS")</f>
        <v>Fashion</v>
      </c>
      <c r="BN104" t="s">
        <v>480</v>
      </c>
      <c r="BS104" s="14">
        <v>4</v>
      </c>
      <c r="BT104" s="3">
        <v>2299</v>
      </c>
      <c r="BU104" s="4">
        <v>10</v>
      </c>
      <c r="BV104" s="4" t="str">
        <f>IF(AND(Table1[[#This Row],[Quantity]]&gt;=3,Table1[[#This Row],[Discount_%]]&gt;=15%),"Bulk Discount","no")</f>
        <v>Bulk Discount</v>
      </c>
      <c r="BW104" s="4" t="str">
        <f>IF(AND(Table1[[#This Row],[Quantity]]&gt;3,Table1[[#This Row],[Discount_%]]&gt;15%),"Bulk Customer","Normal")</f>
        <v>Bulk Customer</v>
      </c>
      <c r="BX104" t="s">
        <v>172</v>
      </c>
      <c r="BY104" t="s">
        <v>193</v>
      </c>
      <c r="CC104" t="str">
        <f>IF(OR(Table1[[#This Row],[Order_Status]]="Returned",Table1[[#This Row],[Order_Status]]="Cancelled"),"Attention Required","Not")</f>
        <v>Not</v>
      </c>
      <c r="CD104" t="str">
        <f>IF(OR(Table1[[#This Row],[Order_Status]]="Returned",Table1[[#This Row],[Order_Status]]="Cancelled"),"Review","no")</f>
        <v>no</v>
      </c>
      <c r="CE104" t="str">
        <f>SUBSTITUTE(Table1[[#This Row],[Order_Status]],"Delivered","Completed")</f>
        <v>Shipped</v>
      </c>
      <c r="CF104" s="2">
        <v>45818</v>
      </c>
      <c r="CG104" s="17">
        <f>NETWORKDAYS(Table1[[#This Row],[Order_Date]],Table1[[#This Row],[Delivery_Date]])</f>
        <v>2</v>
      </c>
      <c r="CH104" s="17">
        <f>Table1[[#This Row],[Delivery_Date]]-Table1[[#This Row],[Order_Date]]</f>
        <v>2</v>
      </c>
      <c r="CI104" t="s">
        <v>137</v>
      </c>
      <c r="CJ104" t="str">
        <f>IF(Table1[[#This Row],[Rating]]&gt;=4,"Good","Needs Improvement")</f>
        <v>Good</v>
      </c>
      <c r="CK104" t="str">
        <f>IF(OR(Table1[[#This Row],[Rating]]&lt;=2,Table1[[#This Row],[Profit]]&lt;0),"Review","NO")</f>
        <v>NO</v>
      </c>
      <c r="CL104" t="str" cm="1">
        <f t="array" ref="CL104">_xlfn.IFS(Table1[[#This Row],[Rating]]&gt;2,"Poor",Table1[[#This Row],[Rating]]=3,"Average",Table1[[#This Row],[Rating]]=4,"Good",CP104=5,"Excellent")</f>
        <v>Poor</v>
      </c>
      <c r="CM104">
        <f>COUNT(Table1[[#This Row],[Rating]])</f>
        <v>1</v>
      </c>
      <c r="CN104">
        <f>COUNTBLANK(Table1[[#This Row],[Rating]])</f>
        <v>0</v>
      </c>
      <c r="CP104" t="s">
        <v>157</v>
      </c>
      <c r="CQ104" s="14">
        <v>5</v>
      </c>
      <c r="CR104" t="s">
        <v>204</v>
      </c>
      <c r="CS104" t="s">
        <v>158</v>
      </c>
      <c r="CU104" s="3">
        <v>8276.4</v>
      </c>
      <c r="CV104" s="3">
        <f>ROUND(Table1[[#This Row],[Sales_Amount]],0)</f>
        <v>8276</v>
      </c>
      <c r="CW104" s="3"/>
      <c r="CX104" s="3"/>
      <c r="CY104" s="3" t="b">
        <f>IF(AND(Table1[[#This Row],[Sales_Amount]]&gt;=10000,Table1[[#This Row],[Profit]]&gt;0),"Good Order")</f>
        <v>0</v>
      </c>
      <c r="CZ104" s="3" t="str">
        <f>IF(Table1[[#This Row],[Sales_Amount]]&gt;=10000,"High","Normal")</f>
        <v>Normal</v>
      </c>
      <c r="DA104" s="3">
        <v>3276.4</v>
      </c>
      <c r="DB104" s="3">
        <f>ROUND(Table1[[#This Row],[Profit]],0)</f>
        <v>3276</v>
      </c>
      <c r="DC104" s="3">
        <f>ABS(Table1[[#This Row],[Profit]])</f>
        <v>3276.4</v>
      </c>
      <c r="DD104" s="3"/>
      <c r="DE104" s="3"/>
      <c r="DF104" s="3"/>
      <c r="DG104" s="3" t="str">
        <f>IF(Table1[[#This Row],[Profit]]&gt;0,"Profit","Loss")</f>
        <v>Profit</v>
      </c>
      <c r="DH104" s="3" t="str">
        <f>IF(AND(Table1[[#This Row],[Sales_Amount]]&gt;=10000,Table1[[#This Row],[Profit]]&gt;0),"Priority","Normal")</f>
        <v>Normal</v>
      </c>
      <c r="DI104" s="3">
        <f t="shared" ca="1" si="9"/>
        <v>0.83253092789745742</v>
      </c>
      <c r="DJ104" s="3">
        <f t="shared" ca="1" si="10"/>
        <v>28</v>
      </c>
      <c r="DK104" s="3"/>
      <c r="DL104" s="3"/>
      <c r="DM104" s="3"/>
      <c r="DN104" s="3"/>
      <c r="DO104" s="3"/>
      <c r="DP104" s="3"/>
    </row>
    <row r="105" spans="1:120">
      <c r="A105" t="s">
        <v>704</v>
      </c>
      <c r="B105" t="str">
        <f>REPLACE(Table1[[#This Row],[Order_ID]],1,3,"YOO")</f>
        <v>YOO10104</v>
      </c>
      <c r="C105" t="str">
        <f>MID(Table1[[#This Row],[Order_ID]],4,4)</f>
        <v>1010</v>
      </c>
      <c r="D105" t="str">
        <f>LEFT(Table1[[#This Row],[Order_ID]],4)</f>
        <v>ORD1</v>
      </c>
      <c r="E105" t="str">
        <f>RIGHT(Table1[[#This Row],[Order_ID]],5)</f>
        <v>10104</v>
      </c>
      <c r="F105" t="s">
        <v>5</v>
      </c>
      <c r="G105">
        <v>10104</v>
      </c>
      <c r="H105" t="s">
        <v>705</v>
      </c>
      <c r="I105" s="2">
        <f>EDATE(Table1[[#This Row],[Order_Date]],3)</f>
        <v>46324</v>
      </c>
      <c r="J105" s="2">
        <f>EDATE(Table1[[#This Row],[Order_Date]],6)</f>
        <v>46416</v>
      </c>
      <c r="K105">
        <f ca="1">YEAR(Table1[[#This Row],[Today]])</f>
        <v>2026</v>
      </c>
      <c r="L105">
        <v>104</v>
      </c>
      <c r="M105">
        <f ca="1">DAY(Table1[[#This Row],[Today]])</f>
        <v>11</v>
      </c>
      <c r="N105" s="19">
        <f t="shared" ca="1" si="13"/>
        <v>46245.589795370368</v>
      </c>
      <c r="O105" s="2">
        <f t="shared" ca="1" si="8"/>
        <v>46245</v>
      </c>
      <c r="P105" s="17">
        <f ca="1">Table1[[#This Row],[Today]]-Table1[[#This Row],[Order_Date]]</f>
        <v>13</v>
      </c>
      <c r="Q105" s="2">
        <v>45761</v>
      </c>
      <c r="R105" s="2">
        <v>46232</v>
      </c>
      <c r="S105" s="6">
        <f t="shared" si="11"/>
        <v>2026</v>
      </c>
      <c r="T105" s="7" t="str">
        <f t="shared" si="12"/>
        <v>July</v>
      </c>
      <c r="U105" s="2">
        <f>WORKDAY(Table1[[#This Row],[Order_Date]],5)</f>
        <v>46239</v>
      </c>
      <c r="V105" s="7" t="str">
        <f>CONCATENATE(Table1[[#This Row],[Customer_ID]],Table1[[#This Row],[Customer_Name]])</f>
        <v>C1047Vikas Yadav</v>
      </c>
      <c r="W105" t="s">
        <v>706</v>
      </c>
      <c r="X105" t="s">
        <v>208</v>
      </c>
      <c r="Y105">
        <f>COUNTA(Table1[[#This Row],[Customer_Name]])</f>
        <v>1</v>
      </c>
      <c r="Z105" t="str">
        <f>SUBSTITUTE(Table1[[#This Row],[Customer_Name]]," ","_")</f>
        <v>Vikas_Yadav</v>
      </c>
      <c r="AA105" s="10">
        <f>IFERROR(SEARCH("a",Table1[[#This Row],[Customer_Name]]),"N/A")</f>
        <v>4</v>
      </c>
      <c r="AB105">
        <f>SEARCH(" ",Table1[[#This Row],[Customer_Name]])</f>
        <v>6</v>
      </c>
      <c r="AC105" s="11">
        <f>IFERROR(FIND("a",Table1[[#This Row],[Customer_Name]]),"N/A")</f>
        <v>4</v>
      </c>
      <c r="AD105">
        <f>FIND(" ",Table1[[#This Row],[Customer_Name]])</f>
        <v>6</v>
      </c>
      <c r="AE105" t="str">
        <f>TRIM(Table1[[#This Row],[Customer_Name]])</f>
        <v>Vikas Yadav</v>
      </c>
      <c r="AF105">
        <f>LEN(Table1[[#This Row],[Trimmed]])</f>
        <v>11</v>
      </c>
      <c r="AG105">
        <f>MAX(Table1[Length])</f>
        <v>15</v>
      </c>
      <c r="AH105" t="str">
        <f>PROPER(Table1[[#This Row],[Customer_Name]])</f>
        <v>Vikas Yadav</v>
      </c>
      <c r="AI105" t="str">
        <f>LOWER(Table1[[#This Row],[Customer_Name]])</f>
        <v>vikas yadav</v>
      </c>
      <c r="AJ105" t="str">
        <f>UPPER(Table1[[#This Row],[Customer_Name]])</f>
        <v>VIKAS YADAV</v>
      </c>
      <c r="AK105" t="str">
        <f>CONCATENATE(Table1[[#This Row],[Customer_ID]],Table1[[#This Row],[Customer_Name]])</f>
        <v>C1047Vikas Yadav</v>
      </c>
      <c r="AL105" t="s">
        <v>209</v>
      </c>
      <c r="AM105" t="s">
        <v>210</v>
      </c>
      <c r="AN105" t="s">
        <v>211</v>
      </c>
      <c r="AO105" t="s">
        <v>209</v>
      </c>
      <c r="AP105" t="s">
        <v>210</v>
      </c>
      <c r="AQ105" t="s">
        <v>166</v>
      </c>
      <c r="AR105" t="str">
        <f>TRIM(Table1[[#This Row],[City]])</f>
        <v>Bengaluru</v>
      </c>
      <c r="AS105" t="str">
        <f>PROPER(Table1[[#This Row],[City]])</f>
        <v>Bengaluru</v>
      </c>
      <c r="AT105" t="s">
        <v>167</v>
      </c>
      <c r="AU105" t="str">
        <f>CONCATENATE(Table1[[#This Row],[City]],Table1[[#This Row],[State]])</f>
        <v>BengaluruKarnataka</v>
      </c>
      <c r="AV105" t="s">
        <v>168</v>
      </c>
      <c r="AW105" t="s">
        <v>250</v>
      </c>
      <c r="AX105" t="str">
        <f>REPLACE(Table1[[#This Row],[Product_ID]],1,1,"s")</f>
        <v>s113</v>
      </c>
      <c r="AY105" t="s">
        <v>707</v>
      </c>
      <c r="AZ105">
        <f>SEARCH("-",Table1[[#This Row],[Product ID]])</f>
        <v>2</v>
      </c>
      <c r="BA105">
        <f>FIND("-",Table1[[#This Row],[Product ID]])</f>
        <v>2</v>
      </c>
      <c r="BB105" t="str">
        <f>MID(Table1[[#This Row],[Product_ID]],2,3)</f>
        <v>113</v>
      </c>
      <c r="BC105" t="str">
        <f>RIGHT(Table1[[#This Row],[Product_ID]],3)</f>
        <v>113</v>
      </c>
      <c r="BD105" t="str">
        <f>LEFT(Table1[[#This Row],[Product_ID]],3)</f>
        <v>P11</v>
      </c>
      <c r="BE105" t="str">
        <f>_xlfn.XLOOKUP(Table1[[#This Row],[Product_ID]],AW:AW,BF:BF,,0)</f>
        <v>Desk Lamp</v>
      </c>
      <c r="BF105" t="s">
        <v>252</v>
      </c>
      <c r="BG105">
        <f>LEN(Table1[[#This Row],[Product_Name]])</f>
        <v>9</v>
      </c>
      <c r="BH105" t="s">
        <v>133</v>
      </c>
      <c r="BI105">
        <f t="shared" si="14"/>
        <v>75</v>
      </c>
      <c r="BJ105" t="str">
        <f>SUBSTITUTE(Table1[[#This Row],[Category]],"Electronics","ELECTRONICS")</f>
        <v>Home</v>
      </c>
      <c r="BN105" t="s">
        <v>253</v>
      </c>
      <c r="BS105" s="14">
        <v>5</v>
      </c>
      <c r="BT105" s="3">
        <v>1299</v>
      </c>
      <c r="BU105" s="4">
        <v>0</v>
      </c>
      <c r="BV105" s="4" t="str">
        <f>IF(AND(Table1[[#This Row],[Quantity]]&gt;=3,Table1[[#This Row],[Discount_%]]&gt;=15%),"Bulk Discount","no")</f>
        <v>no</v>
      </c>
      <c r="BW105" s="4" t="str">
        <f>IF(AND(Table1[[#This Row],[Quantity]]&gt;3,Table1[[#This Row],[Discount_%]]&gt;15%),"Bulk Customer","Normal")</f>
        <v>Normal</v>
      </c>
      <c r="BX105" t="s">
        <v>192</v>
      </c>
      <c r="BY105" t="s">
        <v>156</v>
      </c>
      <c r="CC105" t="str">
        <f>IF(OR(Table1[[#This Row],[Order_Status]]="Returned",Table1[[#This Row],[Order_Status]]="Cancelled"),"Attention Required","Not")</f>
        <v>Attention Required</v>
      </c>
      <c r="CD105" t="str">
        <f>IF(OR(Table1[[#This Row],[Order_Status]]="Returned",Table1[[#This Row],[Order_Status]]="Cancelled"),"Review","no")</f>
        <v>Review</v>
      </c>
      <c r="CE105" t="str">
        <f>SUBSTITUTE(Table1[[#This Row],[Order_Status]],"Delivered","Completed")</f>
        <v>Cancelled</v>
      </c>
      <c r="CF105" s="2">
        <v>46237</v>
      </c>
      <c r="CG105" s="17">
        <f>NETWORKDAYS(Table1[[#This Row],[Order_Date]],Table1[[#This Row],[Delivery_Date]])</f>
        <v>4</v>
      </c>
      <c r="CH105" s="17">
        <f>Table1[[#This Row],[Delivery_Date]]-Table1[[#This Row],[Order_Date]]</f>
        <v>5</v>
      </c>
      <c r="CI105" t="s">
        <v>137</v>
      </c>
      <c r="CJ105" t="str">
        <f>IF(Table1[[#This Row],[Rating]]&gt;=4,"Good","Needs Improvement")</f>
        <v>Needs Improvement</v>
      </c>
      <c r="CK105" t="str">
        <f>IF(OR(Table1[[#This Row],[Rating]]&lt;=2,Table1[[#This Row],[Profit]]&lt;0),"Review","NO")</f>
        <v>Review</v>
      </c>
      <c r="CL105" t="e" cm="1">
        <f t="array" ref="CL105">_xlfn.IFS(Table1[[#This Row],[Rating]]&gt;2,"Poor",Table1[[#This Row],[Rating]]=3,"Average",Table1[[#This Row],[Rating]]=4,"Good",CP105=5,"Excellent")</f>
        <v>#N/A</v>
      </c>
      <c r="CM105">
        <f>COUNT(Table1[[#This Row],[Rating]])</f>
        <v>1</v>
      </c>
      <c r="CN105">
        <f>COUNTBLANK(Table1[[#This Row],[Rating]])</f>
        <v>0</v>
      </c>
      <c r="CP105" t="s">
        <v>157</v>
      </c>
      <c r="CQ105" s="14">
        <v>1</v>
      </c>
      <c r="CR105" t="s">
        <v>173</v>
      </c>
      <c r="CS105" t="s">
        <v>140</v>
      </c>
      <c r="CU105" s="3">
        <v>6495</v>
      </c>
      <c r="CV105" s="3">
        <f>ROUND(Table1[[#This Row],[Sales_Amount]],0)</f>
        <v>6495</v>
      </c>
      <c r="CW105" s="3"/>
      <c r="CX105" s="3"/>
      <c r="CY105" s="3" t="b">
        <f>IF(AND(Table1[[#This Row],[Sales_Amount]]&gt;=10000,Table1[[#This Row],[Profit]]&gt;0),"Good Order")</f>
        <v>0</v>
      </c>
      <c r="CZ105" s="3" t="str">
        <f>IF(Table1[[#This Row],[Sales_Amount]]&gt;=10000,"High","Normal")</f>
        <v>Normal</v>
      </c>
      <c r="DA105" s="3">
        <v>3245</v>
      </c>
      <c r="DB105" s="3">
        <f>ROUND(Table1[[#This Row],[Profit]],0)</f>
        <v>3245</v>
      </c>
      <c r="DC105" s="3">
        <f>ABS(Table1[[#This Row],[Profit]])</f>
        <v>3245</v>
      </c>
      <c r="DD105" s="3"/>
      <c r="DE105" s="3"/>
      <c r="DF105" s="3"/>
      <c r="DG105" s="3" t="str">
        <f>IF(Table1[[#This Row],[Profit]]&gt;0,"Profit","Loss")</f>
        <v>Profit</v>
      </c>
      <c r="DH105" s="3" t="str">
        <f>IF(AND(Table1[[#This Row],[Sales_Amount]]&gt;=10000,Table1[[#This Row],[Profit]]&gt;0),"Priority","Normal")</f>
        <v>Normal</v>
      </c>
      <c r="DI105" s="3">
        <f t="shared" ca="1" si="9"/>
        <v>0.23009331273252065</v>
      </c>
      <c r="DJ105" s="3">
        <f t="shared" ca="1" si="10"/>
        <v>26</v>
      </c>
      <c r="DK105" s="3"/>
      <c r="DL105" s="3"/>
      <c r="DM105" s="3"/>
      <c r="DN105" s="3"/>
      <c r="DO105" s="3"/>
      <c r="DP105" s="3"/>
    </row>
    <row r="106" spans="1:120">
      <c r="A106" t="s">
        <v>708</v>
      </c>
      <c r="B106" t="str">
        <f>REPLACE(Table1[[#This Row],[Order_ID]],1,3,"YOO")</f>
        <v>YOO10105</v>
      </c>
      <c r="C106" t="str">
        <f>MID(Table1[[#This Row],[Order_ID]],4,4)</f>
        <v>1010</v>
      </c>
      <c r="D106" t="str">
        <f>LEFT(Table1[[#This Row],[Order_ID]],4)</f>
        <v>ORD1</v>
      </c>
      <c r="E106" t="str">
        <f>RIGHT(Table1[[#This Row],[Order_ID]],5)</f>
        <v>10105</v>
      </c>
      <c r="F106" t="s">
        <v>5</v>
      </c>
      <c r="G106">
        <v>10105</v>
      </c>
      <c r="H106" t="s">
        <v>709</v>
      </c>
      <c r="I106" s="2">
        <f>EDATE(Table1[[#This Row],[Order_Date]],3)</f>
        <v>46157</v>
      </c>
      <c r="J106" s="2">
        <f>EDATE(Table1[[#This Row],[Order_Date]],6)</f>
        <v>46249</v>
      </c>
      <c r="K106">
        <f ca="1">YEAR(Table1[[#This Row],[Today]])</f>
        <v>2026</v>
      </c>
      <c r="L106">
        <v>105</v>
      </c>
      <c r="M106">
        <f ca="1">DAY(Table1[[#This Row],[Today]])</f>
        <v>11</v>
      </c>
      <c r="N106" s="19">
        <f t="shared" ca="1" si="13"/>
        <v>46245.589795370368</v>
      </c>
      <c r="O106" s="2">
        <f t="shared" ca="1" si="8"/>
        <v>46245</v>
      </c>
      <c r="P106" s="17">
        <f ca="1">Table1[[#This Row],[Today]]-Table1[[#This Row],[Order_Date]]</f>
        <v>177</v>
      </c>
      <c r="Q106" s="2">
        <v>45762</v>
      </c>
      <c r="R106" s="2">
        <v>46068</v>
      </c>
      <c r="S106" s="6">
        <f t="shared" si="11"/>
        <v>2026</v>
      </c>
      <c r="T106" s="7" t="str">
        <f t="shared" si="12"/>
        <v>February</v>
      </c>
      <c r="U106" s="2">
        <f>WORKDAY(Table1[[#This Row],[Order_Date]],5)</f>
        <v>46073</v>
      </c>
      <c r="V106" s="7" t="str">
        <f>CONCATENATE(Table1[[#This Row],[Customer_ID]],Table1[[#This Row],[Customer_Name]])</f>
        <v>C1136Karan Patel</v>
      </c>
      <c r="W106" t="s">
        <v>710</v>
      </c>
      <c r="X106" t="s">
        <v>280</v>
      </c>
      <c r="Y106">
        <f>COUNTA(Table1[[#This Row],[Customer_Name]])</f>
        <v>1</v>
      </c>
      <c r="Z106" t="str">
        <f>SUBSTITUTE(Table1[[#This Row],[Customer_Name]]," ","_")</f>
        <v>Karan_Patel</v>
      </c>
      <c r="AA106" s="10">
        <f>IFERROR(SEARCH("a",Table1[[#This Row],[Customer_Name]]),"N/A")</f>
        <v>2</v>
      </c>
      <c r="AB106">
        <f>SEARCH(" ",Table1[[#This Row],[Customer_Name]])</f>
        <v>6</v>
      </c>
      <c r="AC106" s="11">
        <f>IFERROR(FIND("a",Table1[[#This Row],[Customer_Name]]),"N/A")</f>
        <v>2</v>
      </c>
      <c r="AD106">
        <f>FIND(" ",Table1[[#This Row],[Customer_Name]])</f>
        <v>6</v>
      </c>
      <c r="AE106" t="str">
        <f>TRIM(Table1[[#This Row],[Customer_Name]])</f>
        <v>Karan Patel</v>
      </c>
      <c r="AF106">
        <f>LEN(Table1[[#This Row],[Trimmed]])</f>
        <v>11</v>
      </c>
      <c r="AG106">
        <f>MAX(Table1[Length])</f>
        <v>15</v>
      </c>
      <c r="AH106" t="str">
        <f>PROPER(Table1[[#This Row],[Customer_Name]])</f>
        <v>Karan Patel</v>
      </c>
      <c r="AI106" t="str">
        <f>LOWER(Table1[[#This Row],[Customer_Name]])</f>
        <v>karan patel</v>
      </c>
      <c r="AJ106" t="str">
        <f>UPPER(Table1[[#This Row],[Customer_Name]])</f>
        <v>KARAN PATEL</v>
      </c>
      <c r="AK106" t="str">
        <f>CONCATENATE(Table1[[#This Row],[Customer_ID]],Table1[[#This Row],[Customer_Name]])</f>
        <v>C1136Karan Patel</v>
      </c>
      <c r="AL106" t="s">
        <v>281</v>
      </c>
      <c r="AM106" t="s">
        <v>282</v>
      </c>
      <c r="AN106" t="s">
        <v>283</v>
      </c>
      <c r="AO106" t="s">
        <v>281</v>
      </c>
      <c r="AP106" t="s">
        <v>282</v>
      </c>
      <c r="AQ106" t="s">
        <v>569</v>
      </c>
      <c r="AR106" t="str">
        <f>TRIM(Table1[[#This Row],[City]])</f>
        <v>Delhi</v>
      </c>
      <c r="AS106" t="str">
        <f>PROPER(Table1[[#This Row],[City]])</f>
        <v>Delhi</v>
      </c>
      <c r="AT106" t="s">
        <v>569</v>
      </c>
      <c r="AU106" t="str">
        <f>CONCATENATE(Table1[[#This Row],[City]],Table1[[#This Row],[State]])</f>
        <v>DelhiDelhi</v>
      </c>
      <c r="AV106" t="s">
        <v>150</v>
      </c>
      <c r="AW106" t="s">
        <v>319</v>
      </c>
      <c r="AX106" t="str">
        <f>REPLACE(Table1[[#This Row],[Product_ID]],1,1,"s")</f>
        <v>s103</v>
      </c>
      <c r="AY106" t="s">
        <v>711</v>
      </c>
      <c r="AZ106">
        <f>SEARCH("-",Table1[[#This Row],[Product ID]])</f>
        <v>2</v>
      </c>
      <c r="BA106">
        <f>FIND("-",Table1[[#This Row],[Product ID]])</f>
        <v>2</v>
      </c>
      <c r="BB106" t="str">
        <f>MID(Table1[[#This Row],[Product_ID]],2,3)</f>
        <v>103</v>
      </c>
      <c r="BC106" t="str">
        <f>RIGHT(Table1[[#This Row],[Product_ID]],3)</f>
        <v>103</v>
      </c>
      <c r="BD106" t="str">
        <f>LEFT(Table1[[#This Row],[Product_ID]],3)</f>
        <v>P10</v>
      </c>
      <c r="BE106" t="str">
        <f>_xlfn.XLOOKUP(Table1[[#This Row],[Product_ID]],AW:AW,BF:BF,,0)</f>
        <v>Laptop Stand</v>
      </c>
      <c r="BF106" t="s">
        <v>321</v>
      </c>
      <c r="BG106">
        <f>LEN(Table1[[#This Row],[Product_Name]])</f>
        <v>12</v>
      </c>
      <c r="BH106" t="s">
        <v>154</v>
      </c>
      <c r="BI106">
        <f t="shared" si="14"/>
        <v>75</v>
      </c>
      <c r="BJ106" t="str">
        <f>SUBSTITUTE(Table1[[#This Row],[Category]],"Electronics","ELECTRONICS")</f>
        <v>ELECTRONICS</v>
      </c>
      <c r="BN106" t="s">
        <v>155</v>
      </c>
      <c r="BS106" s="14">
        <v>1</v>
      </c>
      <c r="BT106" s="3">
        <v>1599</v>
      </c>
      <c r="BU106" s="4">
        <v>5</v>
      </c>
      <c r="BV106" s="4" t="str">
        <f>IF(AND(Table1[[#This Row],[Quantity]]&gt;=3,Table1[[#This Row],[Discount_%]]&gt;=15%),"Bulk Discount","no")</f>
        <v>no</v>
      </c>
      <c r="BW106" s="4" t="str">
        <f>IF(AND(Table1[[#This Row],[Quantity]]&gt;3,Table1[[#This Row],[Discount_%]]&gt;15%),"Bulk Customer","Normal")</f>
        <v>Normal</v>
      </c>
      <c r="BX106" t="s">
        <v>330</v>
      </c>
      <c r="BY106" t="s">
        <v>374</v>
      </c>
      <c r="CC106" t="str">
        <f>IF(OR(Table1[[#This Row],[Order_Status]]="Returned",Table1[[#This Row],[Order_Status]]="Cancelled"),"Attention Required","Not")</f>
        <v>Attention Required</v>
      </c>
      <c r="CD106" t="str">
        <f>IF(OR(Table1[[#This Row],[Order_Status]]="Returned",Table1[[#This Row],[Order_Status]]="Cancelled"),"Review","no")</f>
        <v>Review</v>
      </c>
      <c r="CE106" t="str">
        <f>SUBSTITUTE(Table1[[#This Row],[Order_Status]],"Delivered","Completed")</f>
        <v>Returned</v>
      </c>
      <c r="CF106" s="2">
        <v>46069</v>
      </c>
      <c r="CG106" s="17">
        <f>NETWORKDAYS(Table1[[#This Row],[Order_Date]],Table1[[#This Row],[Delivery_Date]])</f>
        <v>1</v>
      </c>
      <c r="CH106" s="17">
        <f>Table1[[#This Row],[Delivery_Date]]-Table1[[#This Row],[Order_Date]]</f>
        <v>1</v>
      </c>
      <c r="CI106" t="s">
        <v>375</v>
      </c>
      <c r="CJ106" t="str">
        <f>IF(Table1[[#This Row],[Rating]]&gt;=4,"Good","Needs Improvement")</f>
        <v>Needs Improvement</v>
      </c>
      <c r="CK106" t="str">
        <f>IF(OR(Table1[[#This Row],[Rating]]&lt;=2,Table1[[#This Row],[Profit]]&lt;0),"Review","NO")</f>
        <v>Review</v>
      </c>
      <c r="CL106" t="e" cm="1">
        <f t="array" ref="CL106">_xlfn.IFS(Table1[[#This Row],[Rating]]&gt;2,"Poor",Table1[[#This Row],[Rating]]=3,"Average",Table1[[#This Row],[Rating]]=4,"Good",CP106=5,"Excellent")</f>
        <v>#N/A</v>
      </c>
      <c r="CM106">
        <f>COUNT(Table1[[#This Row],[Rating]])</f>
        <v>1</v>
      </c>
      <c r="CN106">
        <f>COUNTBLANK(Table1[[#This Row],[Rating]])</f>
        <v>0</v>
      </c>
      <c r="CP106" t="s">
        <v>138</v>
      </c>
      <c r="CQ106" s="14">
        <v>2</v>
      </c>
      <c r="CR106" t="s">
        <v>173</v>
      </c>
      <c r="CS106" t="s">
        <v>195</v>
      </c>
      <c r="CU106" s="3">
        <v>1519.05</v>
      </c>
      <c r="CV106" s="3">
        <f>ROUND(Table1[[#This Row],[Sales_Amount]],0)</f>
        <v>1519</v>
      </c>
      <c r="CW106" s="3"/>
      <c r="CX106" s="3"/>
      <c r="CY106" s="3" t="b">
        <f>IF(AND(Table1[[#This Row],[Sales_Amount]]&gt;=10000,Table1[[#This Row],[Profit]]&gt;0),"Good Order")</f>
        <v>0</v>
      </c>
      <c r="CZ106" s="3" t="str">
        <f>IF(Table1[[#This Row],[Sales_Amount]]&gt;=10000,"High","Normal")</f>
        <v>Normal</v>
      </c>
      <c r="DA106" s="3">
        <v>619.04999999999995</v>
      </c>
      <c r="DB106" s="3">
        <f>ROUND(Table1[[#This Row],[Profit]],0)</f>
        <v>619</v>
      </c>
      <c r="DC106" s="3">
        <f>ABS(Table1[[#This Row],[Profit]])</f>
        <v>619.04999999999995</v>
      </c>
      <c r="DD106" s="3"/>
      <c r="DE106" s="3"/>
      <c r="DF106" s="3"/>
      <c r="DG106" s="3" t="str">
        <f>IF(Table1[[#This Row],[Profit]]&gt;0,"Profit","Loss")</f>
        <v>Profit</v>
      </c>
      <c r="DH106" s="3" t="str">
        <f>IF(AND(Table1[[#This Row],[Sales_Amount]]&gt;=10000,Table1[[#This Row],[Profit]]&gt;0),"Priority","Normal")</f>
        <v>Normal</v>
      </c>
      <c r="DI106" s="3">
        <f t="shared" ca="1" si="9"/>
        <v>0.21681707442719078</v>
      </c>
      <c r="DJ106" s="3">
        <f t="shared" ca="1" si="10"/>
        <v>97</v>
      </c>
      <c r="DK106" s="3"/>
      <c r="DL106" s="3"/>
      <c r="DM106" s="3"/>
      <c r="DN106" s="3"/>
      <c r="DO106" s="3"/>
      <c r="DP106" s="3"/>
    </row>
    <row r="107" spans="1:120">
      <c r="A107" t="s">
        <v>712</v>
      </c>
      <c r="B107" t="str">
        <f>REPLACE(Table1[[#This Row],[Order_ID]],1,3,"YOO")</f>
        <v>YOO10106</v>
      </c>
      <c r="C107" t="str">
        <f>MID(Table1[[#This Row],[Order_ID]],4,4)</f>
        <v>1010</v>
      </c>
      <c r="D107" t="str">
        <f>LEFT(Table1[[#This Row],[Order_ID]],4)</f>
        <v>ORD1</v>
      </c>
      <c r="E107" t="str">
        <f>RIGHT(Table1[[#This Row],[Order_ID]],5)</f>
        <v>10106</v>
      </c>
      <c r="F107" t="s">
        <v>5</v>
      </c>
      <c r="G107">
        <v>10106</v>
      </c>
      <c r="H107" t="s">
        <v>713</v>
      </c>
      <c r="I107" s="2">
        <f>EDATE(Table1[[#This Row],[Order_Date]],3)</f>
        <v>46069</v>
      </c>
      <c r="J107" s="2">
        <f>EDATE(Table1[[#This Row],[Order_Date]],6)</f>
        <v>46158</v>
      </c>
      <c r="K107">
        <f ca="1">YEAR(Table1[[#This Row],[Today]])</f>
        <v>2026</v>
      </c>
      <c r="L107">
        <v>106</v>
      </c>
      <c r="M107">
        <f ca="1">DAY(Table1[[#This Row],[Today]])</f>
        <v>11</v>
      </c>
      <c r="N107" s="19">
        <f t="shared" ca="1" si="13"/>
        <v>46245.589795138891</v>
      </c>
      <c r="O107" s="2">
        <f t="shared" ca="1" si="8"/>
        <v>46245</v>
      </c>
      <c r="P107" s="17">
        <f ca="1">Table1[[#This Row],[Today]]-Table1[[#This Row],[Order_Date]]</f>
        <v>268</v>
      </c>
      <c r="Q107" s="2">
        <v>45763</v>
      </c>
      <c r="R107" s="2">
        <v>45977</v>
      </c>
      <c r="S107" s="6">
        <f t="shared" si="11"/>
        <v>2025</v>
      </c>
      <c r="T107" s="7" t="str">
        <f t="shared" si="12"/>
        <v>November</v>
      </c>
      <c r="U107" s="2">
        <f>WORKDAY(Table1[[#This Row],[Order_Date]],5)</f>
        <v>45982</v>
      </c>
      <c r="V107" s="7" t="str">
        <f>CONCATENATE(Table1[[#This Row],[Customer_ID]],Table1[[#This Row],[Customer_Name]])</f>
        <v>C1013Aman Singh</v>
      </c>
      <c r="W107" t="s">
        <v>228</v>
      </c>
      <c r="X107" t="s">
        <v>123</v>
      </c>
      <c r="Y107">
        <f>COUNTA(Table1[[#This Row],[Customer_Name]])</f>
        <v>1</v>
      </c>
      <c r="Z107" t="str">
        <f>SUBSTITUTE(Table1[[#This Row],[Customer_Name]]," ","_")</f>
        <v>Aman_Singh</v>
      </c>
      <c r="AA107" s="10">
        <f>IFERROR(SEARCH("a",Table1[[#This Row],[Customer_Name]]),"N/A")</f>
        <v>1</v>
      </c>
      <c r="AB107">
        <f>SEARCH(" ",Table1[[#This Row],[Customer_Name]])</f>
        <v>5</v>
      </c>
      <c r="AC107" s="11">
        <f>IFERROR(FIND("a",Table1[[#This Row],[Customer_Name]]),"N/A")</f>
        <v>3</v>
      </c>
      <c r="AD107">
        <f>FIND(" ",Table1[[#This Row],[Customer_Name]])</f>
        <v>5</v>
      </c>
      <c r="AE107" t="str">
        <f>TRIM(Table1[[#This Row],[Customer_Name]])</f>
        <v>Aman Singh</v>
      </c>
      <c r="AF107">
        <f>LEN(Table1[[#This Row],[Trimmed]])</f>
        <v>10</v>
      </c>
      <c r="AG107">
        <f>MAX(Table1[Length])</f>
        <v>15</v>
      </c>
      <c r="AH107" t="str">
        <f>PROPER(Table1[[#This Row],[Customer_Name]])</f>
        <v>Aman Singh</v>
      </c>
      <c r="AI107" t="str">
        <f>LOWER(Table1[[#This Row],[Customer_Name]])</f>
        <v>aman singh</v>
      </c>
      <c r="AJ107" t="str">
        <f>UPPER(Table1[[#This Row],[Customer_Name]])</f>
        <v>AMAN SINGH</v>
      </c>
      <c r="AK107" t="str">
        <f>CONCATENATE(Table1[[#This Row],[Customer_ID]],Table1[[#This Row],[Customer_Name]])</f>
        <v>C1013Aman Singh</v>
      </c>
      <c r="AL107" t="s">
        <v>124</v>
      </c>
      <c r="AM107" t="s">
        <v>125</v>
      </c>
      <c r="AN107" t="s">
        <v>126</v>
      </c>
      <c r="AO107" t="s">
        <v>124</v>
      </c>
      <c r="AP107" t="s">
        <v>125</v>
      </c>
      <c r="AQ107" t="s">
        <v>344</v>
      </c>
      <c r="AR107" t="str">
        <f>TRIM(Table1[[#This Row],[City]])</f>
        <v>Bhopal</v>
      </c>
      <c r="AS107" t="str">
        <f>PROPER(Table1[[#This Row],[City]])</f>
        <v>Bhopal</v>
      </c>
      <c r="AT107" t="s">
        <v>345</v>
      </c>
      <c r="AU107" t="str">
        <f>CONCATENATE(Table1[[#This Row],[City]],Table1[[#This Row],[State]])</f>
        <v>BhopalMadhya Pradesh</v>
      </c>
      <c r="AV107" t="s">
        <v>346</v>
      </c>
      <c r="AW107" t="s">
        <v>319</v>
      </c>
      <c r="AX107" t="str">
        <f>REPLACE(Table1[[#This Row],[Product_ID]],1,1,"s")</f>
        <v>s103</v>
      </c>
      <c r="AY107" t="s">
        <v>714</v>
      </c>
      <c r="AZ107">
        <f>SEARCH("-",Table1[[#This Row],[Product ID]])</f>
        <v>2</v>
      </c>
      <c r="BA107">
        <f>FIND("-",Table1[[#This Row],[Product ID]])</f>
        <v>2</v>
      </c>
      <c r="BB107" t="str">
        <f>MID(Table1[[#This Row],[Product_ID]],2,3)</f>
        <v>103</v>
      </c>
      <c r="BC107" t="str">
        <f>RIGHT(Table1[[#This Row],[Product_ID]],3)</f>
        <v>103</v>
      </c>
      <c r="BD107" t="str">
        <f>LEFT(Table1[[#This Row],[Product_ID]],3)</f>
        <v>P10</v>
      </c>
      <c r="BE107" t="str">
        <f>_xlfn.XLOOKUP(Table1[[#This Row],[Product_ID]],AW:AW,BF:BF,,0)</f>
        <v>Laptop Stand</v>
      </c>
      <c r="BF107" t="s">
        <v>321</v>
      </c>
      <c r="BG107">
        <f>LEN(Table1[[#This Row],[Product_Name]])</f>
        <v>12</v>
      </c>
      <c r="BH107" t="s">
        <v>154</v>
      </c>
      <c r="BI107">
        <f t="shared" si="14"/>
        <v>75</v>
      </c>
      <c r="BJ107" t="str">
        <f>SUBSTITUTE(Table1[[#This Row],[Category]],"Electronics","ELECTRONICS")</f>
        <v>ELECTRONICS</v>
      </c>
      <c r="BN107" t="s">
        <v>155</v>
      </c>
      <c r="BS107" s="14">
        <v>3</v>
      </c>
      <c r="BT107" s="3">
        <v>1599</v>
      </c>
      <c r="BU107" s="4">
        <v>0</v>
      </c>
      <c r="BV107" s="4" t="str">
        <f>IF(AND(Table1[[#This Row],[Quantity]]&gt;=3,Table1[[#This Row],[Discount_%]]&gt;=15%),"Bulk Discount","no")</f>
        <v>no</v>
      </c>
      <c r="BW107" s="4" t="str">
        <f>IF(AND(Table1[[#This Row],[Quantity]]&gt;3,Table1[[#This Row],[Discount_%]]&gt;15%),"Bulk Customer","Normal")</f>
        <v>Normal</v>
      </c>
      <c r="BX107" t="s">
        <v>192</v>
      </c>
      <c r="BY107" t="s">
        <v>136</v>
      </c>
      <c r="CC107" t="str">
        <f>IF(OR(Table1[[#This Row],[Order_Status]]="Returned",Table1[[#This Row],[Order_Status]]="Cancelled"),"Attention Required","Not")</f>
        <v>Not</v>
      </c>
      <c r="CD107" t="str">
        <f>IF(OR(Table1[[#This Row],[Order_Status]]="Returned",Table1[[#This Row],[Order_Status]]="Cancelled"),"Review","no")</f>
        <v>no</v>
      </c>
      <c r="CE107" t="str">
        <f>SUBSTITUTE(Table1[[#This Row],[Order_Status]],"Delivered","Completed")</f>
        <v>Completed</v>
      </c>
      <c r="CF107" s="2">
        <v>45980</v>
      </c>
      <c r="CG107" s="17">
        <f>NETWORKDAYS(Table1[[#This Row],[Order_Date]],Table1[[#This Row],[Delivery_Date]])</f>
        <v>3</v>
      </c>
      <c r="CH107" s="17">
        <f>Table1[[#This Row],[Delivery_Date]]-Table1[[#This Row],[Order_Date]]</f>
        <v>3</v>
      </c>
      <c r="CI107" t="s">
        <v>137</v>
      </c>
      <c r="CJ107" t="str">
        <f>IF(Table1[[#This Row],[Rating]]&gt;=4,"Good","Needs Improvement")</f>
        <v>Needs Improvement</v>
      </c>
      <c r="CK107" t="str">
        <f>IF(OR(Table1[[#This Row],[Rating]]&lt;=2,Table1[[#This Row],[Profit]]&lt;0),"Review","NO")</f>
        <v>NO</v>
      </c>
      <c r="CL107" t="str" cm="1">
        <f t="array" ref="CL107">_xlfn.IFS(Table1[[#This Row],[Rating]]&gt;2,"Poor",Table1[[#This Row],[Rating]]=3,"Average",Table1[[#This Row],[Rating]]=4,"Good",CP107=5,"Excellent")</f>
        <v>Poor</v>
      </c>
      <c r="CM107">
        <f>COUNT(Table1[[#This Row],[Rating]])</f>
        <v>1</v>
      </c>
      <c r="CN107">
        <f>COUNTBLANK(Table1[[#This Row],[Rating]])</f>
        <v>0</v>
      </c>
      <c r="CP107" t="s">
        <v>138</v>
      </c>
      <c r="CQ107" s="14">
        <v>3</v>
      </c>
      <c r="CR107" t="s">
        <v>204</v>
      </c>
      <c r="CS107" t="s">
        <v>267</v>
      </c>
      <c r="CU107" s="3">
        <v>4797</v>
      </c>
      <c r="CV107" s="3">
        <f>ROUND(Table1[[#This Row],[Sales_Amount]],0)</f>
        <v>4797</v>
      </c>
      <c r="CW107" s="3"/>
      <c r="CX107" s="3"/>
      <c r="CY107" s="3" t="b">
        <f>IF(AND(Table1[[#This Row],[Sales_Amount]]&gt;=10000,Table1[[#This Row],[Profit]]&gt;0),"Good Order")</f>
        <v>0</v>
      </c>
      <c r="CZ107" s="3" t="str">
        <f>IF(Table1[[#This Row],[Sales_Amount]]&gt;=10000,"High","Normal")</f>
        <v>Normal</v>
      </c>
      <c r="DA107" s="3">
        <v>2097</v>
      </c>
      <c r="DB107" s="3">
        <f>ROUND(Table1[[#This Row],[Profit]],0)</f>
        <v>2097</v>
      </c>
      <c r="DC107" s="3">
        <f>ABS(Table1[[#This Row],[Profit]])</f>
        <v>2097</v>
      </c>
      <c r="DD107" s="3"/>
      <c r="DE107" s="3"/>
      <c r="DF107" s="3"/>
      <c r="DG107" s="3" t="str">
        <f>IF(Table1[[#This Row],[Profit]]&gt;0,"Profit","Loss")</f>
        <v>Profit</v>
      </c>
      <c r="DH107" s="3" t="str">
        <f>IF(AND(Table1[[#This Row],[Sales_Amount]]&gt;=10000,Table1[[#This Row],[Profit]]&gt;0),"Priority","Normal")</f>
        <v>Normal</v>
      </c>
      <c r="DI107" s="3">
        <f t="shared" ca="1" si="9"/>
        <v>0.26598700054226843</v>
      </c>
      <c r="DJ107" s="3">
        <f t="shared" ca="1" si="10"/>
        <v>8</v>
      </c>
      <c r="DK107" s="3"/>
      <c r="DL107" s="3"/>
      <c r="DM107" s="3"/>
      <c r="DN107" s="3"/>
      <c r="DO107" s="3"/>
      <c r="DP107" s="3"/>
    </row>
    <row r="108" spans="1:120">
      <c r="A108" t="s">
        <v>715</v>
      </c>
      <c r="B108" t="str">
        <f>REPLACE(Table1[[#This Row],[Order_ID]],1,3,"YOO")</f>
        <v>YOO10107</v>
      </c>
      <c r="C108" t="str">
        <f>MID(Table1[[#This Row],[Order_ID]],4,4)</f>
        <v>1010</v>
      </c>
      <c r="D108" t="str">
        <f>LEFT(Table1[[#This Row],[Order_ID]],4)</f>
        <v>ORD1</v>
      </c>
      <c r="E108" t="str">
        <f>RIGHT(Table1[[#This Row],[Order_ID]],5)</f>
        <v>10107</v>
      </c>
      <c r="F108" t="s">
        <v>5</v>
      </c>
      <c r="G108">
        <v>10107</v>
      </c>
      <c r="H108" t="s">
        <v>716</v>
      </c>
      <c r="I108" s="2">
        <f>EDATE(Table1[[#This Row],[Order_Date]],3)</f>
        <v>46202</v>
      </c>
      <c r="J108" s="2">
        <f>EDATE(Table1[[#This Row],[Order_Date]],6)</f>
        <v>46294</v>
      </c>
      <c r="K108">
        <f ca="1">YEAR(Table1[[#This Row],[Today]])</f>
        <v>2026</v>
      </c>
      <c r="L108">
        <v>107</v>
      </c>
      <c r="M108">
        <f ca="1">DAY(Table1[[#This Row],[Today]])</f>
        <v>11</v>
      </c>
      <c r="N108" s="19">
        <f t="shared" ca="1" si="13"/>
        <v>46245.589795370368</v>
      </c>
      <c r="O108" s="2">
        <f t="shared" ca="1" si="8"/>
        <v>46245</v>
      </c>
      <c r="P108" s="17">
        <f ca="1">Table1[[#This Row],[Today]]-Table1[[#This Row],[Order_Date]]</f>
        <v>135</v>
      </c>
      <c r="Q108" s="2">
        <v>45764</v>
      </c>
      <c r="R108" s="2">
        <v>46110</v>
      </c>
      <c r="S108" s="6">
        <f t="shared" si="11"/>
        <v>2026</v>
      </c>
      <c r="T108" s="7" t="str">
        <f t="shared" si="12"/>
        <v>March</v>
      </c>
      <c r="U108" s="2">
        <f>WORKDAY(Table1[[#This Row],[Order_Date]],5)</f>
        <v>46115</v>
      </c>
      <c r="V108" s="7" t="str">
        <f>CONCATENATE(Table1[[#This Row],[Customer_ID]],Table1[[#This Row],[Customer_Name]])</f>
        <v>C1111Neha Gupta</v>
      </c>
      <c r="W108" t="s">
        <v>387</v>
      </c>
      <c r="X108" t="s">
        <v>229</v>
      </c>
      <c r="Y108">
        <f>COUNTA(Table1[[#This Row],[Customer_Name]])</f>
        <v>1</v>
      </c>
      <c r="Z108" t="str">
        <f>SUBSTITUTE(Table1[[#This Row],[Customer_Name]]," ","_")</f>
        <v>Neha_Gupta</v>
      </c>
      <c r="AA108" s="10">
        <f>IFERROR(SEARCH("a",Table1[[#This Row],[Customer_Name]]),"N/A")</f>
        <v>4</v>
      </c>
      <c r="AB108">
        <f>SEARCH(" ",Table1[[#This Row],[Customer_Name]])</f>
        <v>5</v>
      </c>
      <c r="AC108" s="11">
        <f>IFERROR(FIND("a",Table1[[#This Row],[Customer_Name]]),"N/A")</f>
        <v>4</v>
      </c>
      <c r="AD108">
        <f>FIND(" ",Table1[[#This Row],[Customer_Name]])</f>
        <v>5</v>
      </c>
      <c r="AE108" t="str">
        <f>TRIM(Table1[[#This Row],[Customer_Name]])</f>
        <v>Neha Gupta</v>
      </c>
      <c r="AF108">
        <f>LEN(Table1[[#This Row],[Trimmed]])</f>
        <v>10</v>
      </c>
      <c r="AG108">
        <f>MAX(Table1[Length])</f>
        <v>15</v>
      </c>
      <c r="AH108" t="str">
        <f>PROPER(Table1[[#This Row],[Customer_Name]])</f>
        <v>Neha Gupta</v>
      </c>
      <c r="AI108" t="str">
        <f>LOWER(Table1[[#This Row],[Customer_Name]])</f>
        <v>neha gupta</v>
      </c>
      <c r="AJ108" t="str">
        <f>UPPER(Table1[[#This Row],[Customer_Name]])</f>
        <v>NEHA GUPTA</v>
      </c>
      <c r="AK108" t="str">
        <f>CONCATENATE(Table1[[#This Row],[Customer_ID]],Table1[[#This Row],[Customer_Name]])</f>
        <v>C1111Neha Gupta</v>
      </c>
      <c r="AL108" t="s">
        <v>230</v>
      </c>
      <c r="AM108" t="s">
        <v>231</v>
      </c>
      <c r="AN108" t="s">
        <v>232</v>
      </c>
      <c r="AO108" t="s">
        <v>230</v>
      </c>
      <c r="AP108" t="s">
        <v>231</v>
      </c>
      <c r="AQ108" t="s">
        <v>233</v>
      </c>
      <c r="AR108" t="str">
        <f>TRIM(Table1[[#This Row],[City]])</f>
        <v>Kolkata</v>
      </c>
      <c r="AS108" t="str">
        <f>PROPER(Table1[[#This Row],[City]])</f>
        <v>Kolkata</v>
      </c>
      <c r="AT108" t="s">
        <v>234</v>
      </c>
      <c r="AU108" t="str">
        <f>CONCATENATE(Table1[[#This Row],[City]],Table1[[#This Row],[State]])</f>
        <v>KolkataWest Bengal</v>
      </c>
      <c r="AV108" t="s">
        <v>235</v>
      </c>
      <c r="AW108" t="s">
        <v>370</v>
      </c>
      <c r="AX108" t="str">
        <f>REPLACE(Table1[[#This Row],[Product_ID]],1,1,"s")</f>
        <v>s108</v>
      </c>
      <c r="AY108" t="s">
        <v>717</v>
      </c>
      <c r="AZ108">
        <f>SEARCH("-",Table1[[#This Row],[Product ID]])</f>
        <v>2</v>
      </c>
      <c r="BA108">
        <f>FIND("-",Table1[[#This Row],[Product ID]])</f>
        <v>2</v>
      </c>
      <c r="BB108" t="str">
        <f>MID(Table1[[#This Row],[Product_ID]],2,3)</f>
        <v>108</v>
      </c>
      <c r="BC108" t="str">
        <f>RIGHT(Table1[[#This Row],[Product_ID]],3)</f>
        <v>108</v>
      </c>
      <c r="BD108" t="str">
        <f>LEFT(Table1[[#This Row],[Product_ID]],3)</f>
        <v>P10</v>
      </c>
      <c r="BE108" t="str">
        <f>_xlfn.XLOOKUP(Table1[[#This Row],[Product_ID]],AW:AW,BF:BF,,0)</f>
        <v>Hoodie</v>
      </c>
      <c r="BF108" t="s">
        <v>372</v>
      </c>
      <c r="BG108">
        <f>LEN(Table1[[#This Row],[Product_Name]])</f>
        <v>6</v>
      </c>
      <c r="BH108" t="s">
        <v>224</v>
      </c>
      <c r="BI108">
        <f t="shared" si="14"/>
        <v>75</v>
      </c>
      <c r="BJ108" t="str">
        <f>SUBSTITUTE(Table1[[#This Row],[Category]],"Electronics","ELECTRONICS")</f>
        <v>Fashion</v>
      </c>
      <c r="BN108" t="s">
        <v>373</v>
      </c>
      <c r="BS108" s="14">
        <v>4</v>
      </c>
      <c r="BT108" s="3">
        <v>1999</v>
      </c>
      <c r="BU108" s="4">
        <v>10</v>
      </c>
      <c r="BV108" s="4" t="str">
        <f>IF(AND(Table1[[#This Row],[Quantity]]&gt;=3,Table1[[#This Row],[Discount_%]]&gt;=15%),"Bulk Discount","no")</f>
        <v>Bulk Discount</v>
      </c>
      <c r="BW108" s="4" t="str">
        <f>IF(AND(Table1[[#This Row],[Quantity]]&gt;3,Table1[[#This Row],[Discount_%]]&gt;15%),"Bulk Customer","Normal")</f>
        <v>Bulk Customer</v>
      </c>
      <c r="BX108" t="s">
        <v>192</v>
      </c>
      <c r="BY108" t="s">
        <v>136</v>
      </c>
      <c r="CC108" t="str">
        <f>IF(OR(Table1[[#This Row],[Order_Status]]="Returned",Table1[[#This Row],[Order_Status]]="Cancelled"),"Attention Required","Not")</f>
        <v>Not</v>
      </c>
      <c r="CD108" t="str">
        <f>IF(OR(Table1[[#This Row],[Order_Status]]="Returned",Table1[[#This Row],[Order_Status]]="Cancelled"),"Review","no")</f>
        <v>no</v>
      </c>
      <c r="CE108" t="str">
        <f>SUBSTITUTE(Table1[[#This Row],[Order_Status]],"Delivered","Completed")</f>
        <v>Completed</v>
      </c>
      <c r="CF108" s="2">
        <v>46112</v>
      </c>
      <c r="CG108" s="17">
        <f>NETWORKDAYS(Table1[[#This Row],[Order_Date]],Table1[[#This Row],[Delivery_Date]])</f>
        <v>2</v>
      </c>
      <c r="CH108" s="17">
        <f>Table1[[#This Row],[Delivery_Date]]-Table1[[#This Row],[Order_Date]]</f>
        <v>2</v>
      </c>
      <c r="CI108" t="s">
        <v>137</v>
      </c>
      <c r="CJ108" t="str">
        <f>IF(Table1[[#This Row],[Rating]]&gt;=4,"Good","Needs Improvement")</f>
        <v>Good</v>
      </c>
      <c r="CK108" t="str">
        <f>IF(OR(Table1[[#This Row],[Rating]]&lt;=2,Table1[[#This Row],[Profit]]&lt;0),"Review","NO")</f>
        <v>NO</v>
      </c>
      <c r="CL108" t="str" cm="1">
        <f t="array" ref="CL108">_xlfn.IFS(Table1[[#This Row],[Rating]]&gt;2,"Poor",Table1[[#This Row],[Rating]]=3,"Average",Table1[[#This Row],[Rating]]=4,"Good",CP108=5,"Excellent")</f>
        <v>Poor</v>
      </c>
      <c r="CM108">
        <f>COUNT(Table1[[#This Row],[Rating]])</f>
        <v>1</v>
      </c>
      <c r="CN108">
        <f>COUNTBLANK(Table1[[#This Row],[Rating]])</f>
        <v>0</v>
      </c>
      <c r="CQ108" s="14">
        <v>5</v>
      </c>
      <c r="CR108" t="s">
        <v>204</v>
      </c>
      <c r="CS108" t="s">
        <v>174</v>
      </c>
      <c r="CU108" s="3">
        <v>7196.4</v>
      </c>
      <c r="CV108" s="3">
        <f>ROUND(Table1[[#This Row],[Sales_Amount]],0)</f>
        <v>7196</v>
      </c>
      <c r="CW108" s="3"/>
      <c r="CX108" s="3"/>
      <c r="CY108" s="3" t="b">
        <f>IF(AND(Table1[[#This Row],[Sales_Amount]]&gt;=10000,Table1[[#This Row],[Profit]]&gt;0),"Good Order")</f>
        <v>0</v>
      </c>
      <c r="CZ108" s="3" t="str">
        <f>IF(Table1[[#This Row],[Sales_Amount]]&gt;=10000,"High","Normal")</f>
        <v>Normal</v>
      </c>
      <c r="DA108" s="3">
        <v>2996.4</v>
      </c>
      <c r="DB108" s="3">
        <f>ROUND(Table1[[#This Row],[Profit]],0)</f>
        <v>2996</v>
      </c>
      <c r="DC108" s="3">
        <f>ABS(Table1[[#This Row],[Profit]])</f>
        <v>2996.4</v>
      </c>
      <c r="DD108" s="3"/>
      <c r="DE108" s="3"/>
      <c r="DF108" s="3"/>
      <c r="DG108" s="3" t="str">
        <f>IF(Table1[[#This Row],[Profit]]&gt;0,"Profit","Loss")</f>
        <v>Profit</v>
      </c>
      <c r="DH108" s="3" t="str">
        <f>IF(AND(Table1[[#This Row],[Sales_Amount]]&gt;=10000,Table1[[#This Row],[Profit]]&gt;0),"Priority","Normal")</f>
        <v>Normal</v>
      </c>
      <c r="DI108" s="3">
        <f t="shared" ca="1" si="9"/>
        <v>0.84314668048691621</v>
      </c>
      <c r="DJ108" s="3">
        <f t="shared" ca="1" si="10"/>
        <v>57</v>
      </c>
      <c r="DK108" s="3"/>
      <c r="DL108" s="3"/>
      <c r="DM108" s="3"/>
      <c r="DN108" s="3"/>
      <c r="DO108" s="3"/>
      <c r="DP108" s="3"/>
    </row>
    <row r="109" spans="1:120">
      <c r="A109" t="s">
        <v>718</v>
      </c>
      <c r="B109" t="str">
        <f>REPLACE(Table1[[#This Row],[Order_ID]],1,3,"YOO")</f>
        <v>YOO10108</v>
      </c>
      <c r="C109" t="str">
        <f>MID(Table1[[#This Row],[Order_ID]],4,4)</f>
        <v>1010</v>
      </c>
      <c r="D109" t="str">
        <f>LEFT(Table1[[#This Row],[Order_ID]],4)</f>
        <v>ORD1</v>
      </c>
      <c r="E109" t="str">
        <f>RIGHT(Table1[[#This Row],[Order_ID]],5)</f>
        <v>10108</v>
      </c>
      <c r="F109" t="s">
        <v>5</v>
      </c>
      <c r="G109">
        <v>10108</v>
      </c>
      <c r="H109" t="s">
        <v>719</v>
      </c>
      <c r="I109" s="2">
        <f>EDATE(Table1[[#This Row],[Order_Date]],3)</f>
        <v>46065</v>
      </c>
      <c r="J109" s="2">
        <f>EDATE(Table1[[#This Row],[Order_Date]],6)</f>
        <v>46154</v>
      </c>
      <c r="K109">
        <f ca="1">YEAR(Table1[[#This Row],[Today]])</f>
        <v>2026</v>
      </c>
      <c r="L109">
        <v>108</v>
      </c>
      <c r="M109">
        <f ca="1">DAY(Table1[[#This Row],[Today]])</f>
        <v>11</v>
      </c>
      <c r="N109" s="19">
        <f t="shared" ca="1" si="13"/>
        <v>46245.589795370368</v>
      </c>
      <c r="O109" s="2">
        <f t="shared" ca="1" si="8"/>
        <v>46245</v>
      </c>
      <c r="P109" s="17">
        <f ca="1">Table1[[#This Row],[Today]]-Table1[[#This Row],[Order_Date]]</f>
        <v>272</v>
      </c>
      <c r="Q109" s="2">
        <v>45765</v>
      </c>
      <c r="R109" s="2">
        <v>45973</v>
      </c>
      <c r="S109" s="6">
        <f t="shared" si="11"/>
        <v>2025</v>
      </c>
      <c r="T109" s="7" t="str">
        <f t="shared" si="12"/>
        <v>November</v>
      </c>
      <c r="U109" s="2">
        <f>WORKDAY(Table1[[#This Row],[Order_Date]],5)</f>
        <v>45980</v>
      </c>
      <c r="V109" s="7" t="str">
        <f>CONCATENATE(Table1[[#This Row],[Customer_ID]],Table1[[#This Row],[Customer_Name]])</f>
        <v>C1053Pooja Jain</v>
      </c>
      <c r="W109" t="s">
        <v>720</v>
      </c>
      <c r="X109" t="s">
        <v>419</v>
      </c>
      <c r="Y109">
        <f>COUNTA(Table1[[#This Row],[Customer_Name]])</f>
        <v>1</v>
      </c>
      <c r="Z109" t="str">
        <f>SUBSTITUTE(Table1[[#This Row],[Customer_Name]]," ","_")</f>
        <v>Pooja_Jain</v>
      </c>
      <c r="AA109" s="10">
        <f>IFERROR(SEARCH("a",Table1[[#This Row],[Customer_Name]]),"N/A")</f>
        <v>5</v>
      </c>
      <c r="AB109">
        <f>SEARCH(" ",Table1[[#This Row],[Customer_Name]])</f>
        <v>6</v>
      </c>
      <c r="AC109" s="11">
        <f>IFERROR(FIND("a",Table1[[#This Row],[Customer_Name]]),"N/A")</f>
        <v>5</v>
      </c>
      <c r="AD109">
        <f>FIND(" ",Table1[[#This Row],[Customer_Name]])</f>
        <v>6</v>
      </c>
      <c r="AE109" t="str">
        <f>TRIM(Table1[[#This Row],[Customer_Name]])</f>
        <v>Pooja Jain</v>
      </c>
      <c r="AF109">
        <f>LEN(Table1[[#This Row],[Trimmed]])</f>
        <v>10</v>
      </c>
      <c r="AG109">
        <f>MAX(Table1[Length])</f>
        <v>15</v>
      </c>
      <c r="AH109" t="str">
        <f>PROPER(Table1[[#This Row],[Customer_Name]])</f>
        <v>Pooja Jain</v>
      </c>
      <c r="AI109" t="str">
        <f>LOWER(Table1[[#This Row],[Customer_Name]])</f>
        <v>pooja jain</v>
      </c>
      <c r="AJ109" t="str">
        <f>UPPER(Table1[[#This Row],[Customer_Name]])</f>
        <v>POOJA JAIN</v>
      </c>
      <c r="AK109" t="str">
        <f>CONCATENATE(Table1[[#This Row],[Customer_ID]],Table1[[#This Row],[Customer_Name]])</f>
        <v>C1053Pooja Jain</v>
      </c>
      <c r="AL109" t="s">
        <v>420</v>
      </c>
      <c r="AM109" t="s">
        <v>421</v>
      </c>
      <c r="AN109" t="s">
        <v>422</v>
      </c>
      <c r="AO109" t="s">
        <v>420</v>
      </c>
      <c r="AP109" t="s">
        <v>421</v>
      </c>
      <c r="AQ109" t="s">
        <v>304</v>
      </c>
      <c r="AR109" t="str">
        <f>TRIM(Table1[[#This Row],[City]])</f>
        <v>Chennai</v>
      </c>
      <c r="AS109" t="str">
        <f>PROPER(Table1[[#This Row],[City]])</f>
        <v>Chennai</v>
      </c>
      <c r="AT109" t="s">
        <v>305</v>
      </c>
      <c r="AU109" t="str">
        <f>CONCATENATE(Table1[[#This Row],[City]],Table1[[#This Row],[State]])</f>
        <v>ChennaiTamil Nadu</v>
      </c>
      <c r="AV109" t="s">
        <v>168</v>
      </c>
      <c r="AW109" t="s">
        <v>370</v>
      </c>
      <c r="AX109" t="str">
        <f>REPLACE(Table1[[#This Row],[Product_ID]],1,1,"s")</f>
        <v>s108</v>
      </c>
      <c r="AY109" t="s">
        <v>721</v>
      </c>
      <c r="AZ109">
        <f>SEARCH("-",Table1[[#This Row],[Product ID]])</f>
        <v>2</v>
      </c>
      <c r="BA109">
        <f>FIND("-",Table1[[#This Row],[Product ID]])</f>
        <v>2</v>
      </c>
      <c r="BB109" t="str">
        <f>MID(Table1[[#This Row],[Product_ID]],2,3)</f>
        <v>108</v>
      </c>
      <c r="BC109" t="str">
        <f>RIGHT(Table1[[#This Row],[Product_ID]],3)</f>
        <v>108</v>
      </c>
      <c r="BD109" t="str">
        <f>LEFT(Table1[[#This Row],[Product_ID]],3)</f>
        <v>P10</v>
      </c>
      <c r="BE109" t="str">
        <f>_xlfn.XLOOKUP(Table1[[#This Row],[Product_ID]],AW:AW,BF:BF,,0)</f>
        <v>Hoodie</v>
      </c>
      <c r="BF109" t="s">
        <v>372</v>
      </c>
      <c r="BG109">
        <f>LEN(Table1[[#This Row],[Product_Name]])</f>
        <v>6</v>
      </c>
      <c r="BH109" t="s">
        <v>224</v>
      </c>
      <c r="BI109">
        <f t="shared" si="14"/>
        <v>75</v>
      </c>
      <c r="BJ109" t="str">
        <f>SUBSTITUTE(Table1[[#This Row],[Category]],"Electronics","ELECTRONICS")</f>
        <v>Fashion</v>
      </c>
      <c r="BN109" t="s">
        <v>373</v>
      </c>
      <c r="BS109" s="14">
        <v>1</v>
      </c>
      <c r="BT109" s="3">
        <v>1999</v>
      </c>
      <c r="BU109" s="4">
        <v>10</v>
      </c>
      <c r="BV109" s="4" t="str">
        <f>IF(AND(Table1[[#This Row],[Quantity]]&gt;=3,Table1[[#This Row],[Discount_%]]&gt;=15%),"Bulk Discount","no")</f>
        <v>no</v>
      </c>
      <c r="BW109" s="4" t="str">
        <f>IF(AND(Table1[[#This Row],[Quantity]]&gt;3,Table1[[#This Row],[Discount_%]]&gt;15%),"Bulk Customer","Normal")</f>
        <v>Normal</v>
      </c>
      <c r="BX109" t="s">
        <v>187</v>
      </c>
      <c r="BY109" t="s">
        <v>136</v>
      </c>
      <c r="CC109" t="str">
        <f>IF(OR(Table1[[#This Row],[Order_Status]]="Returned",Table1[[#This Row],[Order_Status]]="Cancelled"),"Attention Required","Not")</f>
        <v>Not</v>
      </c>
      <c r="CD109" t="str">
        <f>IF(OR(Table1[[#This Row],[Order_Status]]="Returned",Table1[[#This Row],[Order_Status]]="Cancelled"),"Review","no")</f>
        <v>no</v>
      </c>
      <c r="CE109" t="str">
        <f>SUBSTITUTE(Table1[[#This Row],[Order_Status]],"Delivered","Completed")</f>
        <v>Completed</v>
      </c>
      <c r="CF109" s="2">
        <v>45974</v>
      </c>
      <c r="CG109" s="17">
        <f>NETWORKDAYS(Table1[[#This Row],[Order_Date]],Table1[[#This Row],[Delivery_Date]])</f>
        <v>2</v>
      </c>
      <c r="CH109" s="17">
        <f>Table1[[#This Row],[Delivery_Date]]-Table1[[#This Row],[Order_Date]]</f>
        <v>1</v>
      </c>
      <c r="CI109" t="s">
        <v>137</v>
      </c>
      <c r="CJ109" t="str">
        <f>IF(Table1[[#This Row],[Rating]]&gt;=4,"Good","Needs Improvement")</f>
        <v>Needs Improvement</v>
      </c>
      <c r="CK109" t="str">
        <f>IF(OR(Table1[[#This Row],[Rating]]&lt;=2,Table1[[#This Row],[Profit]]&lt;0),"Review","NO")</f>
        <v>Review</v>
      </c>
      <c r="CL109" t="e" cm="1">
        <f t="array" ref="CL109">_xlfn.IFS(Table1[[#This Row],[Rating]]&gt;2,"Poor",Table1[[#This Row],[Rating]]=3,"Average",Table1[[#This Row],[Rating]]=4,"Good",CP109=5,"Excellent")</f>
        <v>#N/A</v>
      </c>
      <c r="CM109">
        <f>COUNT(Table1[[#This Row],[Rating]])</f>
        <v>1</v>
      </c>
      <c r="CN109">
        <f>COUNTBLANK(Table1[[#This Row],[Rating]])</f>
        <v>0</v>
      </c>
      <c r="CP109" t="s">
        <v>194</v>
      </c>
      <c r="CQ109" s="14">
        <v>1</v>
      </c>
      <c r="CR109" t="s">
        <v>173</v>
      </c>
      <c r="CS109" t="s">
        <v>195</v>
      </c>
      <c r="CU109" s="3">
        <v>1799.1</v>
      </c>
      <c r="CV109" s="3">
        <f>ROUND(Table1[[#This Row],[Sales_Amount]],0)</f>
        <v>1799</v>
      </c>
      <c r="CW109" s="3"/>
      <c r="CX109" s="3"/>
      <c r="CY109" s="3" t="b">
        <f>IF(AND(Table1[[#This Row],[Sales_Amount]]&gt;=10000,Table1[[#This Row],[Profit]]&gt;0),"Good Order")</f>
        <v>0</v>
      </c>
      <c r="CZ109" s="3" t="str">
        <f>IF(Table1[[#This Row],[Sales_Amount]]&gt;=10000,"High","Normal")</f>
        <v>Normal</v>
      </c>
      <c r="DA109" s="3">
        <v>749.1</v>
      </c>
      <c r="DB109" s="3">
        <f>ROUND(Table1[[#This Row],[Profit]],0)</f>
        <v>749</v>
      </c>
      <c r="DC109" s="3">
        <f>ABS(Table1[[#This Row],[Profit]])</f>
        <v>749.1</v>
      </c>
      <c r="DD109" s="3"/>
      <c r="DE109" s="3"/>
      <c r="DF109" s="3"/>
      <c r="DG109" s="3" t="str">
        <f>IF(Table1[[#This Row],[Profit]]&gt;0,"Profit","Loss")</f>
        <v>Profit</v>
      </c>
      <c r="DH109" s="3" t="str">
        <f>IF(AND(Table1[[#This Row],[Sales_Amount]]&gt;=10000,Table1[[#This Row],[Profit]]&gt;0),"Priority","Normal")</f>
        <v>Normal</v>
      </c>
      <c r="DI109" s="3">
        <f t="shared" ca="1" si="9"/>
        <v>0.94949985408526338</v>
      </c>
      <c r="DJ109" s="3">
        <f t="shared" ca="1" si="10"/>
        <v>80</v>
      </c>
      <c r="DK109" s="3"/>
      <c r="DL109" s="3"/>
      <c r="DM109" s="3"/>
      <c r="DN109" s="3"/>
      <c r="DO109" s="3"/>
      <c r="DP109" s="3"/>
    </row>
    <row r="110" spans="1:120">
      <c r="A110" t="s">
        <v>722</v>
      </c>
      <c r="B110" t="str">
        <f>REPLACE(Table1[[#This Row],[Order_ID]],1,3,"YOO")</f>
        <v>YOO10109</v>
      </c>
      <c r="C110" t="str">
        <f>MID(Table1[[#This Row],[Order_ID]],4,4)</f>
        <v>1010</v>
      </c>
      <c r="D110" t="str">
        <f>LEFT(Table1[[#This Row],[Order_ID]],4)</f>
        <v>ORD1</v>
      </c>
      <c r="E110" t="str">
        <f>RIGHT(Table1[[#This Row],[Order_ID]],5)</f>
        <v>10109</v>
      </c>
      <c r="F110" t="s">
        <v>5</v>
      </c>
      <c r="G110">
        <v>10109</v>
      </c>
      <c r="H110" t="s">
        <v>723</v>
      </c>
      <c r="I110" s="2">
        <f>EDATE(Table1[[#This Row],[Order_Date]],3)</f>
        <v>45755</v>
      </c>
      <c r="J110" s="2">
        <f>EDATE(Table1[[#This Row],[Order_Date]],6)</f>
        <v>45846</v>
      </c>
      <c r="K110">
        <f ca="1">YEAR(Table1[[#This Row],[Today]])</f>
        <v>2026</v>
      </c>
      <c r="L110">
        <v>109</v>
      </c>
      <c r="M110">
        <f ca="1">DAY(Table1[[#This Row],[Today]])</f>
        <v>11</v>
      </c>
      <c r="N110" s="19">
        <f t="shared" ca="1" si="13"/>
        <v>46245.589795138891</v>
      </c>
      <c r="O110" s="2">
        <f t="shared" ca="1" si="8"/>
        <v>46245</v>
      </c>
      <c r="P110" s="17">
        <f ca="1">Table1[[#This Row],[Today]]-Table1[[#This Row],[Order_Date]]</f>
        <v>580</v>
      </c>
      <c r="Q110" s="2">
        <v>45766</v>
      </c>
      <c r="R110" s="2">
        <v>45665</v>
      </c>
      <c r="S110" s="6">
        <f t="shared" si="11"/>
        <v>2025</v>
      </c>
      <c r="T110" s="7" t="str">
        <f t="shared" si="12"/>
        <v>January</v>
      </c>
      <c r="U110" s="2">
        <f>WORKDAY(Table1[[#This Row],[Order_Date]],5)</f>
        <v>45672</v>
      </c>
      <c r="V110" s="7" t="str">
        <f>CONCATENATE(Table1[[#This Row],[Customer_ID]],Table1[[#This Row],[Customer_Name]])</f>
        <v>C1137Anjali Joshi</v>
      </c>
      <c r="W110" t="s">
        <v>536</v>
      </c>
      <c r="X110" t="s">
        <v>310</v>
      </c>
      <c r="Y110">
        <f>COUNTA(Table1[[#This Row],[Customer_Name]])</f>
        <v>1</v>
      </c>
      <c r="Z110" t="str">
        <f>SUBSTITUTE(Table1[[#This Row],[Customer_Name]]," ","_")</f>
        <v>Anjali_Joshi</v>
      </c>
      <c r="AA110" s="10">
        <f>IFERROR(SEARCH("a",Table1[[#This Row],[Customer_Name]]),"N/A")</f>
        <v>1</v>
      </c>
      <c r="AB110">
        <f>SEARCH(" ",Table1[[#This Row],[Customer_Name]])</f>
        <v>7</v>
      </c>
      <c r="AC110" s="11">
        <f>IFERROR(FIND("a",Table1[[#This Row],[Customer_Name]]),"N/A")</f>
        <v>4</v>
      </c>
      <c r="AD110">
        <f>FIND(" ",Table1[[#This Row],[Customer_Name]])</f>
        <v>7</v>
      </c>
      <c r="AE110" t="str">
        <f>TRIM(Table1[[#This Row],[Customer_Name]])</f>
        <v>Anjali Joshi</v>
      </c>
      <c r="AF110">
        <f>LEN(Table1[[#This Row],[Trimmed]])</f>
        <v>12</v>
      </c>
      <c r="AG110">
        <f>MAX(Table1[Length])</f>
        <v>15</v>
      </c>
      <c r="AH110" t="str">
        <f>PROPER(Table1[[#This Row],[Customer_Name]])</f>
        <v>Anjali Joshi</v>
      </c>
      <c r="AI110" t="str">
        <f>LOWER(Table1[[#This Row],[Customer_Name]])</f>
        <v>anjali joshi</v>
      </c>
      <c r="AJ110" t="str">
        <f>UPPER(Table1[[#This Row],[Customer_Name]])</f>
        <v>ANJALI JOSHI</v>
      </c>
      <c r="AK110" t="str">
        <f>CONCATENATE(Table1[[#This Row],[Customer_ID]],Table1[[#This Row],[Customer_Name]])</f>
        <v>C1137Anjali Joshi</v>
      </c>
      <c r="AL110" t="s">
        <v>311</v>
      </c>
      <c r="AM110" t="s">
        <v>312</v>
      </c>
      <c r="AN110" t="s">
        <v>313</v>
      </c>
      <c r="AO110" t="s">
        <v>311</v>
      </c>
      <c r="AP110" t="s">
        <v>312</v>
      </c>
      <c r="AQ110" t="s">
        <v>724</v>
      </c>
      <c r="AR110" t="str">
        <f>TRIM(Table1[[#This Row],[City]])</f>
        <v>Pune</v>
      </c>
      <c r="AS110" t="str">
        <f>PROPER(Table1[[#This Row],[City]])</f>
        <v xml:space="preserve"> Pune </v>
      </c>
      <c r="AT110" t="s">
        <v>128</v>
      </c>
      <c r="AU110" t="str">
        <f>CONCATENATE(Table1[[#This Row],[City]],Table1[[#This Row],[State]])</f>
        <v xml:space="preserve"> Pune Maharashtra</v>
      </c>
      <c r="AV110" t="s">
        <v>129</v>
      </c>
      <c r="AW110" t="s">
        <v>221</v>
      </c>
      <c r="AX110" t="str">
        <f>REPLACE(Table1[[#This Row],[Product_ID]],1,1,"s")</f>
        <v>s106</v>
      </c>
      <c r="AY110" t="s">
        <v>725</v>
      </c>
      <c r="AZ110">
        <f>SEARCH("-",Table1[[#This Row],[Product ID]])</f>
        <v>2</v>
      </c>
      <c r="BA110">
        <f>FIND("-",Table1[[#This Row],[Product ID]])</f>
        <v>2</v>
      </c>
      <c r="BB110" t="str">
        <f>MID(Table1[[#This Row],[Product_ID]],2,3)</f>
        <v>106</v>
      </c>
      <c r="BC110" t="str">
        <f>RIGHT(Table1[[#This Row],[Product_ID]],3)</f>
        <v>106</v>
      </c>
      <c r="BD110" t="str">
        <f>LEFT(Table1[[#This Row],[Product_ID]],3)</f>
        <v>P10</v>
      </c>
      <c r="BE110" t="str">
        <f>_xlfn.XLOOKUP(Table1[[#This Row],[Product_ID]],AW:AW,BF:BF,,0)</f>
        <v>Running Shoes</v>
      </c>
      <c r="BF110" t="s">
        <v>223</v>
      </c>
      <c r="BG110">
        <f>LEN(Table1[[#This Row],[Product_Name]])</f>
        <v>13</v>
      </c>
      <c r="BH110" t="s">
        <v>224</v>
      </c>
      <c r="BI110">
        <f t="shared" si="14"/>
        <v>75</v>
      </c>
      <c r="BJ110" t="str">
        <f>SUBSTITUTE(Table1[[#This Row],[Category]],"Electronics","ELECTRONICS")</f>
        <v>Fashion</v>
      </c>
      <c r="BN110" t="s">
        <v>225</v>
      </c>
      <c r="BS110" s="14">
        <v>4</v>
      </c>
      <c r="BT110" s="3">
        <v>3499</v>
      </c>
      <c r="BU110" s="4">
        <v>20</v>
      </c>
      <c r="BV110" s="4" t="str">
        <f>IF(AND(Table1[[#This Row],[Quantity]]&gt;=3,Table1[[#This Row],[Discount_%]]&gt;=15%),"Bulk Discount","no")</f>
        <v>Bulk Discount</v>
      </c>
      <c r="BW110" s="4" t="str">
        <f>IF(AND(Table1[[#This Row],[Quantity]]&gt;3,Table1[[#This Row],[Discount_%]]&gt;15%),"Bulk Customer","Normal")</f>
        <v>Bulk Customer</v>
      </c>
      <c r="BX110" t="s">
        <v>135</v>
      </c>
      <c r="BY110" t="s">
        <v>136</v>
      </c>
      <c r="CC110" t="str">
        <f>IF(OR(Table1[[#This Row],[Order_Status]]="Returned",Table1[[#This Row],[Order_Status]]="Cancelled"),"Attention Required","Not")</f>
        <v>Not</v>
      </c>
      <c r="CD110" t="str">
        <f>IF(OR(Table1[[#This Row],[Order_Status]]="Returned",Table1[[#This Row],[Order_Status]]="Cancelled"),"Review","no")</f>
        <v>no</v>
      </c>
      <c r="CE110" t="str">
        <f>SUBSTITUTE(Table1[[#This Row],[Order_Status]],"Delivered","Completed")</f>
        <v>Completed</v>
      </c>
      <c r="CF110" s="2">
        <v>45668</v>
      </c>
      <c r="CG110" s="17">
        <f>NETWORKDAYS(Table1[[#This Row],[Order_Date]],Table1[[#This Row],[Delivery_Date]])</f>
        <v>3</v>
      </c>
      <c r="CH110" s="17">
        <f>Table1[[#This Row],[Delivery_Date]]-Table1[[#This Row],[Order_Date]]</f>
        <v>3</v>
      </c>
      <c r="CI110" t="s">
        <v>137</v>
      </c>
      <c r="CJ110" t="str">
        <f>IF(Table1[[#This Row],[Rating]]&gt;=4,"Good","Needs Improvement")</f>
        <v>Good</v>
      </c>
      <c r="CK110" t="str">
        <f>IF(OR(Table1[[#This Row],[Rating]]&lt;=2,Table1[[#This Row],[Profit]]&lt;0),"Review","NO")</f>
        <v>NO</v>
      </c>
      <c r="CL110" t="str" cm="1">
        <f t="array" ref="CL110">_xlfn.IFS(Table1[[#This Row],[Rating]]&gt;2,"Poor",Table1[[#This Row],[Rating]]=3,"Average",Table1[[#This Row],[Rating]]=4,"Good",CP110=5,"Excellent")</f>
        <v>Poor</v>
      </c>
      <c r="CM110">
        <f>COUNT(Table1[[#This Row],[Rating]])</f>
        <v>1</v>
      </c>
      <c r="CN110">
        <f>COUNTBLANK(Table1[[#This Row],[Rating]])</f>
        <v>0</v>
      </c>
      <c r="CP110" t="s">
        <v>266</v>
      </c>
      <c r="CQ110" s="14">
        <v>5</v>
      </c>
      <c r="CR110" t="s">
        <v>204</v>
      </c>
      <c r="CS110" t="s">
        <v>195</v>
      </c>
      <c r="CU110" s="3">
        <v>11196.8</v>
      </c>
      <c r="CV110" s="3">
        <f>ROUND(Table1[[#This Row],[Sales_Amount]],0)</f>
        <v>11197</v>
      </c>
      <c r="CW110" s="3"/>
      <c r="CX110" s="3"/>
      <c r="CY110" s="3" t="str">
        <f>IF(AND(Table1[[#This Row],[Sales_Amount]]&gt;=10000,Table1[[#This Row],[Profit]]&gt;0),"Good Order")</f>
        <v>Good Order</v>
      </c>
      <c r="CZ110" s="3" t="str">
        <f>IF(Table1[[#This Row],[Sales_Amount]]&gt;=10000,"High","Normal")</f>
        <v>High</v>
      </c>
      <c r="DA110" s="3">
        <v>3596.8</v>
      </c>
      <c r="DB110" s="3">
        <f>ROUND(Table1[[#This Row],[Profit]],0)</f>
        <v>3597</v>
      </c>
      <c r="DC110" s="3">
        <f>ABS(Table1[[#This Row],[Profit]])</f>
        <v>3596.8</v>
      </c>
      <c r="DD110" s="3"/>
      <c r="DE110" s="3"/>
      <c r="DF110" s="3"/>
      <c r="DG110" s="3" t="str">
        <f>IF(Table1[[#This Row],[Profit]]&gt;0,"Profit","Loss")</f>
        <v>Profit</v>
      </c>
      <c r="DH110" s="3" t="str">
        <f>IF(AND(Table1[[#This Row],[Sales_Amount]]&gt;=10000,Table1[[#This Row],[Profit]]&gt;0),"Priority","Normal")</f>
        <v>Priority</v>
      </c>
      <c r="DI110" s="3">
        <f t="shared" ca="1" si="9"/>
        <v>0.50322332775861045</v>
      </c>
      <c r="DJ110" s="3">
        <f t="shared" ca="1" si="10"/>
        <v>95</v>
      </c>
      <c r="DK110" s="3"/>
      <c r="DL110" s="3"/>
      <c r="DM110" s="3"/>
      <c r="DN110" s="3"/>
      <c r="DO110" s="3"/>
      <c r="DP110" s="3"/>
    </row>
    <row r="111" spans="1:120">
      <c r="A111" t="s">
        <v>726</v>
      </c>
      <c r="B111" t="str">
        <f>REPLACE(Table1[[#This Row],[Order_ID]],1,3,"YOO")</f>
        <v>YOO10110</v>
      </c>
      <c r="C111" t="str">
        <f>MID(Table1[[#This Row],[Order_ID]],4,4)</f>
        <v>1011</v>
      </c>
      <c r="D111" t="str">
        <f>LEFT(Table1[[#This Row],[Order_ID]],4)</f>
        <v>ORD1</v>
      </c>
      <c r="E111" t="str">
        <f>RIGHT(Table1[[#This Row],[Order_ID]],5)</f>
        <v>10110</v>
      </c>
      <c r="F111" t="s">
        <v>5</v>
      </c>
      <c r="G111">
        <v>10110</v>
      </c>
      <c r="H111" t="s">
        <v>727</v>
      </c>
      <c r="I111" s="2">
        <f>EDATE(Table1[[#This Row],[Order_Date]],3)</f>
        <v>45790</v>
      </c>
      <c r="J111" s="2">
        <f>EDATE(Table1[[#This Row],[Order_Date]],6)</f>
        <v>45882</v>
      </c>
      <c r="K111">
        <f ca="1">YEAR(Table1[[#This Row],[Today]])</f>
        <v>2026</v>
      </c>
      <c r="L111">
        <v>110</v>
      </c>
      <c r="M111">
        <f ca="1">DAY(Table1[[#This Row],[Today]])</f>
        <v>11</v>
      </c>
      <c r="N111" s="19">
        <f t="shared" ca="1" si="13"/>
        <v>46245.589795370368</v>
      </c>
      <c r="O111" s="2">
        <f t="shared" ca="1" si="8"/>
        <v>46245</v>
      </c>
      <c r="P111" s="17">
        <f ca="1">Table1[[#This Row],[Today]]-Table1[[#This Row],[Order_Date]]</f>
        <v>544</v>
      </c>
      <c r="Q111" s="2">
        <v>45767</v>
      </c>
      <c r="R111" s="2">
        <v>45701</v>
      </c>
      <c r="S111" s="6">
        <f t="shared" si="11"/>
        <v>2025</v>
      </c>
      <c r="T111" s="7" t="str">
        <f t="shared" si="12"/>
        <v>February</v>
      </c>
      <c r="U111" s="2">
        <f>WORKDAY(Table1[[#This Row],[Order_Date]],5)</f>
        <v>45708</v>
      </c>
      <c r="V111" s="7" t="str">
        <f>CONCATENATE(Table1[[#This Row],[Customer_ID]],Table1[[#This Row],[Customer_Name]])</f>
        <v>C1148Isha Kapoor</v>
      </c>
      <c r="W111" t="s">
        <v>502</v>
      </c>
      <c r="X111" t="s">
        <v>411</v>
      </c>
      <c r="Y111">
        <f>COUNTA(Table1[[#This Row],[Customer_Name]])</f>
        <v>1</v>
      </c>
      <c r="Z111" t="str">
        <f>SUBSTITUTE(Table1[[#This Row],[Customer_Name]]," ","_")</f>
        <v>Isha_Kapoor</v>
      </c>
      <c r="AA111" s="10">
        <f>IFERROR(SEARCH("a",Table1[[#This Row],[Customer_Name]]),"N/A")</f>
        <v>4</v>
      </c>
      <c r="AB111">
        <f>SEARCH(" ",Table1[[#This Row],[Customer_Name]])</f>
        <v>5</v>
      </c>
      <c r="AC111" s="11">
        <f>IFERROR(FIND("a",Table1[[#This Row],[Customer_Name]]),"N/A")</f>
        <v>4</v>
      </c>
      <c r="AD111">
        <f>FIND(" ",Table1[[#This Row],[Customer_Name]])</f>
        <v>5</v>
      </c>
      <c r="AE111" t="str">
        <f>TRIM(Table1[[#This Row],[Customer_Name]])</f>
        <v>Isha Kapoor</v>
      </c>
      <c r="AF111">
        <f>LEN(Table1[[#This Row],[Trimmed]])</f>
        <v>11</v>
      </c>
      <c r="AG111">
        <f>MAX(Table1[Length])</f>
        <v>15</v>
      </c>
      <c r="AH111" t="str">
        <f>PROPER(Table1[[#This Row],[Customer_Name]])</f>
        <v>Isha Kapoor</v>
      </c>
      <c r="AI111" t="str">
        <f>LOWER(Table1[[#This Row],[Customer_Name]])</f>
        <v>isha kapoor</v>
      </c>
      <c r="AJ111" t="str">
        <f>UPPER(Table1[[#This Row],[Customer_Name]])</f>
        <v>ISHA KAPOOR</v>
      </c>
      <c r="AK111" t="str">
        <f>CONCATENATE(Table1[[#This Row],[Customer_ID]],Table1[[#This Row],[Customer_Name]])</f>
        <v>C1148Isha Kapoor</v>
      </c>
      <c r="AL111" t="s">
        <v>412</v>
      </c>
      <c r="AM111" t="s">
        <v>413</v>
      </c>
      <c r="AN111" t="s">
        <v>414</v>
      </c>
      <c r="AO111" t="s">
        <v>412</v>
      </c>
      <c r="AP111" t="s">
        <v>413</v>
      </c>
      <c r="AQ111" t="s">
        <v>166</v>
      </c>
      <c r="AR111" t="str">
        <f>TRIM(Table1[[#This Row],[City]])</f>
        <v>Bengaluru</v>
      </c>
      <c r="AS111" t="str">
        <f>PROPER(Table1[[#This Row],[City]])</f>
        <v>Bengaluru</v>
      </c>
      <c r="AT111" t="s">
        <v>167</v>
      </c>
      <c r="AU111" t="str">
        <f>CONCATENATE(Table1[[#This Row],[City]],Table1[[#This Row],[State]])</f>
        <v>BengaluruKarnataka</v>
      </c>
      <c r="AV111" t="s">
        <v>168</v>
      </c>
      <c r="AW111" t="s">
        <v>151</v>
      </c>
      <c r="AX111" t="str">
        <f>REPLACE(Table1[[#This Row],[Product_ID]],1,1,"s")</f>
        <v>s102</v>
      </c>
      <c r="AY111" t="s">
        <v>728</v>
      </c>
      <c r="AZ111">
        <f>SEARCH("-",Table1[[#This Row],[Product ID]])</f>
        <v>2</v>
      </c>
      <c r="BA111">
        <f>FIND("-",Table1[[#This Row],[Product ID]])</f>
        <v>2</v>
      </c>
      <c r="BB111" t="str">
        <f>MID(Table1[[#This Row],[Product_ID]],2,3)</f>
        <v>102</v>
      </c>
      <c r="BC111" t="str">
        <f>RIGHT(Table1[[#This Row],[Product_ID]],3)</f>
        <v>102</v>
      </c>
      <c r="BD111" t="str">
        <f>LEFT(Table1[[#This Row],[Product_ID]],3)</f>
        <v>P10</v>
      </c>
      <c r="BE111" t="str">
        <f>_xlfn.XLOOKUP(Table1[[#This Row],[Product_ID]],AW:AW,BF:BF,,0)</f>
        <v>Mechanical Keyboard</v>
      </c>
      <c r="BF111" t="s">
        <v>153</v>
      </c>
      <c r="BG111">
        <f>LEN(Table1[[#This Row],[Product_Name]])</f>
        <v>19</v>
      </c>
      <c r="BH111" t="s">
        <v>154</v>
      </c>
      <c r="BI111">
        <f t="shared" si="14"/>
        <v>75</v>
      </c>
      <c r="BJ111" t="str">
        <f>SUBSTITUTE(Table1[[#This Row],[Category]],"Electronics","ELECTRONICS")</f>
        <v>ELECTRONICS</v>
      </c>
      <c r="BN111" t="s">
        <v>155</v>
      </c>
      <c r="BS111" s="14">
        <v>4</v>
      </c>
      <c r="BT111" s="3">
        <v>2499</v>
      </c>
      <c r="BU111" s="4">
        <v>0</v>
      </c>
      <c r="BV111" s="4" t="str">
        <f>IF(AND(Table1[[#This Row],[Quantity]]&gt;=3,Table1[[#This Row],[Discount_%]]&gt;=15%),"Bulk Discount","no")</f>
        <v>no</v>
      </c>
      <c r="BW111" s="4" t="str">
        <f>IF(AND(Table1[[#This Row],[Quantity]]&gt;3,Table1[[#This Row],[Discount_%]]&gt;15%),"Bulk Customer","Normal")</f>
        <v>Normal</v>
      </c>
      <c r="BX111" t="s">
        <v>135</v>
      </c>
      <c r="BY111" t="s">
        <v>136</v>
      </c>
      <c r="CC111" t="str">
        <f>IF(OR(Table1[[#This Row],[Order_Status]]="Returned",Table1[[#This Row],[Order_Status]]="Cancelled"),"Attention Required","Not")</f>
        <v>Not</v>
      </c>
      <c r="CD111" t="str">
        <f>IF(OR(Table1[[#This Row],[Order_Status]]="Returned",Table1[[#This Row],[Order_Status]]="Cancelled"),"Review","no")</f>
        <v>no</v>
      </c>
      <c r="CE111" t="str">
        <f>SUBSTITUTE(Table1[[#This Row],[Order_Status]],"Delivered","Completed")</f>
        <v>Completed</v>
      </c>
      <c r="CF111" s="2">
        <v>45703</v>
      </c>
      <c r="CG111" s="17">
        <f>NETWORKDAYS(Table1[[#This Row],[Order_Date]],Table1[[#This Row],[Delivery_Date]])</f>
        <v>2</v>
      </c>
      <c r="CH111" s="17">
        <f>Table1[[#This Row],[Delivery_Date]]-Table1[[#This Row],[Order_Date]]</f>
        <v>2</v>
      </c>
      <c r="CI111" t="s">
        <v>137</v>
      </c>
      <c r="CJ111" t="str">
        <f>IF(Table1[[#This Row],[Rating]]&gt;=4,"Good","Needs Improvement")</f>
        <v>Good</v>
      </c>
      <c r="CK111" t="str">
        <f>IF(OR(Table1[[#This Row],[Rating]]&lt;=2,Table1[[#This Row],[Profit]]&lt;0),"Review","NO")</f>
        <v>NO</v>
      </c>
      <c r="CL111" t="str" cm="1">
        <f t="array" ref="CL111">_xlfn.IFS(Table1[[#This Row],[Rating]]&gt;2,"Poor",Table1[[#This Row],[Rating]]=3,"Average",Table1[[#This Row],[Rating]]=4,"Good",CP111=5,"Excellent")</f>
        <v>Poor</v>
      </c>
      <c r="CM111">
        <f>COUNT(Table1[[#This Row],[Rating]])</f>
        <v>1</v>
      </c>
      <c r="CN111">
        <f>COUNTBLANK(Table1[[#This Row],[Rating]])</f>
        <v>0</v>
      </c>
      <c r="CP111" t="s">
        <v>138</v>
      </c>
      <c r="CQ111" s="14">
        <v>5</v>
      </c>
      <c r="CR111" t="s">
        <v>204</v>
      </c>
      <c r="CS111" t="s">
        <v>213</v>
      </c>
      <c r="CU111" s="3">
        <v>9996</v>
      </c>
      <c r="CV111" s="3">
        <f>ROUND(Table1[[#This Row],[Sales_Amount]],0)</f>
        <v>9996</v>
      </c>
      <c r="CW111" s="3"/>
      <c r="CX111" s="3"/>
      <c r="CY111" s="3" t="b">
        <f>IF(AND(Table1[[#This Row],[Sales_Amount]]&gt;=10000,Table1[[#This Row],[Profit]]&gt;0),"Good Order")</f>
        <v>0</v>
      </c>
      <c r="CZ111" s="3" t="str">
        <f>IF(Table1[[#This Row],[Sales_Amount]]&gt;=10000,"High","Normal")</f>
        <v>Normal</v>
      </c>
      <c r="DA111" s="3">
        <v>4196</v>
      </c>
      <c r="DB111" s="3">
        <f>ROUND(Table1[[#This Row],[Profit]],0)</f>
        <v>4196</v>
      </c>
      <c r="DC111" s="3">
        <f>ABS(Table1[[#This Row],[Profit]])</f>
        <v>4196</v>
      </c>
      <c r="DD111" s="3"/>
      <c r="DE111" s="3"/>
      <c r="DF111" s="3"/>
      <c r="DG111" s="3" t="str">
        <f>IF(Table1[[#This Row],[Profit]]&gt;0,"Profit","Loss")</f>
        <v>Profit</v>
      </c>
      <c r="DH111" s="3" t="str">
        <f>IF(AND(Table1[[#This Row],[Sales_Amount]]&gt;=10000,Table1[[#This Row],[Profit]]&gt;0),"Priority","Normal")</f>
        <v>Normal</v>
      </c>
      <c r="DI111" s="3">
        <f t="shared" ca="1" si="9"/>
        <v>0.70186440087224899</v>
      </c>
      <c r="DJ111" s="3">
        <f t="shared" ca="1" si="10"/>
        <v>30</v>
      </c>
      <c r="DK111" s="3"/>
      <c r="DL111" s="3"/>
      <c r="DM111" s="3"/>
      <c r="DN111" s="3"/>
      <c r="DO111" s="3"/>
      <c r="DP111" s="3"/>
    </row>
    <row r="112" spans="1:120">
      <c r="A112" t="s">
        <v>729</v>
      </c>
      <c r="B112" t="str">
        <f>REPLACE(Table1[[#This Row],[Order_ID]],1,3,"YOO")</f>
        <v>YOO10111</v>
      </c>
      <c r="C112" t="str">
        <f>MID(Table1[[#This Row],[Order_ID]],4,4)</f>
        <v>1011</v>
      </c>
      <c r="D112" t="str">
        <f>LEFT(Table1[[#This Row],[Order_ID]],4)</f>
        <v>ORD1</v>
      </c>
      <c r="E112" t="str">
        <f>RIGHT(Table1[[#This Row],[Order_ID]],5)</f>
        <v>10111</v>
      </c>
      <c r="F112" t="s">
        <v>5</v>
      </c>
      <c r="G112">
        <v>10111</v>
      </c>
      <c r="H112" t="s">
        <v>730</v>
      </c>
      <c r="I112" s="2">
        <f>EDATE(Table1[[#This Row],[Order_Date]],3)</f>
        <v>45866</v>
      </c>
      <c r="J112" s="2">
        <f>EDATE(Table1[[#This Row],[Order_Date]],6)</f>
        <v>45958</v>
      </c>
      <c r="K112">
        <f ca="1">YEAR(Table1[[#This Row],[Today]])</f>
        <v>2026</v>
      </c>
      <c r="L112">
        <v>111</v>
      </c>
      <c r="M112">
        <f ca="1">DAY(Table1[[#This Row],[Today]])</f>
        <v>11</v>
      </c>
      <c r="N112" s="19">
        <f t="shared" ca="1" si="13"/>
        <v>46245.589795370368</v>
      </c>
      <c r="O112" s="2">
        <f t="shared" ca="1" si="8"/>
        <v>46245</v>
      </c>
      <c r="P112" s="17">
        <f ca="1">Table1[[#This Row],[Today]]-Table1[[#This Row],[Order_Date]]</f>
        <v>470</v>
      </c>
      <c r="Q112" s="2">
        <v>45768</v>
      </c>
      <c r="R112" s="2">
        <v>45775</v>
      </c>
      <c r="S112" s="6">
        <f t="shared" si="11"/>
        <v>2025</v>
      </c>
      <c r="T112" s="7" t="str">
        <f t="shared" si="12"/>
        <v>April</v>
      </c>
      <c r="U112" s="2">
        <f>WORKDAY(Table1[[#This Row],[Order_Date]],5)</f>
        <v>45782</v>
      </c>
      <c r="V112" s="7" t="str">
        <f>CONCATENATE(Table1[[#This Row],[Customer_ID]],Table1[[#This Row],[Customer_Name]])</f>
        <v>C1093Aman Singh</v>
      </c>
      <c r="W112" t="s">
        <v>177</v>
      </c>
      <c r="X112" t="s">
        <v>123</v>
      </c>
      <c r="Y112">
        <f>COUNTA(Table1[[#This Row],[Customer_Name]])</f>
        <v>1</v>
      </c>
      <c r="Z112" t="str">
        <f>SUBSTITUTE(Table1[[#This Row],[Customer_Name]]," ","_")</f>
        <v>Aman_Singh</v>
      </c>
      <c r="AA112" s="10">
        <f>IFERROR(SEARCH("a",Table1[[#This Row],[Customer_Name]]),"N/A")</f>
        <v>1</v>
      </c>
      <c r="AB112">
        <f>SEARCH(" ",Table1[[#This Row],[Customer_Name]])</f>
        <v>5</v>
      </c>
      <c r="AC112" s="11">
        <f>IFERROR(FIND("a",Table1[[#This Row],[Customer_Name]]),"N/A")</f>
        <v>3</v>
      </c>
      <c r="AD112">
        <f>FIND(" ",Table1[[#This Row],[Customer_Name]])</f>
        <v>5</v>
      </c>
      <c r="AE112" t="str">
        <f>TRIM(Table1[[#This Row],[Customer_Name]])</f>
        <v>Aman Singh</v>
      </c>
      <c r="AF112">
        <f>LEN(Table1[[#This Row],[Trimmed]])</f>
        <v>10</v>
      </c>
      <c r="AG112">
        <f>MAX(Table1[Length])</f>
        <v>15</v>
      </c>
      <c r="AH112" t="str">
        <f>PROPER(Table1[[#This Row],[Customer_Name]])</f>
        <v>Aman Singh</v>
      </c>
      <c r="AI112" t="str">
        <f>LOWER(Table1[[#This Row],[Customer_Name]])</f>
        <v>aman singh</v>
      </c>
      <c r="AJ112" t="str">
        <f>UPPER(Table1[[#This Row],[Customer_Name]])</f>
        <v>AMAN SINGH</v>
      </c>
      <c r="AK112" t="str">
        <f>CONCATENATE(Table1[[#This Row],[Customer_ID]],Table1[[#This Row],[Customer_Name]])</f>
        <v>C1093Aman Singh</v>
      </c>
      <c r="AL112" t="s">
        <v>124</v>
      </c>
      <c r="AM112" t="s">
        <v>125</v>
      </c>
      <c r="AN112" t="s">
        <v>126</v>
      </c>
      <c r="AO112" t="s">
        <v>124</v>
      </c>
      <c r="AP112" t="s">
        <v>125</v>
      </c>
      <c r="AQ112" t="s">
        <v>379</v>
      </c>
      <c r="AR112" t="str">
        <f>TRIM(Table1[[#This Row],[City]])</f>
        <v>Indore</v>
      </c>
      <c r="AS112" t="str">
        <f>PROPER(Table1[[#This Row],[City]])</f>
        <v>Indore</v>
      </c>
      <c r="AT112" t="s">
        <v>345</v>
      </c>
      <c r="AU112" t="str">
        <f>CONCATENATE(Table1[[#This Row],[City]],Table1[[#This Row],[State]])</f>
        <v>IndoreMadhya Pradesh</v>
      </c>
      <c r="AV112" t="s">
        <v>346</v>
      </c>
      <c r="AW112" t="s">
        <v>236</v>
      </c>
      <c r="AX112" t="str">
        <f>REPLACE(Table1[[#This Row],[Product_ID]],1,1,"s")</f>
        <v>s107</v>
      </c>
      <c r="AY112" t="s">
        <v>731</v>
      </c>
      <c r="AZ112">
        <f>SEARCH("-",Table1[[#This Row],[Product ID]])</f>
        <v>2</v>
      </c>
      <c r="BA112">
        <f>FIND("-",Table1[[#This Row],[Product ID]])</f>
        <v>2</v>
      </c>
      <c r="BB112" t="str">
        <f>MID(Table1[[#This Row],[Product_ID]],2,3)</f>
        <v>107</v>
      </c>
      <c r="BC112" t="str">
        <f>RIGHT(Table1[[#This Row],[Product_ID]],3)</f>
        <v>107</v>
      </c>
      <c r="BD112" t="str">
        <f>LEFT(Table1[[#This Row],[Product_ID]],3)</f>
        <v>P10</v>
      </c>
      <c r="BE112" t="str">
        <f>_xlfn.XLOOKUP(Table1[[#This Row],[Product_ID]],AW:AW,BF:BF,,0)</f>
        <v>Casual Sneakers</v>
      </c>
      <c r="BF112" t="s">
        <v>238</v>
      </c>
      <c r="BG112">
        <f>LEN(Table1[[#This Row],[Product_Name]])</f>
        <v>15</v>
      </c>
      <c r="BH112" t="s">
        <v>224</v>
      </c>
      <c r="BI112">
        <f t="shared" si="14"/>
        <v>75</v>
      </c>
      <c r="BJ112" t="str">
        <f>SUBSTITUTE(Table1[[#This Row],[Category]],"Electronics","ELECTRONICS")</f>
        <v>Fashion</v>
      </c>
      <c r="BN112" t="s">
        <v>225</v>
      </c>
      <c r="BS112" s="14">
        <v>4</v>
      </c>
      <c r="BT112" s="3">
        <v>2799</v>
      </c>
      <c r="BU112" s="4">
        <v>0</v>
      </c>
      <c r="BV112" s="4" t="str">
        <f>IF(AND(Table1[[#This Row],[Quantity]]&gt;=3,Table1[[#This Row],[Discount_%]]&gt;=15%),"Bulk Discount","no")</f>
        <v>no</v>
      </c>
      <c r="BW112" s="4" t="str">
        <f>IF(AND(Table1[[#This Row],[Quantity]]&gt;3,Table1[[#This Row],[Discount_%]]&gt;15%),"Bulk Customer","Normal")</f>
        <v>Normal</v>
      </c>
      <c r="BX112" t="s">
        <v>330</v>
      </c>
      <c r="BY112" t="s">
        <v>136</v>
      </c>
      <c r="CC112" t="str">
        <f>IF(OR(Table1[[#This Row],[Order_Status]]="Returned",Table1[[#This Row],[Order_Status]]="Cancelled"),"Attention Required","Not")</f>
        <v>Not</v>
      </c>
      <c r="CD112" t="str">
        <f>IF(OR(Table1[[#This Row],[Order_Status]]="Returned",Table1[[#This Row],[Order_Status]]="Cancelled"),"Review","no")</f>
        <v>no</v>
      </c>
      <c r="CE112" t="str">
        <f>SUBSTITUTE(Table1[[#This Row],[Order_Status]],"Delivered","Completed")</f>
        <v>Completed</v>
      </c>
      <c r="CF112" s="2">
        <v>45778</v>
      </c>
      <c r="CG112" s="17">
        <f>NETWORKDAYS(Table1[[#This Row],[Order_Date]],Table1[[#This Row],[Delivery_Date]])</f>
        <v>4</v>
      </c>
      <c r="CH112" s="17">
        <f>Table1[[#This Row],[Delivery_Date]]-Table1[[#This Row],[Order_Date]]</f>
        <v>3</v>
      </c>
      <c r="CI112" t="s">
        <v>137</v>
      </c>
      <c r="CJ112" t="str">
        <f>IF(Table1[[#This Row],[Rating]]&gt;=4,"Good","Needs Improvement")</f>
        <v>Needs Improvement</v>
      </c>
      <c r="CK112" t="str">
        <f>IF(OR(Table1[[#This Row],[Rating]]&lt;=2,Table1[[#This Row],[Profit]]&lt;0),"Review","NO")</f>
        <v>Review</v>
      </c>
      <c r="CL112" t="e" cm="1">
        <f t="array" ref="CL112">_xlfn.IFS(Table1[[#This Row],[Rating]]&gt;2,"Poor",Table1[[#This Row],[Rating]]=3,"Average",Table1[[#This Row],[Rating]]=4,"Good",CP112=5,"Excellent")</f>
        <v>#N/A</v>
      </c>
      <c r="CM112">
        <f>COUNT(Table1[[#This Row],[Rating]])</f>
        <v>0</v>
      </c>
      <c r="CN112">
        <f>COUNTBLANK(Table1[[#This Row],[Rating]])</f>
        <v>1</v>
      </c>
      <c r="CP112" t="s">
        <v>331</v>
      </c>
      <c r="CR112" t="s">
        <v>139</v>
      </c>
      <c r="CS112" t="s">
        <v>267</v>
      </c>
      <c r="CU112" s="3">
        <v>11196</v>
      </c>
      <c r="CV112" s="3">
        <f>ROUND(Table1[[#This Row],[Sales_Amount]],0)</f>
        <v>11196</v>
      </c>
      <c r="CW112" s="3"/>
      <c r="CX112" s="3"/>
      <c r="CY112" s="3" t="str">
        <f>IF(AND(Table1[[#This Row],[Sales_Amount]]&gt;=10000,Table1[[#This Row],[Profit]]&gt;0),"Good Order")</f>
        <v>Good Order</v>
      </c>
      <c r="CZ112" s="3" t="str">
        <f>IF(Table1[[#This Row],[Sales_Amount]]&gt;=10000,"High","Normal")</f>
        <v>High</v>
      </c>
      <c r="DA112" s="3">
        <v>5196</v>
      </c>
      <c r="DB112" s="3">
        <f>ROUND(Table1[[#This Row],[Profit]],0)</f>
        <v>5196</v>
      </c>
      <c r="DC112" s="3">
        <f>ABS(Table1[[#This Row],[Profit]])</f>
        <v>5196</v>
      </c>
      <c r="DD112" s="3"/>
      <c r="DE112" s="3"/>
      <c r="DF112" s="3"/>
      <c r="DG112" s="3" t="str">
        <f>IF(Table1[[#This Row],[Profit]]&gt;0,"Profit","Loss")</f>
        <v>Profit</v>
      </c>
      <c r="DH112" s="3" t="str">
        <f>IF(AND(Table1[[#This Row],[Sales_Amount]]&gt;=10000,Table1[[#This Row],[Profit]]&gt;0),"Priority","Normal")</f>
        <v>Priority</v>
      </c>
      <c r="DI112" s="3">
        <f t="shared" ca="1" si="9"/>
        <v>0.95904734795396729</v>
      </c>
      <c r="DJ112" s="3">
        <f t="shared" ca="1" si="10"/>
        <v>85</v>
      </c>
      <c r="DK112" s="3"/>
      <c r="DL112" s="3"/>
      <c r="DM112" s="3"/>
      <c r="DN112" s="3"/>
      <c r="DO112" s="3"/>
      <c r="DP112" s="3"/>
    </row>
    <row r="113" spans="1:120">
      <c r="A113" t="s">
        <v>732</v>
      </c>
      <c r="B113" t="str">
        <f>REPLACE(Table1[[#This Row],[Order_ID]],1,3,"YOO")</f>
        <v>YOO10112</v>
      </c>
      <c r="C113" t="str">
        <f>MID(Table1[[#This Row],[Order_ID]],4,4)</f>
        <v>1011</v>
      </c>
      <c r="D113" t="str">
        <f>LEFT(Table1[[#This Row],[Order_ID]],4)</f>
        <v>ORD1</v>
      </c>
      <c r="E113" t="str">
        <f>RIGHT(Table1[[#This Row],[Order_ID]],5)</f>
        <v>10112</v>
      </c>
      <c r="F113" t="s">
        <v>5</v>
      </c>
      <c r="G113">
        <v>10112</v>
      </c>
      <c r="H113" t="s">
        <v>733</v>
      </c>
      <c r="I113" s="2">
        <f>EDATE(Table1[[#This Row],[Order_Date]],3)</f>
        <v>46286</v>
      </c>
      <c r="J113" s="2">
        <f>EDATE(Table1[[#This Row],[Order_Date]],6)</f>
        <v>46377</v>
      </c>
      <c r="K113">
        <f ca="1">YEAR(Table1[[#This Row],[Today]])</f>
        <v>2026</v>
      </c>
      <c r="L113">
        <v>112</v>
      </c>
      <c r="M113">
        <f ca="1">DAY(Table1[[#This Row],[Today]])</f>
        <v>11</v>
      </c>
      <c r="N113" s="19">
        <f t="shared" ca="1" si="13"/>
        <v>46245.589795138891</v>
      </c>
      <c r="O113" s="2">
        <f t="shared" ca="1" si="8"/>
        <v>46245</v>
      </c>
      <c r="P113" s="17">
        <f ca="1">Table1[[#This Row],[Today]]-Table1[[#This Row],[Order_Date]]</f>
        <v>51</v>
      </c>
      <c r="Q113" s="2">
        <v>45769</v>
      </c>
      <c r="R113" s="2">
        <v>46194</v>
      </c>
      <c r="S113" s="6">
        <f t="shared" si="11"/>
        <v>2026</v>
      </c>
      <c r="T113" s="7" t="str">
        <f t="shared" si="12"/>
        <v>June</v>
      </c>
      <c r="U113" s="2">
        <f>WORKDAY(Table1[[#This Row],[Order_Date]],5)</f>
        <v>46199</v>
      </c>
      <c r="V113" s="7" t="str">
        <f>CONCATENATE(Table1[[#This Row],[Customer_ID]],Table1[[#This Row],[Customer_Name]])</f>
        <v>C1057Arjun Rao</v>
      </c>
      <c r="W113" t="s">
        <v>143</v>
      </c>
      <c r="X113" t="s">
        <v>355</v>
      </c>
      <c r="Y113">
        <f>COUNTA(Table1[[#This Row],[Customer_Name]])</f>
        <v>1</v>
      </c>
      <c r="Z113" t="str">
        <f>SUBSTITUTE(Table1[[#This Row],[Customer_Name]]," ","_")</f>
        <v>Arjun_Rao</v>
      </c>
      <c r="AA113" s="10">
        <f>IFERROR(SEARCH("a",Table1[[#This Row],[Customer_Name]]),"N/A")</f>
        <v>1</v>
      </c>
      <c r="AB113">
        <f>SEARCH(" ",Table1[[#This Row],[Customer_Name]])</f>
        <v>6</v>
      </c>
      <c r="AC113" s="11">
        <f>IFERROR(FIND("a",Table1[[#This Row],[Customer_Name]]),"N/A")</f>
        <v>8</v>
      </c>
      <c r="AD113">
        <f>FIND(" ",Table1[[#This Row],[Customer_Name]])</f>
        <v>6</v>
      </c>
      <c r="AE113" t="str">
        <f>TRIM(Table1[[#This Row],[Customer_Name]])</f>
        <v>Arjun Rao</v>
      </c>
      <c r="AF113">
        <f>LEN(Table1[[#This Row],[Trimmed]])</f>
        <v>9</v>
      </c>
      <c r="AG113">
        <f>MAX(Table1[Length])</f>
        <v>15</v>
      </c>
      <c r="AH113" t="str">
        <f>PROPER(Table1[[#This Row],[Customer_Name]])</f>
        <v>Arjun Rao</v>
      </c>
      <c r="AI113" t="str">
        <f>LOWER(Table1[[#This Row],[Customer_Name]])</f>
        <v>arjun rao</v>
      </c>
      <c r="AJ113" t="str">
        <f>UPPER(Table1[[#This Row],[Customer_Name]])</f>
        <v>ARJUN RAO</v>
      </c>
      <c r="AK113" t="str">
        <f>CONCATENATE(Table1[[#This Row],[Customer_ID]],Table1[[#This Row],[Customer_Name]])</f>
        <v>C1057Arjun Rao</v>
      </c>
      <c r="AL113" t="s">
        <v>356</v>
      </c>
      <c r="AM113" t="s">
        <v>357</v>
      </c>
      <c r="AN113" t="s">
        <v>358</v>
      </c>
      <c r="AO113" t="s">
        <v>356</v>
      </c>
      <c r="AP113" t="s">
        <v>357</v>
      </c>
      <c r="AQ113" t="s">
        <v>166</v>
      </c>
      <c r="AR113" t="str">
        <f>TRIM(Table1[[#This Row],[City]])</f>
        <v>Bengaluru</v>
      </c>
      <c r="AS113" t="str">
        <f>PROPER(Table1[[#This Row],[City]])</f>
        <v>Bengaluru</v>
      </c>
      <c r="AT113" t="s">
        <v>167</v>
      </c>
      <c r="AU113" t="str">
        <f>CONCATENATE(Table1[[#This Row],[City]],Table1[[#This Row],[State]])</f>
        <v>BengaluruKarnataka</v>
      </c>
      <c r="AV113" t="s">
        <v>168</v>
      </c>
      <c r="AW113" t="s">
        <v>363</v>
      </c>
      <c r="AX113" t="str">
        <f>REPLACE(Table1[[#This Row],[Product_ID]],1,1,"s")</f>
        <v>s110</v>
      </c>
      <c r="AY113" t="s">
        <v>734</v>
      </c>
      <c r="AZ113">
        <f>SEARCH("-",Table1[[#This Row],[Product ID]])</f>
        <v>2</v>
      </c>
      <c r="BA113">
        <f>FIND("-",Table1[[#This Row],[Product ID]])</f>
        <v>2</v>
      </c>
      <c r="BB113" t="str">
        <f>MID(Table1[[#This Row],[Product_ID]],2,3)</f>
        <v>110</v>
      </c>
      <c r="BC113" t="str">
        <f>RIGHT(Table1[[#This Row],[Product_ID]],3)</f>
        <v>110</v>
      </c>
      <c r="BD113" t="str">
        <f>LEFT(Table1[[#This Row],[Product_ID]],3)</f>
        <v>P11</v>
      </c>
      <c r="BE113" t="str">
        <f>_xlfn.XLOOKUP(Table1[[#This Row],[Product_ID]],AW:AW,BF:BF,,0)</f>
        <v>Smart Watch</v>
      </c>
      <c r="BF113" t="s">
        <v>365</v>
      </c>
      <c r="BG113">
        <f>LEN(Table1[[#This Row],[Product_Name]])</f>
        <v>11</v>
      </c>
      <c r="BH113" t="s">
        <v>154</v>
      </c>
      <c r="BI113">
        <f t="shared" si="14"/>
        <v>75</v>
      </c>
      <c r="BJ113" t="str">
        <f>SUBSTITUTE(Table1[[#This Row],[Category]],"Electronics","ELECTRONICS")</f>
        <v>ELECTRONICS</v>
      </c>
      <c r="BN113" t="s">
        <v>366</v>
      </c>
      <c r="BS113" s="14">
        <v>1</v>
      </c>
      <c r="BT113" s="3">
        <v>4999</v>
      </c>
      <c r="BU113" s="4">
        <v>20</v>
      </c>
      <c r="BV113" s="4" t="str">
        <f>IF(AND(Table1[[#This Row],[Quantity]]&gt;=3,Table1[[#This Row],[Discount_%]]&gt;=15%),"Bulk Discount","no")</f>
        <v>no</v>
      </c>
      <c r="BW113" s="4" t="str">
        <f>IF(AND(Table1[[#This Row],[Quantity]]&gt;3,Table1[[#This Row],[Discount_%]]&gt;15%),"Bulk Customer","Normal")</f>
        <v>Normal</v>
      </c>
      <c r="BX113" t="s">
        <v>187</v>
      </c>
      <c r="BY113" t="s">
        <v>193</v>
      </c>
      <c r="CC113" t="str">
        <f>IF(OR(Table1[[#This Row],[Order_Status]]="Returned",Table1[[#This Row],[Order_Status]]="Cancelled"),"Attention Required","Not")</f>
        <v>Not</v>
      </c>
      <c r="CD113" t="str">
        <f>IF(OR(Table1[[#This Row],[Order_Status]]="Returned",Table1[[#This Row],[Order_Status]]="Cancelled"),"Review","no")</f>
        <v>no</v>
      </c>
      <c r="CE113" t="str">
        <f>SUBSTITUTE(Table1[[#This Row],[Order_Status]],"Delivered","Completed")</f>
        <v>Shipped</v>
      </c>
      <c r="CF113" s="2">
        <v>46199</v>
      </c>
      <c r="CG113" s="17">
        <f>NETWORKDAYS(Table1[[#This Row],[Order_Date]],Table1[[#This Row],[Delivery_Date]])</f>
        <v>5</v>
      </c>
      <c r="CH113" s="17">
        <f>Table1[[#This Row],[Delivery_Date]]-Table1[[#This Row],[Order_Date]]</f>
        <v>5</v>
      </c>
      <c r="CI113" t="s">
        <v>137</v>
      </c>
      <c r="CJ113" t="str">
        <f>IF(Table1[[#This Row],[Rating]]&gt;=4,"Good","Needs Improvement")</f>
        <v>Good</v>
      </c>
      <c r="CK113" t="str">
        <f>IF(OR(Table1[[#This Row],[Rating]]&lt;=2,Table1[[#This Row],[Profit]]&lt;0),"Review","NO")</f>
        <v>NO</v>
      </c>
      <c r="CL113" t="str" cm="1">
        <f t="array" ref="CL113">_xlfn.IFS(Table1[[#This Row],[Rating]]&gt;2,"Poor",Table1[[#This Row],[Rating]]=3,"Average",Table1[[#This Row],[Rating]]=4,"Good",CP113=5,"Excellent")</f>
        <v>Poor</v>
      </c>
      <c r="CM113">
        <f>COUNT(Table1[[#This Row],[Rating]])</f>
        <v>1</v>
      </c>
      <c r="CN113">
        <f>COUNTBLANK(Table1[[#This Row],[Rating]])</f>
        <v>0</v>
      </c>
      <c r="CP113" t="s">
        <v>331</v>
      </c>
      <c r="CQ113" s="14">
        <v>5</v>
      </c>
      <c r="CR113" t="s">
        <v>204</v>
      </c>
      <c r="CS113" t="s">
        <v>213</v>
      </c>
      <c r="CU113" s="3">
        <v>3999.2</v>
      </c>
      <c r="CV113" s="3">
        <f>ROUND(Table1[[#This Row],[Sales_Amount]],0)</f>
        <v>3999</v>
      </c>
      <c r="CW113" s="3"/>
      <c r="CX113" s="3"/>
      <c r="CY113" s="3" t="b">
        <f>IF(AND(Table1[[#This Row],[Sales_Amount]]&gt;=10000,Table1[[#This Row],[Profit]]&gt;0),"Good Order")</f>
        <v>0</v>
      </c>
      <c r="CZ113" s="3" t="str">
        <f>IF(Table1[[#This Row],[Sales_Amount]]&gt;=10000,"High","Normal")</f>
        <v>Normal</v>
      </c>
      <c r="DA113" s="3">
        <v>899.2</v>
      </c>
      <c r="DB113" s="3">
        <f>ROUND(Table1[[#This Row],[Profit]],0)</f>
        <v>899</v>
      </c>
      <c r="DC113" s="3">
        <f>ABS(Table1[[#This Row],[Profit]])</f>
        <v>899.2</v>
      </c>
      <c r="DD113" s="3"/>
      <c r="DE113" s="3"/>
      <c r="DF113" s="3"/>
      <c r="DG113" s="3" t="str">
        <f>IF(Table1[[#This Row],[Profit]]&gt;0,"Profit","Loss")</f>
        <v>Profit</v>
      </c>
      <c r="DH113" s="3" t="str">
        <f>IF(AND(Table1[[#This Row],[Sales_Amount]]&gt;=10000,Table1[[#This Row],[Profit]]&gt;0),"Priority","Normal")</f>
        <v>Normal</v>
      </c>
      <c r="DI113" s="3">
        <f t="shared" ca="1" si="9"/>
        <v>0.86016594652032274</v>
      </c>
      <c r="DJ113" s="3">
        <f t="shared" ca="1" si="10"/>
        <v>73</v>
      </c>
      <c r="DK113" s="3"/>
      <c r="DL113" s="3"/>
      <c r="DM113" s="3"/>
      <c r="DN113" s="3"/>
      <c r="DO113" s="3"/>
      <c r="DP113" s="3"/>
    </row>
    <row r="114" spans="1:120">
      <c r="A114" t="s">
        <v>735</v>
      </c>
      <c r="B114" t="str">
        <f>REPLACE(Table1[[#This Row],[Order_ID]],1,3,"YOO")</f>
        <v>YOO10113</v>
      </c>
      <c r="C114" t="str">
        <f>MID(Table1[[#This Row],[Order_ID]],4,4)</f>
        <v>1011</v>
      </c>
      <c r="D114" t="str">
        <f>LEFT(Table1[[#This Row],[Order_ID]],4)</f>
        <v>ORD1</v>
      </c>
      <c r="E114" t="str">
        <f>RIGHT(Table1[[#This Row],[Order_ID]],5)</f>
        <v>10113</v>
      </c>
      <c r="F114" t="s">
        <v>5</v>
      </c>
      <c r="G114">
        <v>10113</v>
      </c>
      <c r="H114" t="s">
        <v>736</v>
      </c>
      <c r="I114" s="2">
        <f>EDATE(Table1[[#This Row],[Order_Date]],3)</f>
        <v>46272</v>
      </c>
      <c r="J114" s="2">
        <f>EDATE(Table1[[#This Row],[Order_Date]],6)</f>
        <v>46363</v>
      </c>
      <c r="K114">
        <f ca="1">YEAR(Table1[[#This Row],[Today]])</f>
        <v>2026</v>
      </c>
      <c r="L114">
        <v>113</v>
      </c>
      <c r="M114">
        <f ca="1">DAY(Table1[[#This Row],[Today]])</f>
        <v>11</v>
      </c>
      <c r="N114" s="19">
        <f t="shared" ca="1" si="13"/>
        <v>46245.589795370368</v>
      </c>
      <c r="O114" s="2">
        <f t="shared" ca="1" si="8"/>
        <v>46245</v>
      </c>
      <c r="P114" s="17">
        <f ca="1">Table1[[#This Row],[Today]]-Table1[[#This Row],[Order_Date]]</f>
        <v>65</v>
      </c>
      <c r="Q114" s="2">
        <v>45770</v>
      </c>
      <c r="R114" s="2">
        <v>46180</v>
      </c>
      <c r="S114" s="6">
        <f t="shared" si="11"/>
        <v>2026</v>
      </c>
      <c r="T114" s="7" t="str">
        <f t="shared" si="12"/>
        <v>June</v>
      </c>
      <c r="U114" s="2">
        <f>WORKDAY(Table1[[#This Row],[Order_Date]],5)</f>
        <v>46185</v>
      </c>
      <c r="V114" s="7" t="str">
        <f>CONCATENATE(Table1[[#This Row],[Customer_ID]],Table1[[#This Row],[Customer_Name]])</f>
        <v>C1027Rohan Mehta</v>
      </c>
      <c r="W114" t="s">
        <v>737</v>
      </c>
      <c r="X114" t="s">
        <v>388</v>
      </c>
      <c r="Y114">
        <f>COUNTA(Table1[[#This Row],[Customer_Name]])</f>
        <v>1</v>
      </c>
      <c r="Z114" t="str">
        <f>SUBSTITUTE(Table1[[#This Row],[Customer_Name]]," ","_")</f>
        <v>Rohan_Mehta</v>
      </c>
      <c r="AA114" s="10">
        <f>IFERROR(SEARCH("a",Table1[[#This Row],[Customer_Name]]),"N/A")</f>
        <v>4</v>
      </c>
      <c r="AB114">
        <f>SEARCH(" ",Table1[[#This Row],[Customer_Name]])</f>
        <v>6</v>
      </c>
      <c r="AC114" s="11">
        <f>IFERROR(FIND("a",Table1[[#This Row],[Customer_Name]]),"N/A")</f>
        <v>4</v>
      </c>
      <c r="AD114">
        <f>FIND(" ",Table1[[#This Row],[Customer_Name]])</f>
        <v>6</v>
      </c>
      <c r="AE114" t="str">
        <f>TRIM(Table1[[#This Row],[Customer_Name]])</f>
        <v>Rohan Mehta</v>
      </c>
      <c r="AF114">
        <f>LEN(Table1[[#This Row],[Trimmed]])</f>
        <v>11</v>
      </c>
      <c r="AG114">
        <f>MAX(Table1[Length])</f>
        <v>15</v>
      </c>
      <c r="AH114" t="str">
        <f>PROPER(Table1[[#This Row],[Customer_Name]])</f>
        <v>Rohan Mehta</v>
      </c>
      <c r="AI114" t="str">
        <f>LOWER(Table1[[#This Row],[Customer_Name]])</f>
        <v>rohan mehta</v>
      </c>
      <c r="AJ114" t="str">
        <f>UPPER(Table1[[#This Row],[Customer_Name]])</f>
        <v>ROHAN MEHTA</v>
      </c>
      <c r="AK114" t="str">
        <f>CONCATENATE(Table1[[#This Row],[Customer_ID]],Table1[[#This Row],[Customer_Name]])</f>
        <v>C1027Rohan Mehta</v>
      </c>
      <c r="AL114" t="s">
        <v>389</v>
      </c>
      <c r="AM114" t="s">
        <v>390</v>
      </c>
      <c r="AN114" t="s">
        <v>391</v>
      </c>
      <c r="AO114" t="s">
        <v>389</v>
      </c>
      <c r="AP114" t="s">
        <v>390</v>
      </c>
      <c r="AQ114" t="s">
        <v>304</v>
      </c>
      <c r="AR114" t="str">
        <f>TRIM(Table1[[#This Row],[City]])</f>
        <v>Chennai</v>
      </c>
      <c r="AS114" t="str">
        <f>PROPER(Table1[[#This Row],[City]])</f>
        <v>Chennai</v>
      </c>
      <c r="AT114" t="s">
        <v>305</v>
      </c>
      <c r="AU114" t="str">
        <f>CONCATENATE(Table1[[#This Row],[City]],Table1[[#This Row],[State]])</f>
        <v>ChennaiTamil Nadu</v>
      </c>
      <c r="AV114" t="s">
        <v>168</v>
      </c>
      <c r="AW114" t="s">
        <v>151</v>
      </c>
      <c r="AX114" t="str">
        <f>REPLACE(Table1[[#This Row],[Product_ID]],1,1,"s")</f>
        <v>s102</v>
      </c>
      <c r="AY114" t="s">
        <v>738</v>
      </c>
      <c r="AZ114">
        <f>SEARCH("-",Table1[[#This Row],[Product ID]])</f>
        <v>2</v>
      </c>
      <c r="BA114">
        <f>FIND("-",Table1[[#This Row],[Product ID]])</f>
        <v>2</v>
      </c>
      <c r="BB114" t="str">
        <f>MID(Table1[[#This Row],[Product_ID]],2,3)</f>
        <v>102</v>
      </c>
      <c r="BC114" t="str">
        <f>RIGHT(Table1[[#This Row],[Product_ID]],3)</f>
        <v>102</v>
      </c>
      <c r="BD114" t="str">
        <f>LEFT(Table1[[#This Row],[Product_ID]],3)</f>
        <v>P10</v>
      </c>
      <c r="BE114" t="str">
        <f>_xlfn.XLOOKUP(Table1[[#This Row],[Product_ID]],AW:AW,BF:BF,,0)</f>
        <v>Mechanical Keyboard</v>
      </c>
      <c r="BF114" t="s">
        <v>153</v>
      </c>
      <c r="BG114">
        <f>LEN(Table1[[#This Row],[Product_Name]])</f>
        <v>19</v>
      </c>
      <c r="BH114" t="s">
        <v>154</v>
      </c>
      <c r="BI114">
        <f t="shared" si="14"/>
        <v>75</v>
      </c>
      <c r="BJ114" t="str">
        <f>SUBSTITUTE(Table1[[#This Row],[Category]],"Electronics","ELECTRONICS")</f>
        <v>ELECTRONICS</v>
      </c>
      <c r="BN114" t="s">
        <v>155</v>
      </c>
      <c r="BS114" s="14">
        <v>2</v>
      </c>
      <c r="BT114" s="3">
        <v>2499</v>
      </c>
      <c r="BU114" s="4">
        <v>15</v>
      </c>
      <c r="BV114" s="4" t="str">
        <f>IF(AND(Table1[[#This Row],[Quantity]]&gt;=3,Table1[[#This Row],[Discount_%]]&gt;=15%),"Bulk Discount","no")</f>
        <v>no</v>
      </c>
      <c r="BW114" s="4" t="str">
        <f>IF(AND(Table1[[#This Row],[Quantity]]&gt;3,Table1[[#This Row],[Discount_%]]&gt;15%),"Bulk Customer","Normal")</f>
        <v>Normal</v>
      </c>
      <c r="BX114" t="s">
        <v>192</v>
      </c>
      <c r="BY114" t="s">
        <v>136</v>
      </c>
      <c r="CC114" t="str">
        <f>IF(OR(Table1[[#This Row],[Order_Status]]="Returned",Table1[[#This Row],[Order_Status]]="Cancelled"),"Attention Required","Not")</f>
        <v>Not</v>
      </c>
      <c r="CD114" t="str">
        <f>IF(OR(Table1[[#This Row],[Order_Status]]="Returned",Table1[[#This Row],[Order_Status]]="Cancelled"),"Review","no")</f>
        <v>no</v>
      </c>
      <c r="CE114" t="str">
        <f>SUBSTITUTE(Table1[[#This Row],[Order_Status]],"Delivered","Completed")</f>
        <v>Completed</v>
      </c>
      <c r="CF114" s="2">
        <v>46183</v>
      </c>
      <c r="CG114" s="17">
        <f>NETWORKDAYS(Table1[[#This Row],[Order_Date]],Table1[[#This Row],[Delivery_Date]])</f>
        <v>3</v>
      </c>
      <c r="CH114" s="17">
        <f>Table1[[#This Row],[Delivery_Date]]-Table1[[#This Row],[Order_Date]]</f>
        <v>3</v>
      </c>
      <c r="CI114" t="s">
        <v>137</v>
      </c>
      <c r="CJ114" t="str">
        <f>IF(Table1[[#This Row],[Rating]]&gt;=4,"Good","Needs Improvement")</f>
        <v>Good</v>
      </c>
      <c r="CK114" t="str">
        <f>IF(OR(Table1[[#This Row],[Rating]]&lt;=2,Table1[[#This Row],[Profit]]&lt;0),"Review","NO")</f>
        <v>NO</v>
      </c>
      <c r="CL114" t="str" cm="1">
        <f t="array" ref="CL114">_xlfn.IFS(Table1[[#This Row],[Rating]]&gt;2,"Poor",Table1[[#This Row],[Rating]]=3,"Average",Table1[[#This Row],[Rating]]=4,"Good",CP114=5,"Excellent")</f>
        <v>Poor</v>
      </c>
      <c r="CM114">
        <f>COUNT(Table1[[#This Row],[Rating]])</f>
        <v>1</v>
      </c>
      <c r="CN114">
        <f>COUNTBLANK(Table1[[#This Row],[Rating]])</f>
        <v>0</v>
      </c>
      <c r="CP114" t="s">
        <v>194</v>
      </c>
      <c r="CQ114" s="14">
        <v>4</v>
      </c>
      <c r="CR114" t="s">
        <v>139</v>
      </c>
      <c r="CS114" t="s">
        <v>174</v>
      </c>
      <c r="CU114" s="3">
        <v>4248.3</v>
      </c>
      <c r="CV114" s="3">
        <f>ROUND(Table1[[#This Row],[Sales_Amount]],0)</f>
        <v>4248</v>
      </c>
      <c r="CW114" s="3"/>
      <c r="CX114" s="3"/>
      <c r="CY114" s="3" t="b">
        <f>IF(AND(Table1[[#This Row],[Sales_Amount]]&gt;=10000,Table1[[#This Row],[Profit]]&gt;0),"Good Order")</f>
        <v>0</v>
      </c>
      <c r="CZ114" s="3" t="str">
        <f>IF(Table1[[#This Row],[Sales_Amount]]&gt;=10000,"High","Normal")</f>
        <v>Normal</v>
      </c>
      <c r="DA114" s="3">
        <v>1348.3</v>
      </c>
      <c r="DB114" s="3">
        <f>ROUND(Table1[[#This Row],[Profit]],0)</f>
        <v>1348</v>
      </c>
      <c r="DC114" s="3">
        <f>ABS(Table1[[#This Row],[Profit]])</f>
        <v>1348.3</v>
      </c>
      <c r="DD114" s="3"/>
      <c r="DE114" s="3"/>
      <c r="DF114" s="3"/>
      <c r="DG114" s="3" t="str">
        <f>IF(Table1[[#This Row],[Profit]]&gt;0,"Profit","Loss")</f>
        <v>Profit</v>
      </c>
      <c r="DH114" s="3" t="str">
        <f>IF(AND(Table1[[#This Row],[Sales_Amount]]&gt;=10000,Table1[[#This Row],[Profit]]&gt;0),"Priority","Normal")</f>
        <v>Normal</v>
      </c>
      <c r="DI114" s="3">
        <f t="shared" ca="1" si="9"/>
        <v>0.88245767741087378</v>
      </c>
      <c r="DJ114" s="3">
        <f t="shared" ca="1" si="10"/>
        <v>81</v>
      </c>
      <c r="DK114" s="3"/>
      <c r="DL114" s="3"/>
      <c r="DM114" s="3"/>
      <c r="DN114" s="3"/>
      <c r="DO114" s="3"/>
      <c r="DP114" s="3"/>
    </row>
    <row r="115" spans="1:120">
      <c r="A115" t="s">
        <v>739</v>
      </c>
      <c r="B115" t="str">
        <f>REPLACE(Table1[[#This Row],[Order_ID]],1,3,"YOO")</f>
        <v>YOO10114</v>
      </c>
      <c r="C115" t="str">
        <f>MID(Table1[[#This Row],[Order_ID]],4,4)</f>
        <v>1011</v>
      </c>
      <c r="D115" t="str">
        <f>LEFT(Table1[[#This Row],[Order_ID]],4)</f>
        <v>ORD1</v>
      </c>
      <c r="E115" t="str">
        <f>RIGHT(Table1[[#This Row],[Order_ID]],5)</f>
        <v>10114</v>
      </c>
      <c r="F115" t="s">
        <v>5</v>
      </c>
      <c r="G115">
        <v>10114</v>
      </c>
      <c r="H115" t="s">
        <v>740</v>
      </c>
      <c r="I115" s="2">
        <f>EDATE(Table1[[#This Row],[Order_Date]],3)</f>
        <v>45827</v>
      </c>
      <c r="J115" s="2">
        <f>EDATE(Table1[[#This Row],[Order_Date]],6)</f>
        <v>45919</v>
      </c>
      <c r="K115">
        <f ca="1">YEAR(Table1[[#This Row],[Today]])</f>
        <v>2026</v>
      </c>
      <c r="L115">
        <v>114</v>
      </c>
      <c r="M115">
        <f ca="1">DAY(Table1[[#This Row],[Today]])</f>
        <v>11</v>
      </c>
      <c r="N115" s="19">
        <f t="shared" ca="1" si="13"/>
        <v>46245.589795370368</v>
      </c>
      <c r="O115" s="2">
        <f t="shared" ca="1" si="8"/>
        <v>46245</v>
      </c>
      <c r="P115" s="17">
        <f ca="1">Table1[[#This Row],[Today]]-Table1[[#This Row],[Order_Date]]</f>
        <v>510</v>
      </c>
      <c r="Q115" s="2">
        <v>45771</v>
      </c>
      <c r="R115" s="2">
        <v>45735</v>
      </c>
      <c r="S115" s="6">
        <f t="shared" si="11"/>
        <v>2025</v>
      </c>
      <c r="T115" s="7" t="str">
        <f t="shared" si="12"/>
        <v>March</v>
      </c>
      <c r="U115" s="2">
        <f>WORKDAY(Table1[[#This Row],[Order_Date]],5)</f>
        <v>45742</v>
      </c>
      <c r="V115" s="7" t="str">
        <f>CONCATENATE(Table1[[#This Row],[Customer_ID]],Table1[[#This Row],[Customer_Name]])</f>
        <v>C1081Rohan Mehta</v>
      </c>
      <c r="W115" t="s">
        <v>741</v>
      </c>
      <c r="X115" t="s">
        <v>388</v>
      </c>
      <c r="Y115">
        <f>COUNTA(Table1[[#This Row],[Customer_Name]])</f>
        <v>1</v>
      </c>
      <c r="Z115" t="str">
        <f>SUBSTITUTE(Table1[[#This Row],[Customer_Name]]," ","_")</f>
        <v>Rohan_Mehta</v>
      </c>
      <c r="AA115" s="10">
        <f>IFERROR(SEARCH("a",Table1[[#This Row],[Customer_Name]]),"N/A")</f>
        <v>4</v>
      </c>
      <c r="AB115">
        <f>SEARCH(" ",Table1[[#This Row],[Customer_Name]])</f>
        <v>6</v>
      </c>
      <c r="AC115" s="11">
        <f>IFERROR(FIND("a",Table1[[#This Row],[Customer_Name]]),"N/A")</f>
        <v>4</v>
      </c>
      <c r="AD115">
        <f>FIND(" ",Table1[[#This Row],[Customer_Name]])</f>
        <v>6</v>
      </c>
      <c r="AE115" t="str">
        <f>TRIM(Table1[[#This Row],[Customer_Name]])</f>
        <v>Rohan Mehta</v>
      </c>
      <c r="AF115">
        <f>LEN(Table1[[#This Row],[Trimmed]])</f>
        <v>11</v>
      </c>
      <c r="AG115">
        <f>MAX(Table1[Length])</f>
        <v>15</v>
      </c>
      <c r="AH115" t="str">
        <f>PROPER(Table1[[#This Row],[Customer_Name]])</f>
        <v>Rohan Mehta</v>
      </c>
      <c r="AI115" t="str">
        <f>LOWER(Table1[[#This Row],[Customer_Name]])</f>
        <v>rohan mehta</v>
      </c>
      <c r="AJ115" t="str">
        <f>UPPER(Table1[[#This Row],[Customer_Name]])</f>
        <v>ROHAN MEHTA</v>
      </c>
      <c r="AK115" t="str">
        <f>CONCATENATE(Table1[[#This Row],[Customer_ID]],Table1[[#This Row],[Customer_Name]])</f>
        <v>C1081Rohan Mehta</v>
      </c>
      <c r="AL115" t="s">
        <v>389</v>
      </c>
      <c r="AM115" t="s">
        <v>390</v>
      </c>
      <c r="AN115" t="s">
        <v>391</v>
      </c>
      <c r="AO115" t="s">
        <v>389</v>
      </c>
      <c r="AP115" t="s">
        <v>390</v>
      </c>
      <c r="AQ115" t="s">
        <v>199</v>
      </c>
      <c r="AR115" t="str">
        <f>TRIM(Table1[[#This Row],[City]])</f>
        <v>Lucknow</v>
      </c>
      <c r="AS115" t="str">
        <f>PROPER(Table1[[#This Row],[City]])</f>
        <v>Lucknow</v>
      </c>
      <c r="AT115" t="s">
        <v>200</v>
      </c>
      <c r="AU115" t="str">
        <f>CONCATENATE(Table1[[#This Row],[City]],Table1[[#This Row],[State]])</f>
        <v>LucknowUttar Pradesh</v>
      </c>
      <c r="AV115" t="s">
        <v>150</v>
      </c>
      <c r="AW115" t="s">
        <v>319</v>
      </c>
      <c r="AX115" t="str">
        <f>REPLACE(Table1[[#This Row],[Product_ID]],1,1,"s")</f>
        <v>s103</v>
      </c>
      <c r="AY115" t="s">
        <v>742</v>
      </c>
      <c r="AZ115">
        <f>SEARCH("-",Table1[[#This Row],[Product ID]])</f>
        <v>2</v>
      </c>
      <c r="BA115">
        <f>FIND("-",Table1[[#This Row],[Product ID]])</f>
        <v>2</v>
      </c>
      <c r="BB115" t="str">
        <f>MID(Table1[[#This Row],[Product_ID]],2,3)</f>
        <v>103</v>
      </c>
      <c r="BC115" t="str">
        <f>RIGHT(Table1[[#This Row],[Product_ID]],3)</f>
        <v>103</v>
      </c>
      <c r="BD115" t="str">
        <f>LEFT(Table1[[#This Row],[Product_ID]],3)</f>
        <v>P10</v>
      </c>
      <c r="BE115" t="str">
        <f>_xlfn.XLOOKUP(Table1[[#This Row],[Product_ID]],AW:AW,BF:BF,,0)</f>
        <v>Laptop Stand</v>
      </c>
      <c r="BF115" t="s">
        <v>321</v>
      </c>
      <c r="BG115">
        <f>LEN(Table1[[#This Row],[Product_Name]])</f>
        <v>12</v>
      </c>
      <c r="BH115" t="s">
        <v>154</v>
      </c>
      <c r="BI115">
        <f t="shared" si="14"/>
        <v>75</v>
      </c>
      <c r="BJ115" t="str">
        <f>SUBSTITUTE(Table1[[#This Row],[Category]],"Electronics","ELECTRONICS")</f>
        <v>ELECTRONICS</v>
      </c>
      <c r="BN115" t="s">
        <v>155</v>
      </c>
      <c r="BS115" s="14">
        <v>2</v>
      </c>
      <c r="BT115" s="3">
        <v>1599</v>
      </c>
      <c r="BU115" s="4">
        <v>25</v>
      </c>
      <c r="BV115" s="4" t="str">
        <f>IF(AND(Table1[[#This Row],[Quantity]]&gt;=3,Table1[[#This Row],[Discount_%]]&gt;=15%),"Bulk Discount","no")</f>
        <v>no</v>
      </c>
      <c r="BW115" s="4" t="str">
        <f>IF(AND(Table1[[#This Row],[Quantity]]&gt;3,Table1[[#This Row],[Discount_%]]&gt;15%),"Bulk Customer","Normal")</f>
        <v>Normal</v>
      </c>
      <c r="BX115" t="s">
        <v>330</v>
      </c>
      <c r="BY115" t="s">
        <v>136</v>
      </c>
      <c r="CC115" t="str">
        <f>IF(OR(Table1[[#This Row],[Order_Status]]="Returned",Table1[[#This Row],[Order_Status]]="Cancelled"),"Attention Required","Not")</f>
        <v>Not</v>
      </c>
      <c r="CD115" t="str">
        <f>IF(OR(Table1[[#This Row],[Order_Status]]="Returned",Table1[[#This Row],[Order_Status]]="Cancelled"),"Review","no")</f>
        <v>no</v>
      </c>
      <c r="CE115" t="str">
        <f>SUBSTITUTE(Table1[[#This Row],[Order_Status]],"Delivered","Completed")</f>
        <v>Completed</v>
      </c>
      <c r="CF115" s="2">
        <v>45743</v>
      </c>
      <c r="CG115" s="17">
        <f>NETWORKDAYS(Table1[[#This Row],[Order_Date]],Table1[[#This Row],[Delivery_Date]])</f>
        <v>7</v>
      </c>
      <c r="CH115" s="17">
        <f>Table1[[#This Row],[Delivery_Date]]-Table1[[#This Row],[Order_Date]]</f>
        <v>8</v>
      </c>
      <c r="CI115" t="s">
        <v>137</v>
      </c>
      <c r="CJ115" t="str">
        <f>IF(Table1[[#This Row],[Rating]]&gt;=4,"Good","Needs Improvement")</f>
        <v>Good</v>
      </c>
      <c r="CK115" t="str">
        <f>IF(OR(Table1[[#This Row],[Rating]]&lt;=2,Table1[[#This Row],[Profit]]&lt;0),"Review","NO")</f>
        <v>NO</v>
      </c>
      <c r="CL115" t="str" cm="1">
        <f t="array" ref="CL115">_xlfn.IFS(Table1[[#This Row],[Rating]]&gt;2,"Poor",Table1[[#This Row],[Rating]]=3,"Average",Table1[[#This Row],[Rating]]=4,"Good",CP115=5,"Excellent")</f>
        <v>Poor</v>
      </c>
      <c r="CM115">
        <f>COUNT(Table1[[#This Row],[Rating]])</f>
        <v>1</v>
      </c>
      <c r="CN115">
        <f>COUNTBLANK(Table1[[#This Row],[Rating]])</f>
        <v>0</v>
      </c>
      <c r="CP115" t="s">
        <v>331</v>
      </c>
      <c r="CQ115" s="14">
        <v>5</v>
      </c>
      <c r="CR115" t="s">
        <v>173</v>
      </c>
      <c r="CS115" t="s">
        <v>267</v>
      </c>
      <c r="CU115" s="3">
        <v>2398.5</v>
      </c>
      <c r="CV115" s="3">
        <f>ROUND(Table1[[#This Row],[Sales_Amount]],0)</f>
        <v>2399</v>
      </c>
      <c r="CW115" s="3"/>
      <c r="CX115" s="3"/>
      <c r="CY115" s="3" t="b">
        <f>IF(AND(Table1[[#This Row],[Sales_Amount]]&gt;=10000,Table1[[#This Row],[Profit]]&gt;0),"Good Order")</f>
        <v>0</v>
      </c>
      <c r="CZ115" s="3" t="str">
        <f>IF(Table1[[#This Row],[Sales_Amount]]&gt;=10000,"High","Normal")</f>
        <v>Normal</v>
      </c>
      <c r="DA115" s="3">
        <v>598.5</v>
      </c>
      <c r="DB115" s="3">
        <f>ROUND(Table1[[#This Row],[Profit]],0)</f>
        <v>599</v>
      </c>
      <c r="DC115" s="3">
        <f>ABS(Table1[[#This Row],[Profit]])</f>
        <v>598.5</v>
      </c>
      <c r="DD115" s="3"/>
      <c r="DE115" s="3"/>
      <c r="DF115" s="3"/>
      <c r="DG115" s="3" t="str">
        <f>IF(Table1[[#This Row],[Profit]]&gt;0,"Profit","Loss")</f>
        <v>Profit</v>
      </c>
      <c r="DH115" s="3" t="str">
        <f>IF(AND(Table1[[#This Row],[Sales_Amount]]&gt;=10000,Table1[[#This Row],[Profit]]&gt;0),"Priority","Normal")</f>
        <v>Normal</v>
      </c>
      <c r="DI115" s="3">
        <f t="shared" ca="1" si="9"/>
        <v>0.43853100372116727</v>
      </c>
      <c r="DJ115" s="3">
        <f t="shared" ca="1" si="10"/>
        <v>74</v>
      </c>
      <c r="DK115" s="3"/>
      <c r="DL115" s="3"/>
      <c r="DM115" s="3"/>
      <c r="DN115" s="3"/>
      <c r="DO115" s="3"/>
      <c r="DP115" s="3"/>
    </row>
    <row r="116" spans="1:120">
      <c r="A116" t="s">
        <v>743</v>
      </c>
      <c r="B116" t="str">
        <f>REPLACE(Table1[[#This Row],[Order_ID]],1,3,"YOO")</f>
        <v>YOO10115</v>
      </c>
      <c r="C116" t="str">
        <f>MID(Table1[[#This Row],[Order_ID]],4,4)</f>
        <v>1011</v>
      </c>
      <c r="D116" t="str">
        <f>LEFT(Table1[[#This Row],[Order_ID]],4)</f>
        <v>ORD1</v>
      </c>
      <c r="E116" t="str">
        <f>RIGHT(Table1[[#This Row],[Order_ID]],5)</f>
        <v>10115</v>
      </c>
      <c r="F116" t="s">
        <v>5</v>
      </c>
      <c r="G116">
        <v>10115</v>
      </c>
      <c r="H116" t="s">
        <v>744</v>
      </c>
      <c r="I116" s="2">
        <f>EDATE(Table1[[#This Row],[Order_Date]],3)</f>
        <v>46031</v>
      </c>
      <c r="J116" s="2">
        <f>EDATE(Table1[[#This Row],[Order_Date]],6)</f>
        <v>46121</v>
      </c>
      <c r="K116">
        <f ca="1">YEAR(Table1[[#This Row],[Today]])</f>
        <v>2026</v>
      </c>
      <c r="L116">
        <v>115</v>
      </c>
      <c r="M116">
        <f ca="1">DAY(Table1[[#This Row],[Today]])</f>
        <v>11</v>
      </c>
      <c r="N116" s="19">
        <f t="shared" ca="1" si="13"/>
        <v>46245.589795138891</v>
      </c>
      <c r="O116" s="2">
        <f t="shared" ca="1" si="8"/>
        <v>46245</v>
      </c>
      <c r="P116" s="17">
        <f ca="1">Table1[[#This Row],[Today]]-Table1[[#This Row],[Order_Date]]</f>
        <v>306</v>
      </c>
      <c r="Q116" s="2">
        <v>45772</v>
      </c>
      <c r="R116" s="2">
        <v>45939</v>
      </c>
      <c r="S116" s="6">
        <f t="shared" si="11"/>
        <v>2025</v>
      </c>
      <c r="T116" s="7" t="str">
        <f t="shared" si="12"/>
        <v>October</v>
      </c>
      <c r="U116" s="2">
        <f>WORKDAY(Table1[[#This Row],[Order_Date]],5)</f>
        <v>45946</v>
      </c>
      <c r="V116" s="7" t="str">
        <f>CONCATENATE(Table1[[#This Row],[Customer_ID]],Table1[[#This Row],[Customer_Name]])</f>
        <v>C1119Nitin Soni</v>
      </c>
      <c r="W116" t="s">
        <v>198</v>
      </c>
      <c r="X116" t="s">
        <v>144</v>
      </c>
      <c r="Y116">
        <f>COUNTA(Table1[[#This Row],[Customer_Name]])</f>
        <v>1</v>
      </c>
      <c r="Z116" t="str">
        <f>SUBSTITUTE(Table1[[#This Row],[Customer_Name]]," ","_")</f>
        <v>Nitin_Soni</v>
      </c>
      <c r="AA116" s="10" t="str">
        <f>IFERROR(SEARCH("a",Table1[[#This Row],[Customer_Name]]),"N/A")</f>
        <v>N/A</v>
      </c>
      <c r="AB116">
        <f>SEARCH(" ",Table1[[#This Row],[Customer_Name]])</f>
        <v>6</v>
      </c>
      <c r="AC116" s="11" t="str">
        <f>IFERROR(FIND("a",Table1[[#This Row],[Customer_Name]]),"N/A")</f>
        <v>N/A</v>
      </c>
      <c r="AD116">
        <f>FIND(" ",Table1[[#This Row],[Customer_Name]])</f>
        <v>6</v>
      </c>
      <c r="AE116" t="str">
        <f>TRIM(Table1[[#This Row],[Customer_Name]])</f>
        <v>Nitin Soni</v>
      </c>
      <c r="AF116">
        <f>LEN(Table1[[#This Row],[Trimmed]])</f>
        <v>10</v>
      </c>
      <c r="AG116">
        <f>MAX(Table1[Length])</f>
        <v>15</v>
      </c>
      <c r="AH116" t="str">
        <f>PROPER(Table1[[#This Row],[Customer_Name]])</f>
        <v>Nitin Soni</v>
      </c>
      <c r="AI116" t="str">
        <f>LOWER(Table1[[#This Row],[Customer_Name]])</f>
        <v>nitin soni</v>
      </c>
      <c r="AJ116" t="str">
        <f>UPPER(Table1[[#This Row],[Customer_Name]])</f>
        <v>NITIN SONI</v>
      </c>
      <c r="AK116" t="str">
        <f>CONCATENATE(Table1[[#This Row],[Customer_ID]],Table1[[#This Row],[Customer_Name]])</f>
        <v>C1119Nitin Soni</v>
      </c>
      <c r="AL116" t="s">
        <v>145</v>
      </c>
      <c r="AM116" t="s">
        <v>146</v>
      </c>
      <c r="AN116" t="s">
        <v>147</v>
      </c>
      <c r="AO116" t="s">
        <v>145</v>
      </c>
      <c r="AP116" t="s">
        <v>146</v>
      </c>
      <c r="AQ116" t="s">
        <v>379</v>
      </c>
      <c r="AR116" t="str">
        <f>TRIM(Table1[[#This Row],[City]])</f>
        <v>Indore</v>
      </c>
      <c r="AS116" t="str">
        <f>PROPER(Table1[[#This Row],[City]])</f>
        <v>Indore</v>
      </c>
      <c r="AT116" t="s">
        <v>345</v>
      </c>
      <c r="AU116" t="str">
        <f>CONCATENATE(Table1[[#This Row],[City]],Table1[[#This Row],[State]])</f>
        <v>IndoreMadhya Pradesh</v>
      </c>
      <c r="AV116" t="s">
        <v>346</v>
      </c>
      <c r="AW116" t="s">
        <v>130</v>
      </c>
      <c r="AX116" t="str">
        <f>REPLACE(Table1[[#This Row],[Product_ID]],1,1,"s")</f>
        <v>s111</v>
      </c>
      <c r="AY116" t="s">
        <v>745</v>
      </c>
      <c r="AZ116">
        <f>SEARCH("-",Table1[[#This Row],[Product ID]])</f>
        <v>2</v>
      </c>
      <c r="BA116">
        <f>FIND("-",Table1[[#This Row],[Product ID]])</f>
        <v>2</v>
      </c>
      <c r="BB116" t="str">
        <f>MID(Table1[[#This Row],[Product_ID]],2,3)</f>
        <v>111</v>
      </c>
      <c r="BC116" t="str">
        <f>RIGHT(Table1[[#This Row],[Product_ID]],3)</f>
        <v>111</v>
      </c>
      <c r="BD116" t="str">
        <f>LEFT(Table1[[#This Row],[Product_ID]],3)</f>
        <v>P11</v>
      </c>
      <c r="BE116" t="str">
        <f>_xlfn.XLOOKUP(Table1[[#This Row],[Product_ID]],AW:AW,BF:BF,,0)</f>
        <v>Coffee Maker</v>
      </c>
      <c r="BF116" t="s">
        <v>132</v>
      </c>
      <c r="BG116">
        <f>LEN(Table1[[#This Row],[Product_Name]])</f>
        <v>12</v>
      </c>
      <c r="BH116" t="s">
        <v>133</v>
      </c>
      <c r="BI116">
        <f t="shared" si="14"/>
        <v>75</v>
      </c>
      <c r="BJ116" t="str">
        <f>SUBSTITUTE(Table1[[#This Row],[Category]],"Electronics","ELECTRONICS")</f>
        <v>Home</v>
      </c>
      <c r="BN116" t="s">
        <v>134</v>
      </c>
      <c r="BS116" s="14">
        <v>5</v>
      </c>
      <c r="BT116" s="3">
        <v>3999</v>
      </c>
      <c r="BU116" s="4">
        <v>0</v>
      </c>
      <c r="BV116" s="4" t="str">
        <f>IF(AND(Table1[[#This Row],[Quantity]]&gt;=3,Table1[[#This Row],[Discount_%]]&gt;=15%),"Bulk Discount","no")</f>
        <v>no</v>
      </c>
      <c r="BW116" s="4" t="str">
        <f>IF(AND(Table1[[#This Row],[Quantity]]&gt;3,Table1[[#This Row],[Discount_%]]&gt;15%),"Bulk Customer","Normal")</f>
        <v>Normal</v>
      </c>
      <c r="BX116" t="s">
        <v>172</v>
      </c>
      <c r="BY116" t="s">
        <v>136</v>
      </c>
      <c r="CC116" t="str">
        <f>IF(OR(Table1[[#This Row],[Order_Status]]="Returned",Table1[[#This Row],[Order_Status]]="Cancelled"),"Attention Required","Not")</f>
        <v>Not</v>
      </c>
      <c r="CD116" t="str">
        <f>IF(OR(Table1[[#This Row],[Order_Status]]="Returned",Table1[[#This Row],[Order_Status]]="Cancelled"),"Review","no")</f>
        <v>no</v>
      </c>
      <c r="CE116" t="str">
        <f>SUBSTITUTE(Table1[[#This Row],[Order_Status]],"Delivered","Completed")</f>
        <v>Completed</v>
      </c>
      <c r="CF116" s="2">
        <v>45941</v>
      </c>
      <c r="CG116" s="17">
        <f>NETWORKDAYS(Table1[[#This Row],[Order_Date]],Table1[[#This Row],[Delivery_Date]])</f>
        <v>2</v>
      </c>
      <c r="CH116" s="17">
        <f>Table1[[#This Row],[Delivery_Date]]-Table1[[#This Row],[Order_Date]]</f>
        <v>2</v>
      </c>
      <c r="CI116" t="s">
        <v>137</v>
      </c>
      <c r="CJ116" t="str">
        <f>IF(Table1[[#This Row],[Rating]]&gt;=4,"Good","Needs Improvement")</f>
        <v>Needs Improvement</v>
      </c>
      <c r="CK116" t="str">
        <f>IF(OR(Table1[[#This Row],[Rating]]&lt;=2,Table1[[#This Row],[Profit]]&lt;0),"Review","NO")</f>
        <v>Review</v>
      </c>
      <c r="CL116" t="e" cm="1">
        <f t="array" ref="CL116">_xlfn.IFS(Table1[[#This Row],[Rating]]&gt;2,"Poor",Table1[[#This Row],[Rating]]=3,"Average",Table1[[#This Row],[Rating]]=4,"Good",CP116=5,"Excellent")</f>
        <v>#N/A</v>
      </c>
      <c r="CM116">
        <f>COUNT(Table1[[#This Row],[Rating]])</f>
        <v>0</v>
      </c>
      <c r="CN116">
        <f>COUNTBLANK(Table1[[#This Row],[Rating]])</f>
        <v>1</v>
      </c>
      <c r="CP116" t="s">
        <v>331</v>
      </c>
      <c r="CR116" t="s">
        <v>173</v>
      </c>
      <c r="CS116" t="s">
        <v>195</v>
      </c>
      <c r="CU116" s="3">
        <v>19995</v>
      </c>
      <c r="CV116" s="3">
        <f>ROUND(Table1[[#This Row],[Sales_Amount]],0)</f>
        <v>19995</v>
      </c>
      <c r="CW116" s="3"/>
      <c r="CX116" s="3"/>
      <c r="CY116" s="3" t="str">
        <f>IF(AND(Table1[[#This Row],[Sales_Amount]]&gt;=10000,Table1[[#This Row],[Profit]]&gt;0),"Good Order")</f>
        <v>Good Order</v>
      </c>
      <c r="CZ116" s="3" t="str">
        <f>IF(Table1[[#This Row],[Sales_Amount]]&gt;=10000,"High","Normal")</f>
        <v>High</v>
      </c>
      <c r="DA116" s="3">
        <v>7495</v>
      </c>
      <c r="DB116" s="3">
        <f>ROUND(Table1[[#This Row],[Profit]],0)</f>
        <v>7495</v>
      </c>
      <c r="DC116" s="3">
        <f>ABS(Table1[[#This Row],[Profit]])</f>
        <v>7495</v>
      </c>
      <c r="DD116" s="3"/>
      <c r="DE116" s="3"/>
      <c r="DF116" s="3"/>
      <c r="DG116" s="3" t="str">
        <f>IF(Table1[[#This Row],[Profit]]&gt;0,"Profit","Loss")</f>
        <v>Profit</v>
      </c>
      <c r="DH116" s="3" t="str">
        <f>IF(AND(Table1[[#This Row],[Sales_Amount]]&gt;=10000,Table1[[#This Row],[Profit]]&gt;0),"Priority","Normal")</f>
        <v>Priority</v>
      </c>
      <c r="DI116" s="3">
        <f t="shared" ca="1" si="9"/>
        <v>3.2466117895595947E-2</v>
      </c>
      <c r="DJ116" s="3">
        <f t="shared" ca="1" si="10"/>
        <v>60</v>
      </c>
      <c r="DK116" s="3"/>
      <c r="DL116" s="3"/>
      <c r="DM116" s="3"/>
      <c r="DN116" s="3"/>
      <c r="DO116" s="3"/>
      <c r="DP116" s="3"/>
    </row>
    <row r="117" spans="1:120">
      <c r="A117" t="s">
        <v>746</v>
      </c>
      <c r="B117" t="str">
        <f>REPLACE(Table1[[#This Row],[Order_ID]],1,3,"YOO")</f>
        <v>YOO10116</v>
      </c>
      <c r="C117" t="str">
        <f>MID(Table1[[#This Row],[Order_ID]],4,4)</f>
        <v>1011</v>
      </c>
      <c r="D117" t="str">
        <f>LEFT(Table1[[#This Row],[Order_ID]],4)</f>
        <v>ORD1</v>
      </c>
      <c r="E117" t="str">
        <f>RIGHT(Table1[[#This Row],[Order_ID]],5)</f>
        <v>10116</v>
      </c>
      <c r="F117" t="s">
        <v>5</v>
      </c>
      <c r="G117">
        <v>10116</v>
      </c>
      <c r="H117" t="s">
        <v>747</v>
      </c>
      <c r="I117" s="2">
        <f>EDATE(Table1[[#This Row],[Order_Date]],3)</f>
        <v>45841</v>
      </c>
      <c r="J117" s="2">
        <f>EDATE(Table1[[#This Row],[Order_Date]],6)</f>
        <v>45933</v>
      </c>
      <c r="K117">
        <f ca="1">YEAR(Table1[[#This Row],[Today]])</f>
        <v>2026</v>
      </c>
      <c r="L117">
        <v>116</v>
      </c>
      <c r="M117">
        <f ca="1">DAY(Table1[[#This Row],[Today]])</f>
        <v>11</v>
      </c>
      <c r="N117" s="19">
        <f t="shared" ca="1" si="13"/>
        <v>46245.589795370368</v>
      </c>
      <c r="O117" s="2">
        <f t="shared" ca="1" si="8"/>
        <v>46245</v>
      </c>
      <c r="P117" s="17">
        <f ca="1">Table1[[#This Row],[Today]]-Table1[[#This Row],[Order_Date]]</f>
        <v>495</v>
      </c>
      <c r="Q117" s="2">
        <v>45773</v>
      </c>
      <c r="R117" s="2">
        <v>45750</v>
      </c>
      <c r="S117" s="6">
        <f t="shared" si="11"/>
        <v>2025</v>
      </c>
      <c r="T117" s="7" t="str">
        <f t="shared" si="12"/>
        <v>April</v>
      </c>
      <c r="U117" s="2">
        <f>WORKDAY(Table1[[#This Row],[Order_Date]],5)</f>
        <v>45757</v>
      </c>
      <c r="V117" s="7" t="str">
        <f>CONCATENATE(Table1[[#This Row],[Customer_ID]],Table1[[#This Row],[Customer_Name]])</f>
        <v>C1147Karan Patel</v>
      </c>
      <c r="W117" t="s">
        <v>748</v>
      </c>
      <c r="X117" t="s">
        <v>280</v>
      </c>
      <c r="Y117">
        <f>COUNTA(Table1[[#This Row],[Customer_Name]])</f>
        <v>1</v>
      </c>
      <c r="Z117" t="str">
        <f>SUBSTITUTE(Table1[[#This Row],[Customer_Name]]," ","_")</f>
        <v>Karan_Patel</v>
      </c>
      <c r="AA117" s="10">
        <f>IFERROR(SEARCH("a",Table1[[#This Row],[Customer_Name]]),"N/A")</f>
        <v>2</v>
      </c>
      <c r="AB117">
        <f>SEARCH(" ",Table1[[#This Row],[Customer_Name]])</f>
        <v>6</v>
      </c>
      <c r="AC117" s="11">
        <f>IFERROR(FIND("a",Table1[[#This Row],[Customer_Name]]),"N/A")</f>
        <v>2</v>
      </c>
      <c r="AD117">
        <f>FIND(" ",Table1[[#This Row],[Customer_Name]])</f>
        <v>6</v>
      </c>
      <c r="AE117" t="str">
        <f>TRIM(Table1[[#This Row],[Customer_Name]])</f>
        <v>Karan Patel</v>
      </c>
      <c r="AF117">
        <f>LEN(Table1[[#This Row],[Trimmed]])</f>
        <v>11</v>
      </c>
      <c r="AG117">
        <f>MAX(Table1[Length])</f>
        <v>15</v>
      </c>
      <c r="AH117" t="str">
        <f>PROPER(Table1[[#This Row],[Customer_Name]])</f>
        <v>Karan Patel</v>
      </c>
      <c r="AI117" t="str">
        <f>LOWER(Table1[[#This Row],[Customer_Name]])</f>
        <v>karan patel</v>
      </c>
      <c r="AJ117" t="str">
        <f>UPPER(Table1[[#This Row],[Customer_Name]])</f>
        <v>KARAN PATEL</v>
      </c>
      <c r="AK117" t="str">
        <f>CONCATENATE(Table1[[#This Row],[Customer_ID]],Table1[[#This Row],[Customer_Name]])</f>
        <v>C1147Karan Patel</v>
      </c>
      <c r="AL117" t="s">
        <v>281</v>
      </c>
      <c r="AM117" t="s">
        <v>282</v>
      </c>
      <c r="AN117" t="s">
        <v>283</v>
      </c>
      <c r="AO117" t="s">
        <v>281</v>
      </c>
      <c r="AP117" t="s">
        <v>282</v>
      </c>
      <c r="AQ117" t="s">
        <v>199</v>
      </c>
      <c r="AR117" t="str">
        <f>TRIM(Table1[[#This Row],[City]])</f>
        <v>Lucknow</v>
      </c>
      <c r="AS117" t="str">
        <f>PROPER(Table1[[#This Row],[City]])</f>
        <v>Lucknow</v>
      </c>
      <c r="AT117" t="s">
        <v>200</v>
      </c>
      <c r="AU117" t="str">
        <f>CONCATENATE(Table1[[#This Row],[City]],Table1[[#This Row],[State]])</f>
        <v>LucknowUttar Pradesh</v>
      </c>
      <c r="AV117" t="s">
        <v>150</v>
      </c>
      <c r="AW117" t="s">
        <v>151</v>
      </c>
      <c r="AX117" t="str">
        <f>REPLACE(Table1[[#This Row],[Product_ID]],1,1,"s")</f>
        <v>s102</v>
      </c>
      <c r="AY117" t="s">
        <v>749</v>
      </c>
      <c r="AZ117">
        <f>SEARCH("-",Table1[[#This Row],[Product ID]])</f>
        <v>2</v>
      </c>
      <c r="BA117">
        <f>FIND("-",Table1[[#This Row],[Product ID]])</f>
        <v>2</v>
      </c>
      <c r="BB117" t="str">
        <f>MID(Table1[[#This Row],[Product_ID]],2,3)</f>
        <v>102</v>
      </c>
      <c r="BC117" t="str">
        <f>RIGHT(Table1[[#This Row],[Product_ID]],3)</f>
        <v>102</v>
      </c>
      <c r="BD117" t="str">
        <f>LEFT(Table1[[#This Row],[Product_ID]],3)</f>
        <v>P10</v>
      </c>
      <c r="BE117" t="str">
        <f>_xlfn.XLOOKUP(Table1[[#This Row],[Product_ID]],AW:AW,BF:BF,,0)</f>
        <v>Mechanical Keyboard</v>
      </c>
      <c r="BF117" t="s">
        <v>153</v>
      </c>
      <c r="BG117">
        <f>LEN(Table1[[#This Row],[Product_Name]])</f>
        <v>19</v>
      </c>
      <c r="BH117" t="s">
        <v>154</v>
      </c>
      <c r="BI117">
        <f t="shared" si="14"/>
        <v>75</v>
      </c>
      <c r="BJ117" t="str">
        <f>SUBSTITUTE(Table1[[#This Row],[Category]],"Electronics","ELECTRONICS")</f>
        <v>ELECTRONICS</v>
      </c>
      <c r="BN117" t="s">
        <v>155</v>
      </c>
      <c r="BS117" s="14">
        <v>5</v>
      </c>
      <c r="BT117" s="3">
        <v>2499</v>
      </c>
      <c r="BU117" s="4">
        <v>20</v>
      </c>
      <c r="BV117" s="4" t="str">
        <f>IF(AND(Table1[[#This Row],[Quantity]]&gt;=3,Table1[[#This Row],[Discount_%]]&gt;=15%),"Bulk Discount","no")</f>
        <v>Bulk Discount</v>
      </c>
      <c r="BW117" s="4" t="str">
        <f>IF(AND(Table1[[#This Row],[Quantity]]&gt;3,Table1[[#This Row],[Discount_%]]&gt;15%),"Bulk Customer","Normal")</f>
        <v>Bulk Customer</v>
      </c>
      <c r="BX117" t="s">
        <v>192</v>
      </c>
      <c r="BY117" t="s">
        <v>136</v>
      </c>
      <c r="CC117" t="str">
        <f>IF(OR(Table1[[#This Row],[Order_Status]]="Returned",Table1[[#This Row],[Order_Status]]="Cancelled"),"Attention Required","Not")</f>
        <v>Not</v>
      </c>
      <c r="CD117" t="str">
        <f>IF(OR(Table1[[#This Row],[Order_Status]]="Returned",Table1[[#This Row],[Order_Status]]="Cancelled"),"Review","no")</f>
        <v>no</v>
      </c>
      <c r="CE117" t="str">
        <f>SUBSTITUTE(Table1[[#This Row],[Order_Status]],"Delivered","Completed")</f>
        <v>Completed</v>
      </c>
      <c r="CF117" s="2">
        <v>45751</v>
      </c>
      <c r="CG117" s="17">
        <f>NETWORKDAYS(Table1[[#This Row],[Order_Date]],Table1[[#This Row],[Delivery_Date]])</f>
        <v>2</v>
      </c>
      <c r="CH117" s="17">
        <f>Table1[[#This Row],[Delivery_Date]]-Table1[[#This Row],[Order_Date]]</f>
        <v>1</v>
      </c>
      <c r="CI117" t="s">
        <v>137</v>
      </c>
      <c r="CJ117" t="str">
        <f>IF(Table1[[#This Row],[Rating]]&gt;=4,"Good","Needs Improvement")</f>
        <v>Needs Improvement</v>
      </c>
      <c r="CK117" t="str">
        <f>IF(OR(Table1[[#This Row],[Rating]]&lt;=2,Table1[[#This Row],[Profit]]&lt;0),"Review","NO")</f>
        <v>Review</v>
      </c>
      <c r="CL117" t="e" cm="1">
        <f t="array" ref="CL117">_xlfn.IFS(Table1[[#This Row],[Rating]]&gt;2,"Poor",Table1[[#This Row],[Rating]]=3,"Average",Table1[[#This Row],[Rating]]=4,"Good",CP117=5,"Excellent")</f>
        <v>#N/A</v>
      </c>
      <c r="CM117">
        <f>COUNT(Table1[[#This Row],[Rating]])</f>
        <v>0</v>
      </c>
      <c r="CN117">
        <f>COUNTBLANK(Table1[[#This Row],[Rating]])</f>
        <v>1</v>
      </c>
      <c r="CP117" t="s">
        <v>266</v>
      </c>
      <c r="CR117" t="s">
        <v>173</v>
      </c>
      <c r="CS117" t="s">
        <v>174</v>
      </c>
      <c r="CU117" s="3">
        <v>9996</v>
      </c>
      <c r="CV117" s="3">
        <f>ROUND(Table1[[#This Row],[Sales_Amount]],0)</f>
        <v>9996</v>
      </c>
      <c r="CW117" s="3"/>
      <c r="CX117" s="3"/>
      <c r="CY117" s="3" t="b">
        <f>IF(AND(Table1[[#This Row],[Sales_Amount]]&gt;=10000,Table1[[#This Row],[Profit]]&gt;0),"Good Order")</f>
        <v>0</v>
      </c>
      <c r="CZ117" s="3" t="str">
        <f>IF(Table1[[#This Row],[Sales_Amount]]&gt;=10000,"High","Normal")</f>
        <v>Normal</v>
      </c>
      <c r="DA117" s="3">
        <v>2746</v>
      </c>
      <c r="DB117" s="3">
        <f>ROUND(Table1[[#This Row],[Profit]],0)</f>
        <v>2746</v>
      </c>
      <c r="DC117" s="3">
        <f>ABS(Table1[[#This Row],[Profit]])</f>
        <v>2746</v>
      </c>
      <c r="DD117" s="3"/>
      <c r="DE117" s="3"/>
      <c r="DF117" s="3"/>
      <c r="DG117" s="3" t="str">
        <f>IF(Table1[[#This Row],[Profit]]&gt;0,"Profit","Loss")</f>
        <v>Profit</v>
      </c>
      <c r="DH117" s="3" t="str">
        <f>IF(AND(Table1[[#This Row],[Sales_Amount]]&gt;=10000,Table1[[#This Row],[Profit]]&gt;0),"Priority","Normal")</f>
        <v>Normal</v>
      </c>
      <c r="DI117" s="3">
        <f t="shared" ca="1" si="9"/>
        <v>0.52484353795100924</v>
      </c>
      <c r="DJ117" s="3">
        <f t="shared" ca="1" si="10"/>
        <v>72</v>
      </c>
      <c r="DK117" s="3"/>
      <c r="DL117" s="3"/>
      <c r="DM117" s="3"/>
      <c r="DN117" s="3"/>
      <c r="DO117" s="3"/>
      <c r="DP117" s="3"/>
    </row>
    <row r="118" spans="1:120">
      <c r="A118" t="s">
        <v>750</v>
      </c>
      <c r="B118" t="str">
        <f>REPLACE(Table1[[#This Row],[Order_ID]],1,3,"YOO")</f>
        <v>YOO10117</v>
      </c>
      <c r="C118" t="str">
        <f>MID(Table1[[#This Row],[Order_ID]],4,4)</f>
        <v>1011</v>
      </c>
      <c r="D118" t="str">
        <f>LEFT(Table1[[#This Row],[Order_ID]],4)</f>
        <v>ORD1</v>
      </c>
      <c r="E118" t="str">
        <f>RIGHT(Table1[[#This Row],[Order_ID]],5)</f>
        <v>10117</v>
      </c>
      <c r="F118" t="s">
        <v>5</v>
      </c>
      <c r="G118">
        <v>10117</v>
      </c>
      <c r="H118" t="s">
        <v>751</v>
      </c>
      <c r="I118" s="2">
        <f>EDATE(Table1[[#This Row],[Order_Date]],3)</f>
        <v>46210</v>
      </c>
      <c r="J118" s="2">
        <f>EDATE(Table1[[#This Row],[Order_Date]],6)</f>
        <v>46302</v>
      </c>
      <c r="K118">
        <f ca="1">YEAR(Table1[[#This Row],[Today]])</f>
        <v>2026</v>
      </c>
      <c r="L118">
        <v>117</v>
      </c>
      <c r="M118">
        <f ca="1">DAY(Table1[[#This Row],[Today]])</f>
        <v>11</v>
      </c>
      <c r="N118" s="19">
        <f t="shared" ca="1" si="13"/>
        <v>46245.589795370368</v>
      </c>
      <c r="O118" s="2">
        <f t="shared" ca="1" si="8"/>
        <v>46245</v>
      </c>
      <c r="P118" s="17">
        <f ca="1">Table1[[#This Row],[Today]]-Table1[[#This Row],[Order_Date]]</f>
        <v>126</v>
      </c>
      <c r="Q118" s="2">
        <v>45774</v>
      </c>
      <c r="R118" s="2">
        <v>46119</v>
      </c>
      <c r="S118" s="6">
        <f t="shared" si="11"/>
        <v>2026</v>
      </c>
      <c r="T118" s="7" t="str">
        <f t="shared" si="12"/>
        <v>April</v>
      </c>
      <c r="U118" s="2">
        <f>WORKDAY(Table1[[#This Row],[Order_Date]],5)</f>
        <v>46126</v>
      </c>
      <c r="V118" s="7" t="str">
        <f>CONCATENATE(Table1[[#This Row],[Customer_ID]],Table1[[#This Row],[Customer_Name]])</f>
        <v>C1011Anjali Joshi</v>
      </c>
      <c r="W118" t="s">
        <v>491</v>
      </c>
      <c r="X118" t="s">
        <v>310</v>
      </c>
      <c r="Y118">
        <f>COUNTA(Table1[[#This Row],[Customer_Name]])</f>
        <v>1</v>
      </c>
      <c r="Z118" t="str">
        <f>SUBSTITUTE(Table1[[#This Row],[Customer_Name]]," ","_")</f>
        <v>Anjali_Joshi</v>
      </c>
      <c r="AA118" s="10">
        <f>IFERROR(SEARCH("a",Table1[[#This Row],[Customer_Name]]),"N/A")</f>
        <v>1</v>
      </c>
      <c r="AB118">
        <f>SEARCH(" ",Table1[[#This Row],[Customer_Name]])</f>
        <v>7</v>
      </c>
      <c r="AC118" s="11">
        <f>IFERROR(FIND("a",Table1[[#This Row],[Customer_Name]]),"N/A")</f>
        <v>4</v>
      </c>
      <c r="AD118">
        <f>FIND(" ",Table1[[#This Row],[Customer_Name]])</f>
        <v>7</v>
      </c>
      <c r="AE118" t="str">
        <f>TRIM(Table1[[#This Row],[Customer_Name]])</f>
        <v>Anjali Joshi</v>
      </c>
      <c r="AF118">
        <f>LEN(Table1[[#This Row],[Trimmed]])</f>
        <v>12</v>
      </c>
      <c r="AG118">
        <f>MAX(Table1[Length])</f>
        <v>15</v>
      </c>
      <c r="AH118" t="str">
        <f>PROPER(Table1[[#This Row],[Customer_Name]])</f>
        <v>Anjali Joshi</v>
      </c>
      <c r="AI118" t="str">
        <f>LOWER(Table1[[#This Row],[Customer_Name]])</f>
        <v>anjali joshi</v>
      </c>
      <c r="AJ118" t="str">
        <f>UPPER(Table1[[#This Row],[Customer_Name]])</f>
        <v>ANJALI JOSHI</v>
      </c>
      <c r="AK118" t="str">
        <f>CONCATENATE(Table1[[#This Row],[Customer_ID]],Table1[[#This Row],[Customer_Name]])</f>
        <v>C1011Anjali Joshi</v>
      </c>
      <c r="AL118" t="s">
        <v>311</v>
      </c>
      <c r="AM118" t="s">
        <v>312</v>
      </c>
      <c r="AN118" t="s">
        <v>313</v>
      </c>
      <c r="AO118" t="s">
        <v>311</v>
      </c>
      <c r="AP118" t="s">
        <v>312</v>
      </c>
      <c r="AQ118" t="s">
        <v>182</v>
      </c>
      <c r="AR118" t="str">
        <f>TRIM(Table1[[#This Row],[City]])</f>
        <v>Mumbai</v>
      </c>
      <c r="AS118" t="str">
        <f>PROPER(Table1[[#This Row],[City]])</f>
        <v>Mumbai</v>
      </c>
      <c r="AT118" t="s">
        <v>128</v>
      </c>
      <c r="AU118" t="str">
        <f>CONCATENATE(Table1[[#This Row],[City]],Table1[[#This Row],[State]])</f>
        <v>MumbaiMaharashtra</v>
      </c>
      <c r="AV118" t="s">
        <v>129</v>
      </c>
      <c r="AW118" t="s">
        <v>319</v>
      </c>
      <c r="AX118" t="str">
        <f>REPLACE(Table1[[#This Row],[Product_ID]],1,1,"s")</f>
        <v>s103</v>
      </c>
      <c r="AY118" t="s">
        <v>752</v>
      </c>
      <c r="AZ118">
        <f>SEARCH("-",Table1[[#This Row],[Product ID]])</f>
        <v>2</v>
      </c>
      <c r="BA118">
        <f>FIND("-",Table1[[#This Row],[Product ID]])</f>
        <v>2</v>
      </c>
      <c r="BB118" t="str">
        <f>MID(Table1[[#This Row],[Product_ID]],2,3)</f>
        <v>103</v>
      </c>
      <c r="BC118" t="str">
        <f>RIGHT(Table1[[#This Row],[Product_ID]],3)</f>
        <v>103</v>
      </c>
      <c r="BD118" t="str">
        <f>LEFT(Table1[[#This Row],[Product_ID]],3)</f>
        <v>P10</v>
      </c>
      <c r="BE118" t="str">
        <f>_xlfn.XLOOKUP(Table1[[#This Row],[Product_ID]],AW:AW,BF:BF,,0)</f>
        <v>Laptop Stand</v>
      </c>
      <c r="BF118" t="s">
        <v>321</v>
      </c>
      <c r="BG118">
        <f>LEN(Table1[[#This Row],[Product_Name]])</f>
        <v>12</v>
      </c>
      <c r="BH118" t="s">
        <v>154</v>
      </c>
      <c r="BI118">
        <f t="shared" si="14"/>
        <v>75</v>
      </c>
      <c r="BJ118" t="str">
        <f>SUBSTITUTE(Table1[[#This Row],[Category]],"Electronics","ELECTRONICS")</f>
        <v>ELECTRONICS</v>
      </c>
      <c r="BN118" t="s">
        <v>155</v>
      </c>
      <c r="BS118" s="14">
        <v>1</v>
      </c>
      <c r="BT118" s="3">
        <v>1599</v>
      </c>
      <c r="BU118" s="4">
        <v>15</v>
      </c>
      <c r="BV118" s="4" t="str">
        <f>IF(AND(Table1[[#This Row],[Quantity]]&gt;=3,Table1[[#This Row],[Discount_%]]&gt;=15%),"Bulk Discount","no")</f>
        <v>no</v>
      </c>
      <c r="BW118" s="4" t="str">
        <f>IF(AND(Table1[[#This Row],[Quantity]]&gt;3,Table1[[#This Row],[Discount_%]]&gt;15%),"Bulk Customer","Normal")</f>
        <v>Normal</v>
      </c>
      <c r="BX118" t="s">
        <v>330</v>
      </c>
      <c r="BY118" t="s">
        <v>374</v>
      </c>
      <c r="CC118" t="str">
        <f>IF(OR(Table1[[#This Row],[Order_Status]]="Returned",Table1[[#This Row],[Order_Status]]="Cancelled"),"Attention Required","Not")</f>
        <v>Attention Required</v>
      </c>
      <c r="CD118" t="str">
        <f>IF(OR(Table1[[#This Row],[Order_Status]]="Returned",Table1[[#This Row],[Order_Status]]="Cancelled"),"Review","no")</f>
        <v>Review</v>
      </c>
      <c r="CE118" t="str">
        <f>SUBSTITUTE(Table1[[#This Row],[Order_Status]],"Delivered","Completed")</f>
        <v>Returned</v>
      </c>
      <c r="CF118" s="2">
        <v>46121</v>
      </c>
      <c r="CG118" s="17">
        <f>NETWORKDAYS(Table1[[#This Row],[Order_Date]],Table1[[#This Row],[Delivery_Date]])</f>
        <v>3</v>
      </c>
      <c r="CH118" s="17">
        <f>Table1[[#This Row],[Delivery_Date]]-Table1[[#This Row],[Order_Date]]</f>
        <v>2</v>
      </c>
      <c r="CI118" t="s">
        <v>375</v>
      </c>
      <c r="CJ118" t="str">
        <f>IF(Table1[[#This Row],[Rating]]&gt;=4,"Good","Needs Improvement")</f>
        <v>Needs Improvement</v>
      </c>
      <c r="CK118" t="str">
        <f>IF(OR(Table1[[#This Row],[Rating]]&lt;=2,Table1[[#This Row],[Profit]]&lt;0),"Review","NO")</f>
        <v>NO</v>
      </c>
      <c r="CL118" t="str" cm="1">
        <f t="array" ref="CL118">_xlfn.IFS(Table1[[#This Row],[Rating]]&gt;2,"Poor",Table1[[#This Row],[Rating]]=3,"Average",Table1[[#This Row],[Rating]]=4,"Good",CP118=5,"Excellent")</f>
        <v>Poor</v>
      </c>
      <c r="CM118">
        <f>COUNT(Table1[[#This Row],[Rating]])</f>
        <v>1</v>
      </c>
      <c r="CN118">
        <f>COUNTBLANK(Table1[[#This Row],[Rating]])</f>
        <v>0</v>
      </c>
      <c r="CP118" t="s">
        <v>138</v>
      </c>
      <c r="CQ118" s="14">
        <v>3</v>
      </c>
      <c r="CR118" t="s">
        <v>204</v>
      </c>
      <c r="CS118" t="s">
        <v>174</v>
      </c>
      <c r="CU118" s="3">
        <v>1359.15</v>
      </c>
      <c r="CV118" s="3">
        <f>ROUND(Table1[[#This Row],[Sales_Amount]],0)</f>
        <v>1359</v>
      </c>
      <c r="CW118" s="3"/>
      <c r="CX118" s="3"/>
      <c r="CY118" s="3" t="b">
        <f>IF(AND(Table1[[#This Row],[Sales_Amount]]&gt;=10000,Table1[[#This Row],[Profit]]&gt;0),"Good Order")</f>
        <v>0</v>
      </c>
      <c r="CZ118" s="3" t="str">
        <f>IF(Table1[[#This Row],[Sales_Amount]]&gt;=10000,"High","Normal")</f>
        <v>Normal</v>
      </c>
      <c r="DA118" s="3">
        <v>459.15</v>
      </c>
      <c r="DB118" s="3">
        <f>ROUND(Table1[[#This Row],[Profit]],0)</f>
        <v>459</v>
      </c>
      <c r="DC118" s="3">
        <f>ABS(Table1[[#This Row],[Profit]])</f>
        <v>459.15</v>
      </c>
      <c r="DD118" s="3"/>
      <c r="DE118" s="3"/>
      <c r="DF118" s="3"/>
      <c r="DG118" s="3" t="str">
        <f>IF(Table1[[#This Row],[Profit]]&gt;0,"Profit","Loss")</f>
        <v>Profit</v>
      </c>
      <c r="DH118" s="3" t="str">
        <f>IF(AND(Table1[[#This Row],[Sales_Amount]]&gt;=10000,Table1[[#This Row],[Profit]]&gt;0),"Priority","Normal")</f>
        <v>Normal</v>
      </c>
      <c r="DI118" s="3">
        <f t="shared" ca="1" si="9"/>
        <v>0.35873863923663163</v>
      </c>
      <c r="DJ118" s="3">
        <f t="shared" ca="1" si="10"/>
        <v>80</v>
      </c>
      <c r="DK118" s="3"/>
      <c r="DL118" s="3"/>
      <c r="DM118" s="3"/>
      <c r="DN118" s="3"/>
      <c r="DO118" s="3"/>
      <c r="DP118" s="3"/>
    </row>
    <row r="119" spans="1:120">
      <c r="A119" t="s">
        <v>753</v>
      </c>
      <c r="B119" t="str">
        <f>REPLACE(Table1[[#This Row],[Order_ID]],1,3,"YOO")</f>
        <v>YOO10118</v>
      </c>
      <c r="C119" t="str">
        <f>MID(Table1[[#This Row],[Order_ID]],4,4)</f>
        <v>1011</v>
      </c>
      <c r="D119" t="str">
        <f>LEFT(Table1[[#This Row],[Order_ID]],4)</f>
        <v>ORD1</v>
      </c>
      <c r="E119" t="str">
        <f>RIGHT(Table1[[#This Row],[Order_ID]],5)</f>
        <v>10118</v>
      </c>
      <c r="F119" t="s">
        <v>5</v>
      </c>
      <c r="G119">
        <v>10118</v>
      </c>
      <c r="H119" t="s">
        <v>754</v>
      </c>
      <c r="I119" s="2">
        <f>EDATE(Table1[[#This Row],[Order_Date]],3)</f>
        <v>46120</v>
      </c>
      <c r="J119" s="2">
        <f>EDATE(Table1[[#This Row],[Order_Date]],6)</f>
        <v>46211</v>
      </c>
      <c r="K119">
        <f ca="1">YEAR(Table1[[#This Row],[Today]])</f>
        <v>2026</v>
      </c>
      <c r="L119">
        <v>118</v>
      </c>
      <c r="M119">
        <f ca="1">DAY(Table1[[#This Row],[Today]])</f>
        <v>11</v>
      </c>
      <c r="N119" s="19">
        <f t="shared" ca="1" si="13"/>
        <v>46245.589795138891</v>
      </c>
      <c r="O119" s="2">
        <f t="shared" ca="1" si="8"/>
        <v>46245</v>
      </c>
      <c r="P119" s="17">
        <f ca="1">Table1[[#This Row],[Today]]-Table1[[#This Row],[Order_Date]]</f>
        <v>215</v>
      </c>
      <c r="Q119" s="2">
        <v>45775</v>
      </c>
      <c r="R119" s="2">
        <v>46030</v>
      </c>
      <c r="S119" s="6">
        <f t="shared" si="11"/>
        <v>2026</v>
      </c>
      <c r="T119" s="7" t="str">
        <f t="shared" si="12"/>
        <v>January</v>
      </c>
      <c r="U119" s="2">
        <f>WORKDAY(Table1[[#This Row],[Order_Date]],5)</f>
        <v>46037</v>
      </c>
      <c r="V119" s="7" t="str">
        <f>CONCATENATE(Table1[[#This Row],[Customer_ID]],Table1[[#This Row],[Customer_Name]])</f>
        <v>C1014Arjun Rao</v>
      </c>
      <c r="W119" t="s">
        <v>576</v>
      </c>
      <c r="X119" t="s">
        <v>355</v>
      </c>
      <c r="Y119">
        <f>COUNTA(Table1[[#This Row],[Customer_Name]])</f>
        <v>1</v>
      </c>
      <c r="Z119" t="str">
        <f>SUBSTITUTE(Table1[[#This Row],[Customer_Name]]," ","_")</f>
        <v>Arjun_Rao</v>
      </c>
      <c r="AA119" s="10">
        <f>IFERROR(SEARCH("a",Table1[[#This Row],[Customer_Name]]),"N/A")</f>
        <v>1</v>
      </c>
      <c r="AB119">
        <f>SEARCH(" ",Table1[[#This Row],[Customer_Name]])</f>
        <v>6</v>
      </c>
      <c r="AC119" s="11">
        <f>IFERROR(FIND("a",Table1[[#This Row],[Customer_Name]]),"N/A")</f>
        <v>8</v>
      </c>
      <c r="AD119">
        <f>FIND(" ",Table1[[#This Row],[Customer_Name]])</f>
        <v>6</v>
      </c>
      <c r="AE119" t="str">
        <f>TRIM(Table1[[#This Row],[Customer_Name]])</f>
        <v>Arjun Rao</v>
      </c>
      <c r="AF119">
        <f>LEN(Table1[[#This Row],[Trimmed]])</f>
        <v>9</v>
      </c>
      <c r="AG119">
        <f>MAX(Table1[Length])</f>
        <v>15</v>
      </c>
      <c r="AH119" t="str">
        <f>PROPER(Table1[[#This Row],[Customer_Name]])</f>
        <v>Arjun Rao</v>
      </c>
      <c r="AI119" t="str">
        <f>LOWER(Table1[[#This Row],[Customer_Name]])</f>
        <v>arjun rao</v>
      </c>
      <c r="AJ119" t="str">
        <f>UPPER(Table1[[#This Row],[Customer_Name]])</f>
        <v>ARJUN RAO</v>
      </c>
      <c r="AK119" t="str">
        <f>CONCATENATE(Table1[[#This Row],[Customer_ID]],Table1[[#This Row],[Customer_Name]])</f>
        <v>C1014Arjun Rao</v>
      </c>
      <c r="AL119" t="s">
        <v>356</v>
      </c>
      <c r="AM119" t="s">
        <v>357</v>
      </c>
      <c r="AN119" t="s">
        <v>358</v>
      </c>
      <c r="AO119" t="s">
        <v>356</v>
      </c>
      <c r="AP119" t="s">
        <v>357</v>
      </c>
      <c r="AQ119" t="s">
        <v>569</v>
      </c>
      <c r="AR119" t="str">
        <f>TRIM(Table1[[#This Row],[City]])</f>
        <v>Delhi</v>
      </c>
      <c r="AS119" t="str">
        <f>PROPER(Table1[[#This Row],[City]])</f>
        <v>Delhi</v>
      </c>
      <c r="AT119" t="s">
        <v>569</v>
      </c>
      <c r="AU119" t="str">
        <f>CONCATENATE(Table1[[#This Row],[City]],Table1[[#This Row],[State]])</f>
        <v>DelhiDelhi</v>
      </c>
      <c r="AV119" t="s">
        <v>150</v>
      </c>
      <c r="AW119" t="s">
        <v>363</v>
      </c>
      <c r="AX119" t="str">
        <f>REPLACE(Table1[[#This Row],[Product_ID]],1,1,"s")</f>
        <v>s110</v>
      </c>
      <c r="AY119" t="s">
        <v>755</v>
      </c>
      <c r="AZ119">
        <f>SEARCH("-",Table1[[#This Row],[Product ID]])</f>
        <v>2</v>
      </c>
      <c r="BA119">
        <f>FIND("-",Table1[[#This Row],[Product ID]])</f>
        <v>2</v>
      </c>
      <c r="BB119" t="str">
        <f>MID(Table1[[#This Row],[Product_ID]],2,3)</f>
        <v>110</v>
      </c>
      <c r="BC119" t="str">
        <f>RIGHT(Table1[[#This Row],[Product_ID]],3)</f>
        <v>110</v>
      </c>
      <c r="BD119" t="str">
        <f>LEFT(Table1[[#This Row],[Product_ID]],3)</f>
        <v>P11</v>
      </c>
      <c r="BE119" t="str">
        <f>_xlfn.XLOOKUP(Table1[[#This Row],[Product_ID]],AW:AW,BF:BF,,0)</f>
        <v>Smart Watch</v>
      </c>
      <c r="BF119" t="s">
        <v>365</v>
      </c>
      <c r="BG119">
        <f>LEN(Table1[[#This Row],[Product_Name]])</f>
        <v>11</v>
      </c>
      <c r="BH119" t="s">
        <v>154</v>
      </c>
      <c r="BI119">
        <f t="shared" si="14"/>
        <v>75</v>
      </c>
      <c r="BJ119" t="str">
        <f>SUBSTITUTE(Table1[[#This Row],[Category]],"Electronics","ELECTRONICS")</f>
        <v>ELECTRONICS</v>
      </c>
      <c r="BN119" t="s">
        <v>366</v>
      </c>
      <c r="BS119" s="14">
        <v>3</v>
      </c>
      <c r="BT119" s="3">
        <v>4999</v>
      </c>
      <c r="BU119" s="4">
        <v>10</v>
      </c>
      <c r="BV119" s="4" t="str">
        <f>IF(AND(Table1[[#This Row],[Quantity]]&gt;=3,Table1[[#This Row],[Discount_%]]&gt;=15%),"Bulk Discount","no")</f>
        <v>Bulk Discount</v>
      </c>
      <c r="BW119" s="4" t="str">
        <f>IF(AND(Table1[[#This Row],[Quantity]]&gt;3,Table1[[#This Row],[Discount_%]]&gt;15%),"Bulk Customer","Normal")</f>
        <v>Normal</v>
      </c>
      <c r="BX119" t="s">
        <v>172</v>
      </c>
      <c r="BY119" t="s">
        <v>136</v>
      </c>
      <c r="CC119" t="str">
        <f>IF(OR(Table1[[#This Row],[Order_Status]]="Returned",Table1[[#This Row],[Order_Status]]="Cancelled"),"Attention Required","Not")</f>
        <v>Not</v>
      </c>
      <c r="CD119" t="str">
        <f>IF(OR(Table1[[#This Row],[Order_Status]]="Returned",Table1[[#This Row],[Order_Status]]="Cancelled"),"Review","no")</f>
        <v>no</v>
      </c>
      <c r="CE119" t="str">
        <f>SUBSTITUTE(Table1[[#This Row],[Order_Status]],"Delivered","Completed")</f>
        <v>Completed</v>
      </c>
      <c r="CF119" s="2">
        <v>46037</v>
      </c>
      <c r="CG119" s="17">
        <f>NETWORKDAYS(Table1[[#This Row],[Order_Date]],Table1[[#This Row],[Delivery_Date]])</f>
        <v>6</v>
      </c>
      <c r="CH119" s="17">
        <f>Table1[[#This Row],[Delivery_Date]]-Table1[[#This Row],[Order_Date]]</f>
        <v>7</v>
      </c>
      <c r="CI119" t="s">
        <v>137</v>
      </c>
      <c r="CJ119" t="str">
        <f>IF(Table1[[#This Row],[Rating]]&gt;=4,"Good","Needs Improvement")</f>
        <v>Good</v>
      </c>
      <c r="CK119" t="str">
        <f>IF(OR(Table1[[#This Row],[Rating]]&lt;=2,Table1[[#This Row],[Profit]]&lt;0),"Review","NO")</f>
        <v>NO</v>
      </c>
      <c r="CL119" t="str" cm="1">
        <f t="array" ref="CL119">_xlfn.IFS(Table1[[#This Row],[Rating]]&gt;2,"Poor",Table1[[#This Row],[Rating]]=3,"Average",Table1[[#This Row],[Rating]]=4,"Good",CP119=5,"Excellent")</f>
        <v>Poor</v>
      </c>
      <c r="CM119">
        <f>COUNT(Table1[[#This Row],[Rating]])</f>
        <v>1</v>
      </c>
      <c r="CN119">
        <f>COUNTBLANK(Table1[[#This Row],[Rating]])</f>
        <v>0</v>
      </c>
      <c r="CP119" t="s">
        <v>157</v>
      </c>
      <c r="CQ119" s="14">
        <v>5</v>
      </c>
      <c r="CR119" t="s">
        <v>139</v>
      </c>
      <c r="CS119" t="s">
        <v>174</v>
      </c>
      <c r="CU119" s="3">
        <v>13497.3</v>
      </c>
      <c r="CV119" s="3">
        <f>ROUND(Table1[[#This Row],[Sales_Amount]],0)</f>
        <v>13497</v>
      </c>
      <c r="CW119" s="3"/>
      <c r="CX119" s="3"/>
      <c r="CY119" s="3" t="str">
        <f>IF(AND(Table1[[#This Row],[Sales_Amount]]&gt;=10000,Table1[[#This Row],[Profit]]&gt;0),"Good Order")</f>
        <v>Good Order</v>
      </c>
      <c r="CZ119" s="3" t="str">
        <f>IF(Table1[[#This Row],[Sales_Amount]]&gt;=10000,"High","Normal")</f>
        <v>High</v>
      </c>
      <c r="DA119" s="3">
        <v>4197.3</v>
      </c>
      <c r="DB119" s="3">
        <f>ROUND(Table1[[#This Row],[Profit]],0)</f>
        <v>4197</v>
      </c>
      <c r="DC119" s="3">
        <f>ABS(Table1[[#This Row],[Profit]])</f>
        <v>4197.3</v>
      </c>
      <c r="DD119" s="3"/>
      <c r="DE119" s="3"/>
      <c r="DF119" s="3"/>
      <c r="DG119" s="3" t="str">
        <f>IF(Table1[[#This Row],[Profit]]&gt;0,"Profit","Loss")</f>
        <v>Profit</v>
      </c>
      <c r="DH119" s="3" t="str">
        <f>IF(AND(Table1[[#This Row],[Sales_Amount]]&gt;=10000,Table1[[#This Row],[Profit]]&gt;0),"Priority","Normal")</f>
        <v>Priority</v>
      </c>
      <c r="DI119" s="3">
        <f t="shared" ca="1" si="9"/>
        <v>0.10485976543886899</v>
      </c>
      <c r="DJ119" s="3">
        <f t="shared" ca="1" si="10"/>
        <v>90</v>
      </c>
      <c r="DK119" s="3"/>
      <c r="DL119" s="3"/>
      <c r="DM119" s="3"/>
      <c r="DN119" s="3"/>
      <c r="DO119" s="3"/>
      <c r="DP119" s="3"/>
    </row>
    <row r="120" spans="1:120">
      <c r="A120" t="s">
        <v>756</v>
      </c>
      <c r="B120" t="str">
        <f>REPLACE(Table1[[#This Row],[Order_ID]],1,3,"YOO")</f>
        <v>YOO10119</v>
      </c>
      <c r="C120" t="str">
        <f>MID(Table1[[#This Row],[Order_ID]],4,4)</f>
        <v>1011</v>
      </c>
      <c r="D120" t="str">
        <f>LEFT(Table1[[#This Row],[Order_ID]],4)</f>
        <v>ORD1</v>
      </c>
      <c r="E120" t="str">
        <f>RIGHT(Table1[[#This Row],[Order_ID]],5)</f>
        <v>10119</v>
      </c>
      <c r="F120" t="s">
        <v>5</v>
      </c>
      <c r="G120">
        <v>10119</v>
      </c>
      <c r="H120" t="s">
        <v>757</v>
      </c>
      <c r="I120" s="2">
        <f>EDATE(Table1[[#This Row],[Order_Date]],3)</f>
        <v>46040</v>
      </c>
      <c r="J120" s="2">
        <f>EDATE(Table1[[#This Row],[Order_Date]],6)</f>
        <v>46130</v>
      </c>
      <c r="K120">
        <f ca="1">YEAR(Table1[[#This Row],[Today]])</f>
        <v>2026</v>
      </c>
      <c r="L120">
        <v>119</v>
      </c>
      <c r="M120">
        <f ca="1">DAY(Table1[[#This Row],[Today]])</f>
        <v>11</v>
      </c>
      <c r="N120" s="19">
        <f t="shared" ca="1" si="13"/>
        <v>46245.589795370368</v>
      </c>
      <c r="O120" s="2">
        <f t="shared" ca="1" si="8"/>
        <v>46245</v>
      </c>
      <c r="P120" s="17">
        <f ca="1">Table1[[#This Row],[Today]]-Table1[[#This Row],[Order_Date]]</f>
        <v>297</v>
      </c>
      <c r="Q120" s="2">
        <v>45776</v>
      </c>
      <c r="R120" s="2">
        <v>45948</v>
      </c>
      <c r="S120" s="6">
        <f t="shared" si="11"/>
        <v>2025</v>
      </c>
      <c r="T120" s="7" t="str">
        <f t="shared" si="12"/>
        <v>October</v>
      </c>
      <c r="U120" s="2">
        <f>WORKDAY(Table1[[#This Row],[Order_Date]],5)</f>
        <v>45954</v>
      </c>
      <c r="V120" s="7" t="str">
        <f>CONCATENATE(Table1[[#This Row],[Customer_ID]],Table1[[#This Row],[Customer_Name]])</f>
        <v>C1090Pooja Jain</v>
      </c>
      <c r="W120" t="s">
        <v>362</v>
      </c>
      <c r="X120" t="s">
        <v>419</v>
      </c>
      <c r="Y120">
        <f>COUNTA(Table1[[#This Row],[Customer_Name]])</f>
        <v>1</v>
      </c>
      <c r="Z120" t="str">
        <f>SUBSTITUTE(Table1[[#This Row],[Customer_Name]]," ","_")</f>
        <v>Pooja_Jain</v>
      </c>
      <c r="AA120" s="10">
        <f>IFERROR(SEARCH("a",Table1[[#This Row],[Customer_Name]]),"N/A")</f>
        <v>5</v>
      </c>
      <c r="AB120">
        <f>SEARCH(" ",Table1[[#This Row],[Customer_Name]])</f>
        <v>6</v>
      </c>
      <c r="AC120" s="11">
        <f>IFERROR(FIND("a",Table1[[#This Row],[Customer_Name]]),"N/A")</f>
        <v>5</v>
      </c>
      <c r="AD120">
        <f>FIND(" ",Table1[[#This Row],[Customer_Name]])</f>
        <v>6</v>
      </c>
      <c r="AE120" t="str">
        <f>TRIM(Table1[[#This Row],[Customer_Name]])</f>
        <v>Pooja Jain</v>
      </c>
      <c r="AF120">
        <f>LEN(Table1[[#This Row],[Trimmed]])</f>
        <v>10</v>
      </c>
      <c r="AG120">
        <f>MAX(Table1[Length])</f>
        <v>15</v>
      </c>
      <c r="AH120" t="str">
        <f>PROPER(Table1[[#This Row],[Customer_Name]])</f>
        <v>Pooja Jain</v>
      </c>
      <c r="AI120" t="str">
        <f>LOWER(Table1[[#This Row],[Customer_Name]])</f>
        <v>pooja jain</v>
      </c>
      <c r="AJ120" t="str">
        <f>UPPER(Table1[[#This Row],[Customer_Name]])</f>
        <v>POOJA JAIN</v>
      </c>
      <c r="AK120" t="str">
        <f>CONCATENATE(Table1[[#This Row],[Customer_ID]],Table1[[#This Row],[Customer_Name]])</f>
        <v>C1090Pooja Jain</v>
      </c>
      <c r="AL120" t="s">
        <v>420</v>
      </c>
      <c r="AM120" t="s">
        <v>421</v>
      </c>
      <c r="AN120" t="s">
        <v>422</v>
      </c>
      <c r="AO120" t="s">
        <v>420</v>
      </c>
      <c r="AP120" t="s">
        <v>421</v>
      </c>
      <c r="AQ120" t="s">
        <v>166</v>
      </c>
      <c r="AR120" t="str">
        <f>TRIM(Table1[[#This Row],[City]])</f>
        <v>Bengaluru</v>
      </c>
      <c r="AS120" t="str">
        <f>PROPER(Table1[[#This Row],[City]])</f>
        <v>Bengaluru</v>
      </c>
      <c r="AT120" t="s">
        <v>167</v>
      </c>
      <c r="AU120" t="str">
        <f>CONCATENATE(Table1[[#This Row],[City]],Table1[[#This Row],[State]])</f>
        <v>BengaluruKarnataka</v>
      </c>
      <c r="AV120" t="s">
        <v>168</v>
      </c>
      <c r="AW120" t="s">
        <v>130</v>
      </c>
      <c r="AX120" t="str">
        <f>REPLACE(Table1[[#This Row],[Product_ID]],1,1,"s")</f>
        <v>s111</v>
      </c>
      <c r="AY120" t="s">
        <v>758</v>
      </c>
      <c r="AZ120">
        <f>SEARCH("-",Table1[[#This Row],[Product ID]])</f>
        <v>2</v>
      </c>
      <c r="BA120">
        <f>FIND("-",Table1[[#This Row],[Product ID]])</f>
        <v>2</v>
      </c>
      <c r="BB120" t="str">
        <f>MID(Table1[[#This Row],[Product_ID]],2,3)</f>
        <v>111</v>
      </c>
      <c r="BC120" t="str">
        <f>RIGHT(Table1[[#This Row],[Product_ID]],3)</f>
        <v>111</v>
      </c>
      <c r="BD120" t="str">
        <f>LEFT(Table1[[#This Row],[Product_ID]],3)</f>
        <v>P11</v>
      </c>
      <c r="BE120" t="str">
        <f>_xlfn.XLOOKUP(Table1[[#This Row],[Product_ID]],AW:AW,BF:BF,,0)</f>
        <v>Coffee Maker</v>
      </c>
      <c r="BF120" t="s">
        <v>132</v>
      </c>
      <c r="BG120">
        <f>LEN(Table1[[#This Row],[Product_Name]])</f>
        <v>12</v>
      </c>
      <c r="BH120" t="s">
        <v>133</v>
      </c>
      <c r="BI120">
        <f t="shared" si="14"/>
        <v>75</v>
      </c>
      <c r="BJ120" t="str">
        <f>SUBSTITUTE(Table1[[#This Row],[Category]],"Electronics","ELECTRONICS")</f>
        <v>Home</v>
      </c>
      <c r="BN120" t="s">
        <v>134</v>
      </c>
      <c r="BS120" s="14">
        <v>3</v>
      </c>
      <c r="BT120" s="3">
        <v>3999</v>
      </c>
      <c r="BU120" s="4">
        <v>5</v>
      </c>
      <c r="BV120" s="4" t="str">
        <f>IF(AND(Table1[[#This Row],[Quantity]]&gt;=3,Table1[[#This Row],[Discount_%]]&gt;=15%),"Bulk Discount","no")</f>
        <v>Bulk Discount</v>
      </c>
      <c r="BW120" s="4" t="str">
        <f>IF(AND(Table1[[#This Row],[Quantity]]&gt;3,Table1[[#This Row],[Discount_%]]&gt;15%),"Bulk Customer","Normal")</f>
        <v>Normal</v>
      </c>
      <c r="BX120" t="s">
        <v>330</v>
      </c>
      <c r="BY120" t="s">
        <v>136</v>
      </c>
      <c r="CC120" t="str">
        <f>IF(OR(Table1[[#This Row],[Order_Status]]="Returned",Table1[[#This Row],[Order_Status]]="Cancelled"),"Attention Required","Not")</f>
        <v>Not</v>
      </c>
      <c r="CD120" t="str">
        <f>IF(OR(Table1[[#This Row],[Order_Status]]="Returned",Table1[[#This Row],[Order_Status]]="Cancelled"),"Review","no")</f>
        <v>no</v>
      </c>
      <c r="CE120" t="str">
        <f>SUBSTITUTE(Table1[[#This Row],[Order_Status]],"Delivered","Completed")</f>
        <v>Completed</v>
      </c>
      <c r="CF120" s="2">
        <v>45950</v>
      </c>
      <c r="CG120" s="17">
        <f>NETWORKDAYS(Table1[[#This Row],[Order_Date]],Table1[[#This Row],[Delivery_Date]])</f>
        <v>1</v>
      </c>
      <c r="CH120" s="17">
        <f>Table1[[#This Row],[Delivery_Date]]-Table1[[#This Row],[Order_Date]]</f>
        <v>2</v>
      </c>
      <c r="CI120" t="s">
        <v>137</v>
      </c>
      <c r="CJ120" t="str">
        <f>IF(Table1[[#This Row],[Rating]]&gt;=4,"Good","Needs Improvement")</f>
        <v>Needs Improvement</v>
      </c>
      <c r="CK120" t="str">
        <f>IF(OR(Table1[[#This Row],[Rating]]&lt;=2,Table1[[#This Row],[Profit]]&lt;0),"Review","NO")</f>
        <v>NO</v>
      </c>
      <c r="CL120" t="str" cm="1">
        <f t="array" ref="CL120">_xlfn.IFS(Table1[[#This Row],[Rating]]&gt;2,"Poor",Table1[[#This Row],[Rating]]=3,"Average",Table1[[#This Row],[Rating]]=4,"Good",CP120=5,"Excellent")</f>
        <v>Poor</v>
      </c>
      <c r="CM120">
        <f>COUNT(Table1[[#This Row],[Rating]])</f>
        <v>1</v>
      </c>
      <c r="CN120">
        <f>COUNTBLANK(Table1[[#This Row],[Rating]])</f>
        <v>0</v>
      </c>
      <c r="CP120" t="s">
        <v>194</v>
      </c>
      <c r="CQ120" s="14">
        <v>3</v>
      </c>
      <c r="CR120" t="s">
        <v>204</v>
      </c>
      <c r="CS120" t="s">
        <v>213</v>
      </c>
      <c r="CU120" s="3">
        <v>11397.15</v>
      </c>
      <c r="CV120" s="3">
        <f>ROUND(Table1[[#This Row],[Sales_Amount]],0)</f>
        <v>11397</v>
      </c>
      <c r="CW120" s="3"/>
      <c r="CX120" s="3"/>
      <c r="CY120" s="3" t="str">
        <f>IF(AND(Table1[[#This Row],[Sales_Amount]]&gt;=10000,Table1[[#This Row],[Profit]]&gt;0),"Good Order")</f>
        <v>Good Order</v>
      </c>
      <c r="CZ120" s="3" t="str">
        <f>IF(Table1[[#This Row],[Sales_Amount]]&gt;=10000,"High","Normal")</f>
        <v>High</v>
      </c>
      <c r="DA120" s="3">
        <v>3897.15</v>
      </c>
      <c r="DB120" s="3">
        <f>ROUND(Table1[[#This Row],[Profit]],0)</f>
        <v>3897</v>
      </c>
      <c r="DC120" s="3">
        <f>ABS(Table1[[#This Row],[Profit]])</f>
        <v>3897.15</v>
      </c>
      <c r="DD120" s="3"/>
      <c r="DE120" s="3"/>
      <c r="DF120" s="3"/>
      <c r="DG120" s="3" t="str">
        <f>IF(Table1[[#This Row],[Profit]]&gt;0,"Profit","Loss")</f>
        <v>Profit</v>
      </c>
      <c r="DH120" s="3" t="str">
        <f>IF(AND(Table1[[#This Row],[Sales_Amount]]&gt;=10000,Table1[[#This Row],[Profit]]&gt;0),"Priority","Normal")</f>
        <v>Priority</v>
      </c>
      <c r="DI120" s="3">
        <f t="shared" ca="1" si="9"/>
        <v>0.59639574194886436</v>
      </c>
      <c r="DJ120" s="3">
        <f t="shared" ca="1" si="10"/>
        <v>14</v>
      </c>
      <c r="DK120" s="3"/>
      <c r="DL120" s="3"/>
      <c r="DM120" s="3"/>
      <c r="DN120" s="3"/>
      <c r="DO120" s="3"/>
      <c r="DP120" s="3"/>
    </row>
    <row r="121" spans="1:120">
      <c r="A121" t="s">
        <v>759</v>
      </c>
      <c r="B121" t="str">
        <f>REPLACE(Table1[[#This Row],[Order_ID]],1,3,"YOO")</f>
        <v>YOO10120</v>
      </c>
      <c r="C121" t="str">
        <f>MID(Table1[[#This Row],[Order_ID]],4,4)</f>
        <v>1012</v>
      </c>
      <c r="D121" t="str">
        <f>LEFT(Table1[[#This Row],[Order_ID]],4)</f>
        <v>ORD1</v>
      </c>
      <c r="E121" t="str">
        <f>RIGHT(Table1[[#This Row],[Order_ID]],5)</f>
        <v>10120</v>
      </c>
      <c r="F121" t="s">
        <v>5</v>
      </c>
      <c r="G121">
        <v>10120</v>
      </c>
      <c r="H121" t="s">
        <v>760</v>
      </c>
      <c r="I121" s="2">
        <f>EDATE(Table1[[#This Row],[Order_Date]],3)</f>
        <v>46322</v>
      </c>
      <c r="J121" s="2">
        <f>EDATE(Table1[[#This Row],[Order_Date]],6)</f>
        <v>46414</v>
      </c>
      <c r="K121">
        <f ca="1">YEAR(Table1[[#This Row],[Today]])</f>
        <v>2026</v>
      </c>
      <c r="L121">
        <v>120</v>
      </c>
      <c r="M121">
        <f ca="1">DAY(Table1[[#This Row],[Today]])</f>
        <v>11</v>
      </c>
      <c r="N121" s="19">
        <f t="shared" ca="1" si="13"/>
        <v>46245.589795370368</v>
      </c>
      <c r="O121" s="2">
        <f t="shared" ca="1" si="8"/>
        <v>46245</v>
      </c>
      <c r="P121" s="17">
        <f ca="1">Table1[[#This Row],[Today]]-Table1[[#This Row],[Order_Date]]</f>
        <v>15</v>
      </c>
      <c r="Q121" s="2">
        <v>45777</v>
      </c>
      <c r="R121" s="2">
        <v>46230</v>
      </c>
      <c r="S121" s="6">
        <f t="shared" si="11"/>
        <v>2026</v>
      </c>
      <c r="T121" s="7" t="str">
        <f t="shared" si="12"/>
        <v>July</v>
      </c>
      <c r="U121" s="2">
        <f>WORKDAY(Table1[[#This Row],[Order_Date]],5)</f>
        <v>46237</v>
      </c>
      <c r="V121" s="7" t="str">
        <f>CONCATENATE(Table1[[#This Row],[Customer_ID]],Table1[[#This Row],[Customer_Name]])</f>
        <v>C1109Aditya Malhotra</v>
      </c>
      <c r="W121" t="s">
        <v>761</v>
      </c>
      <c r="X121" t="s">
        <v>257</v>
      </c>
      <c r="Y121">
        <f>COUNTA(Table1[[#This Row],[Customer_Name]])</f>
        <v>1</v>
      </c>
      <c r="Z121" t="str">
        <f>SUBSTITUTE(Table1[[#This Row],[Customer_Name]]," ","_")</f>
        <v>Aditya_Malhotra</v>
      </c>
      <c r="AA121" s="10">
        <f>IFERROR(SEARCH("a",Table1[[#This Row],[Customer_Name]]),"N/A")</f>
        <v>1</v>
      </c>
      <c r="AB121">
        <f>SEARCH(" ",Table1[[#This Row],[Customer_Name]])</f>
        <v>7</v>
      </c>
      <c r="AC121" s="11">
        <f>IFERROR(FIND("a",Table1[[#This Row],[Customer_Name]]),"N/A")</f>
        <v>6</v>
      </c>
      <c r="AD121">
        <f>FIND(" ",Table1[[#This Row],[Customer_Name]])</f>
        <v>7</v>
      </c>
      <c r="AE121" t="str">
        <f>TRIM(Table1[[#This Row],[Customer_Name]])</f>
        <v>Aditya Malhotra</v>
      </c>
      <c r="AF121">
        <f>LEN(Table1[[#This Row],[Trimmed]])</f>
        <v>15</v>
      </c>
      <c r="AG121">
        <f>MAX(Table1[Length])</f>
        <v>15</v>
      </c>
      <c r="AH121" t="str">
        <f>PROPER(Table1[[#This Row],[Customer_Name]])</f>
        <v>Aditya Malhotra</v>
      </c>
      <c r="AI121" t="str">
        <f>LOWER(Table1[[#This Row],[Customer_Name]])</f>
        <v>aditya malhotra</v>
      </c>
      <c r="AJ121" t="str">
        <f>UPPER(Table1[[#This Row],[Customer_Name]])</f>
        <v>ADITYA MALHOTRA</v>
      </c>
      <c r="AK121" t="str">
        <f>CONCATENATE(Table1[[#This Row],[Customer_ID]],Table1[[#This Row],[Customer_Name]])</f>
        <v>C1109Aditya Malhotra</v>
      </c>
      <c r="AL121" t="s">
        <v>258</v>
      </c>
      <c r="AM121" t="s">
        <v>259</v>
      </c>
      <c r="AN121" t="s">
        <v>260</v>
      </c>
      <c r="AO121" t="s">
        <v>258</v>
      </c>
      <c r="AP121" t="s">
        <v>259</v>
      </c>
      <c r="AQ121" t="s">
        <v>379</v>
      </c>
      <c r="AR121" t="str">
        <f>TRIM(Table1[[#This Row],[City]])</f>
        <v>Indore</v>
      </c>
      <c r="AS121" t="str">
        <f>PROPER(Table1[[#This Row],[City]])</f>
        <v>Indore</v>
      </c>
      <c r="AT121" t="s">
        <v>345</v>
      </c>
      <c r="AU121" t="str">
        <f>CONCATENATE(Table1[[#This Row],[City]],Table1[[#This Row],[State]])</f>
        <v>IndoreMadhya Pradesh</v>
      </c>
      <c r="AV121" t="s">
        <v>346</v>
      </c>
      <c r="AW121" t="s">
        <v>151</v>
      </c>
      <c r="AX121" t="str">
        <f>REPLACE(Table1[[#This Row],[Product_ID]],1,1,"s")</f>
        <v>s102</v>
      </c>
      <c r="AY121" t="s">
        <v>762</v>
      </c>
      <c r="AZ121">
        <f>SEARCH("-",Table1[[#This Row],[Product ID]])</f>
        <v>2</v>
      </c>
      <c r="BA121">
        <f>FIND("-",Table1[[#This Row],[Product ID]])</f>
        <v>2</v>
      </c>
      <c r="BB121" t="str">
        <f>MID(Table1[[#This Row],[Product_ID]],2,3)</f>
        <v>102</v>
      </c>
      <c r="BC121" t="str">
        <f>RIGHT(Table1[[#This Row],[Product_ID]],3)</f>
        <v>102</v>
      </c>
      <c r="BD121" t="str">
        <f>LEFT(Table1[[#This Row],[Product_ID]],3)</f>
        <v>P10</v>
      </c>
      <c r="BE121" t="str">
        <f>_xlfn.XLOOKUP(Table1[[#This Row],[Product_ID]],AW:AW,BF:BF,,0)</f>
        <v>Mechanical Keyboard</v>
      </c>
      <c r="BF121" t="s">
        <v>153</v>
      </c>
      <c r="BG121">
        <f>LEN(Table1[[#This Row],[Product_Name]])</f>
        <v>19</v>
      </c>
      <c r="BH121" t="s">
        <v>154</v>
      </c>
      <c r="BI121">
        <f t="shared" si="14"/>
        <v>75</v>
      </c>
      <c r="BJ121" t="str">
        <f>SUBSTITUTE(Table1[[#This Row],[Category]],"Electronics","ELECTRONICS")</f>
        <v>ELECTRONICS</v>
      </c>
      <c r="BN121" t="s">
        <v>155</v>
      </c>
      <c r="BS121" s="14">
        <v>4</v>
      </c>
      <c r="BT121" s="3">
        <v>2499</v>
      </c>
      <c r="BU121" s="4">
        <v>15</v>
      </c>
      <c r="BV121" s="4" t="str">
        <f>IF(AND(Table1[[#This Row],[Quantity]]&gt;=3,Table1[[#This Row],[Discount_%]]&gt;=15%),"Bulk Discount","no")</f>
        <v>Bulk Discount</v>
      </c>
      <c r="BW121" s="4" t="str">
        <f>IF(AND(Table1[[#This Row],[Quantity]]&gt;3,Table1[[#This Row],[Discount_%]]&gt;15%),"Bulk Customer","Normal")</f>
        <v>Bulk Customer</v>
      </c>
      <c r="BX121" t="s">
        <v>192</v>
      </c>
      <c r="BY121" t="s">
        <v>193</v>
      </c>
      <c r="CC121" t="str">
        <f>IF(OR(Table1[[#This Row],[Order_Status]]="Returned",Table1[[#This Row],[Order_Status]]="Cancelled"),"Attention Required","Not")</f>
        <v>Not</v>
      </c>
      <c r="CD121" t="str">
        <f>IF(OR(Table1[[#This Row],[Order_Status]]="Returned",Table1[[#This Row],[Order_Status]]="Cancelled"),"Review","no")</f>
        <v>no</v>
      </c>
      <c r="CE121" t="str">
        <f>SUBSTITUTE(Table1[[#This Row],[Order_Status]],"Delivered","Completed")</f>
        <v>Shipped</v>
      </c>
      <c r="CF121" s="2">
        <v>46233</v>
      </c>
      <c r="CG121" s="17">
        <f>NETWORKDAYS(Table1[[#This Row],[Order_Date]],Table1[[#This Row],[Delivery_Date]])</f>
        <v>4</v>
      </c>
      <c r="CH121" s="17">
        <f>Table1[[#This Row],[Delivery_Date]]-Table1[[#This Row],[Order_Date]]</f>
        <v>3</v>
      </c>
      <c r="CI121" t="s">
        <v>137</v>
      </c>
      <c r="CJ121" t="str">
        <f>IF(Table1[[#This Row],[Rating]]&gt;=4,"Good","Needs Improvement")</f>
        <v>Needs Improvement</v>
      </c>
      <c r="CK121" t="str">
        <f>IF(OR(Table1[[#This Row],[Rating]]&lt;=2,Table1[[#This Row],[Profit]]&lt;0),"Review","NO")</f>
        <v>Review</v>
      </c>
      <c r="CL121" t="e" cm="1">
        <f t="array" ref="CL121">_xlfn.IFS(Table1[[#This Row],[Rating]]&gt;2,"Poor",Table1[[#This Row],[Rating]]=3,"Average",Table1[[#This Row],[Rating]]=4,"Good",CP121=5,"Excellent")</f>
        <v>#N/A</v>
      </c>
      <c r="CM121">
        <f>COUNT(Table1[[#This Row],[Rating]])</f>
        <v>1</v>
      </c>
      <c r="CN121">
        <f>COUNTBLANK(Table1[[#This Row],[Rating]])</f>
        <v>0</v>
      </c>
      <c r="CP121" t="s">
        <v>331</v>
      </c>
      <c r="CQ121" s="14">
        <v>2</v>
      </c>
      <c r="CR121" t="s">
        <v>173</v>
      </c>
      <c r="CS121" t="s">
        <v>195</v>
      </c>
      <c r="CU121" s="3">
        <v>8496.6</v>
      </c>
      <c r="CV121" s="3">
        <f>ROUND(Table1[[#This Row],[Sales_Amount]],0)</f>
        <v>8497</v>
      </c>
      <c r="CW121" s="3"/>
      <c r="CX121" s="3"/>
      <c r="CY121" s="3" t="b">
        <f>IF(AND(Table1[[#This Row],[Sales_Amount]]&gt;=10000,Table1[[#This Row],[Profit]]&gt;0),"Good Order")</f>
        <v>0</v>
      </c>
      <c r="CZ121" s="3" t="str">
        <f>IF(Table1[[#This Row],[Sales_Amount]]&gt;=10000,"High","Normal")</f>
        <v>Normal</v>
      </c>
      <c r="DA121" s="3">
        <v>2696.6</v>
      </c>
      <c r="DB121" s="3">
        <f>ROUND(Table1[[#This Row],[Profit]],0)</f>
        <v>2697</v>
      </c>
      <c r="DC121" s="3">
        <f>ABS(Table1[[#This Row],[Profit]])</f>
        <v>2696.6</v>
      </c>
      <c r="DD121" s="3"/>
      <c r="DE121" s="3"/>
      <c r="DF121" s="3"/>
      <c r="DG121" s="3" t="str">
        <f>IF(Table1[[#This Row],[Profit]]&gt;0,"Profit","Loss")</f>
        <v>Profit</v>
      </c>
      <c r="DH121" s="3" t="str">
        <f>IF(AND(Table1[[#This Row],[Sales_Amount]]&gt;=10000,Table1[[#This Row],[Profit]]&gt;0),"Priority","Normal")</f>
        <v>Normal</v>
      </c>
      <c r="DI121" s="3">
        <f t="shared" ca="1" si="9"/>
        <v>0.68420781827298915</v>
      </c>
      <c r="DJ121" s="3">
        <f t="shared" ca="1" si="10"/>
        <v>36</v>
      </c>
      <c r="DK121" s="3"/>
      <c r="DL121" s="3"/>
      <c r="DM121" s="3"/>
      <c r="DN121" s="3"/>
      <c r="DO121" s="3"/>
      <c r="DP121" s="3"/>
    </row>
    <row r="122" spans="1:120">
      <c r="A122" t="s">
        <v>763</v>
      </c>
      <c r="B122" t="str">
        <f>REPLACE(Table1[[#This Row],[Order_ID]],1,3,"YOO")</f>
        <v>YOO10121</v>
      </c>
      <c r="C122" t="str">
        <f>MID(Table1[[#This Row],[Order_ID]],4,4)</f>
        <v>1012</v>
      </c>
      <c r="D122" t="str">
        <f>LEFT(Table1[[#This Row],[Order_ID]],4)</f>
        <v>ORD1</v>
      </c>
      <c r="E122" t="str">
        <f>RIGHT(Table1[[#This Row],[Order_ID]],5)</f>
        <v>10121</v>
      </c>
      <c r="F122" t="s">
        <v>5</v>
      </c>
      <c r="G122">
        <v>10121</v>
      </c>
      <c r="H122" t="s">
        <v>764</v>
      </c>
      <c r="I122" s="2">
        <f>EDATE(Table1[[#This Row],[Order_Date]],3)</f>
        <v>46097</v>
      </c>
      <c r="J122" s="2">
        <f>EDATE(Table1[[#This Row],[Order_Date]],6)</f>
        <v>46189</v>
      </c>
      <c r="K122">
        <f ca="1">YEAR(Table1[[#This Row],[Today]])</f>
        <v>2026</v>
      </c>
      <c r="L122">
        <v>121</v>
      </c>
      <c r="M122">
        <f ca="1">DAY(Table1[[#This Row],[Today]])</f>
        <v>11</v>
      </c>
      <c r="N122" s="19">
        <f t="shared" ca="1" si="13"/>
        <v>46245.589795138891</v>
      </c>
      <c r="O122" s="2">
        <f t="shared" ca="1" si="8"/>
        <v>46245</v>
      </c>
      <c r="P122" s="17">
        <f ca="1">Table1[[#This Row],[Today]]-Table1[[#This Row],[Order_Date]]</f>
        <v>238</v>
      </c>
      <c r="Q122" s="2">
        <v>45778</v>
      </c>
      <c r="R122" s="2">
        <v>46007</v>
      </c>
      <c r="S122" s="6">
        <f t="shared" si="11"/>
        <v>2025</v>
      </c>
      <c r="T122" s="7" t="str">
        <f t="shared" si="12"/>
        <v>December</v>
      </c>
      <c r="U122" s="2">
        <f>WORKDAY(Table1[[#This Row],[Order_Date]],5)</f>
        <v>46014</v>
      </c>
      <c r="V122" s="7" t="str">
        <f>CONCATENATE(Table1[[#This Row],[Customer_ID]],Table1[[#This Row],[Customer_Name]])</f>
        <v>C1020Pooja Jain</v>
      </c>
      <c r="W122" t="s">
        <v>765</v>
      </c>
      <c r="X122" t="s">
        <v>419</v>
      </c>
      <c r="Y122">
        <f>COUNTA(Table1[[#This Row],[Customer_Name]])</f>
        <v>1</v>
      </c>
      <c r="Z122" t="str">
        <f>SUBSTITUTE(Table1[[#This Row],[Customer_Name]]," ","_")</f>
        <v>Pooja_Jain</v>
      </c>
      <c r="AA122" s="10">
        <f>IFERROR(SEARCH("a",Table1[[#This Row],[Customer_Name]]),"N/A")</f>
        <v>5</v>
      </c>
      <c r="AB122">
        <f>SEARCH(" ",Table1[[#This Row],[Customer_Name]])</f>
        <v>6</v>
      </c>
      <c r="AC122" s="11">
        <f>IFERROR(FIND("a",Table1[[#This Row],[Customer_Name]]),"N/A")</f>
        <v>5</v>
      </c>
      <c r="AD122">
        <f>FIND(" ",Table1[[#This Row],[Customer_Name]])</f>
        <v>6</v>
      </c>
      <c r="AE122" t="str">
        <f>TRIM(Table1[[#This Row],[Customer_Name]])</f>
        <v>Pooja Jain</v>
      </c>
      <c r="AF122">
        <f>LEN(Table1[[#This Row],[Trimmed]])</f>
        <v>10</v>
      </c>
      <c r="AG122">
        <f>MAX(Table1[Length])</f>
        <v>15</v>
      </c>
      <c r="AH122" t="str">
        <f>PROPER(Table1[[#This Row],[Customer_Name]])</f>
        <v>Pooja Jain</v>
      </c>
      <c r="AI122" t="str">
        <f>LOWER(Table1[[#This Row],[Customer_Name]])</f>
        <v>pooja jain</v>
      </c>
      <c r="AJ122" t="str">
        <f>UPPER(Table1[[#This Row],[Customer_Name]])</f>
        <v>POOJA JAIN</v>
      </c>
      <c r="AK122" t="str">
        <f>CONCATENATE(Table1[[#This Row],[Customer_ID]],Table1[[#This Row],[Customer_Name]])</f>
        <v>C1020Pooja Jain</v>
      </c>
      <c r="AL122" t="s">
        <v>420</v>
      </c>
      <c r="AM122" t="s">
        <v>421</v>
      </c>
      <c r="AN122" t="s">
        <v>422</v>
      </c>
      <c r="AO122" t="s">
        <v>420</v>
      </c>
      <c r="AP122" t="s">
        <v>421</v>
      </c>
      <c r="AQ122" t="s">
        <v>148</v>
      </c>
      <c r="AR122" t="str">
        <f>TRIM(Table1[[#This Row],[City]])</f>
        <v>Jaipur</v>
      </c>
      <c r="AS122" t="str">
        <f>PROPER(Table1[[#This Row],[City]])</f>
        <v>Jaipur</v>
      </c>
      <c r="AT122" t="s">
        <v>149</v>
      </c>
      <c r="AU122" t="str">
        <f>CONCATENATE(Table1[[#This Row],[City]],Table1[[#This Row],[State]])</f>
        <v>JaipurRajasthan</v>
      </c>
      <c r="AV122" t="s">
        <v>150</v>
      </c>
      <c r="AW122" t="s">
        <v>319</v>
      </c>
      <c r="AX122" t="str">
        <f>REPLACE(Table1[[#This Row],[Product_ID]],1,1,"s")</f>
        <v>s103</v>
      </c>
      <c r="AY122" t="s">
        <v>766</v>
      </c>
      <c r="AZ122">
        <f>SEARCH("-",Table1[[#This Row],[Product ID]])</f>
        <v>2</v>
      </c>
      <c r="BA122">
        <f>FIND("-",Table1[[#This Row],[Product ID]])</f>
        <v>2</v>
      </c>
      <c r="BB122" t="str">
        <f>MID(Table1[[#This Row],[Product_ID]],2,3)</f>
        <v>103</v>
      </c>
      <c r="BC122" t="str">
        <f>RIGHT(Table1[[#This Row],[Product_ID]],3)</f>
        <v>103</v>
      </c>
      <c r="BD122" t="str">
        <f>LEFT(Table1[[#This Row],[Product_ID]],3)</f>
        <v>P10</v>
      </c>
      <c r="BE122" t="str">
        <f>_xlfn.XLOOKUP(Table1[[#This Row],[Product_ID]],AW:AW,BF:BF,,0)</f>
        <v>Laptop Stand</v>
      </c>
      <c r="BF122" t="s">
        <v>321</v>
      </c>
      <c r="BG122">
        <f>LEN(Table1[[#This Row],[Product_Name]])</f>
        <v>12</v>
      </c>
      <c r="BH122" t="s">
        <v>154</v>
      </c>
      <c r="BI122">
        <f t="shared" si="14"/>
        <v>75</v>
      </c>
      <c r="BJ122" t="str">
        <f>SUBSTITUTE(Table1[[#This Row],[Category]],"Electronics","ELECTRONICS")</f>
        <v>ELECTRONICS</v>
      </c>
      <c r="BN122" t="s">
        <v>155</v>
      </c>
      <c r="BS122" s="14">
        <v>4</v>
      </c>
      <c r="BT122" s="3">
        <v>1599</v>
      </c>
      <c r="BU122" s="4">
        <v>10</v>
      </c>
      <c r="BV122" s="4" t="str">
        <f>IF(AND(Table1[[#This Row],[Quantity]]&gt;=3,Table1[[#This Row],[Discount_%]]&gt;=15%),"Bulk Discount","no")</f>
        <v>Bulk Discount</v>
      </c>
      <c r="BW122" s="4" t="str">
        <f>IF(AND(Table1[[#This Row],[Quantity]]&gt;3,Table1[[#This Row],[Discount_%]]&gt;15%),"Bulk Customer","Normal")</f>
        <v>Bulk Customer</v>
      </c>
      <c r="BX122" t="s">
        <v>172</v>
      </c>
      <c r="BY122" t="s">
        <v>136</v>
      </c>
      <c r="CC122" t="str">
        <f>IF(OR(Table1[[#This Row],[Order_Status]]="Returned",Table1[[#This Row],[Order_Status]]="Cancelled"),"Attention Required","Not")</f>
        <v>Not</v>
      </c>
      <c r="CD122" t="str">
        <f>IF(OR(Table1[[#This Row],[Order_Status]]="Returned",Table1[[#This Row],[Order_Status]]="Cancelled"),"Review","no")</f>
        <v>no</v>
      </c>
      <c r="CE122" t="str">
        <f>SUBSTITUTE(Table1[[#This Row],[Order_Status]],"Delivered","Completed")</f>
        <v>Completed</v>
      </c>
      <c r="CF122" s="2">
        <v>46010</v>
      </c>
      <c r="CG122" s="17">
        <f>NETWORKDAYS(Table1[[#This Row],[Order_Date]],Table1[[#This Row],[Delivery_Date]])</f>
        <v>4</v>
      </c>
      <c r="CH122" s="17">
        <f>Table1[[#This Row],[Delivery_Date]]-Table1[[#This Row],[Order_Date]]</f>
        <v>3</v>
      </c>
      <c r="CI122" t="s">
        <v>137</v>
      </c>
      <c r="CJ122" t="str">
        <f>IF(Table1[[#This Row],[Rating]]&gt;=4,"Good","Needs Improvement")</f>
        <v>Needs Improvement</v>
      </c>
      <c r="CK122" t="str">
        <f>IF(OR(Table1[[#This Row],[Rating]]&lt;=2,Table1[[#This Row],[Profit]]&lt;0),"Review","NO")</f>
        <v>NO</v>
      </c>
      <c r="CL122" t="str" cm="1">
        <f t="array" ref="CL122">_xlfn.IFS(Table1[[#This Row],[Rating]]&gt;2,"Poor",Table1[[#This Row],[Rating]]=3,"Average",Table1[[#This Row],[Rating]]=4,"Good",CP122=5,"Excellent")</f>
        <v>Poor</v>
      </c>
      <c r="CM122">
        <f>COUNT(Table1[[#This Row],[Rating]])</f>
        <v>1</v>
      </c>
      <c r="CN122">
        <f>COUNTBLANK(Table1[[#This Row],[Rating]])</f>
        <v>0</v>
      </c>
      <c r="CP122" t="s">
        <v>266</v>
      </c>
      <c r="CQ122" s="14">
        <v>3</v>
      </c>
      <c r="CR122" t="s">
        <v>204</v>
      </c>
      <c r="CS122" t="s">
        <v>213</v>
      </c>
      <c r="CU122" s="3">
        <v>5756.4</v>
      </c>
      <c r="CV122" s="3">
        <f>ROUND(Table1[[#This Row],[Sales_Amount]],0)</f>
        <v>5756</v>
      </c>
      <c r="CW122" s="3"/>
      <c r="CX122" s="3"/>
      <c r="CY122" s="3" t="b">
        <f>IF(AND(Table1[[#This Row],[Sales_Amount]]&gt;=10000,Table1[[#This Row],[Profit]]&gt;0),"Good Order")</f>
        <v>0</v>
      </c>
      <c r="CZ122" s="3" t="str">
        <f>IF(Table1[[#This Row],[Sales_Amount]]&gt;=10000,"High","Normal")</f>
        <v>Normal</v>
      </c>
      <c r="DA122" s="3">
        <v>2156.4</v>
      </c>
      <c r="DB122" s="3">
        <f>ROUND(Table1[[#This Row],[Profit]],0)</f>
        <v>2156</v>
      </c>
      <c r="DC122" s="3">
        <f>ABS(Table1[[#This Row],[Profit]])</f>
        <v>2156.4</v>
      </c>
      <c r="DD122" s="3"/>
      <c r="DE122" s="3"/>
      <c r="DF122" s="3"/>
      <c r="DG122" s="3" t="str">
        <f>IF(Table1[[#This Row],[Profit]]&gt;0,"Profit","Loss")</f>
        <v>Profit</v>
      </c>
      <c r="DH122" s="3" t="str">
        <f>IF(AND(Table1[[#This Row],[Sales_Amount]]&gt;=10000,Table1[[#This Row],[Profit]]&gt;0),"Priority","Normal")</f>
        <v>Normal</v>
      </c>
      <c r="DI122" s="3">
        <f t="shared" ca="1" si="9"/>
        <v>0.38322371864559335</v>
      </c>
      <c r="DJ122" s="3">
        <f t="shared" ca="1" si="10"/>
        <v>47</v>
      </c>
      <c r="DK122" s="3"/>
      <c r="DL122" s="3"/>
      <c r="DM122" s="3"/>
      <c r="DN122" s="3"/>
      <c r="DO122" s="3"/>
      <c r="DP122" s="3"/>
    </row>
    <row r="123" spans="1:120">
      <c r="A123" t="s">
        <v>767</v>
      </c>
      <c r="B123" t="str">
        <f>REPLACE(Table1[[#This Row],[Order_ID]],1,3,"YOO")</f>
        <v>YOO10122</v>
      </c>
      <c r="C123" t="str">
        <f>MID(Table1[[#This Row],[Order_ID]],4,4)</f>
        <v>1012</v>
      </c>
      <c r="D123" t="str">
        <f>LEFT(Table1[[#This Row],[Order_ID]],4)</f>
        <v>ORD1</v>
      </c>
      <c r="E123" t="str">
        <f>RIGHT(Table1[[#This Row],[Order_ID]],5)</f>
        <v>10122</v>
      </c>
      <c r="F123" t="s">
        <v>5</v>
      </c>
      <c r="G123">
        <v>10122</v>
      </c>
      <c r="H123" t="s">
        <v>768</v>
      </c>
      <c r="I123" s="2">
        <f>EDATE(Table1[[#This Row],[Order_Date]],3)</f>
        <v>45785</v>
      </c>
      <c r="J123" s="2">
        <f>EDATE(Table1[[#This Row],[Order_Date]],6)</f>
        <v>45877</v>
      </c>
      <c r="K123">
        <f ca="1">YEAR(Table1[[#This Row],[Today]])</f>
        <v>2026</v>
      </c>
      <c r="L123">
        <v>122</v>
      </c>
      <c r="M123">
        <f ca="1">DAY(Table1[[#This Row],[Today]])</f>
        <v>11</v>
      </c>
      <c r="N123" s="19">
        <f t="shared" ca="1" si="13"/>
        <v>46245.589795370368</v>
      </c>
      <c r="O123" s="2">
        <f t="shared" ca="1" si="8"/>
        <v>46245</v>
      </c>
      <c r="P123" s="17">
        <f ca="1">Table1[[#This Row],[Today]]-Table1[[#This Row],[Order_Date]]</f>
        <v>549</v>
      </c>
      <c r="Q123" s="2">
        <v>45779</v>
      </c>
      <c r="R123" s="2">
        <v>45696</v>
      </c>
      <c r="S123" s="6">
        <f t="shared" si="11"/>
        <v>2025</v>
      </c>
      <c r="T123" s="7" t="str">
        <f t="shared" si="12"/>
        <v>February</v>
      </c>
      <c r="U123" s="2">
        <f>WORKDAY(Table1[[#This Row],[Order_Date]],5)</f>
        <v>45702</v>
      </c>
      <c r="V123" s="7" t="str">
        <f>CONCATENATE(Table1[[#This Row],[Customer_ID]],Table1[[#This Row],[Customer_Name]])</f>
        <v>C1042Simran Kaur</v>
      </c>
      <c r="W123" t="s">
        <v>383</v>
      </c>
      <c r="X123" t="s">
        <v>325</v>
      </c>
      <c r="Y123">
        <f>COUNTA(Table1[[#This Row],[Customer_Name]])</f>
        <v>1</v>
      </c>
      <c r="Z123" t="str">
        <f>SUBSTITUTE(Table1[[#This Row],[Customer_Name]]," ","_")</f>
        <v>Simran_Kaur</v>
      </c>
      <c r="AA123" s="10">
        <f>IFERROR(SEARCH("a",Table1[[#This Row],[Customer_Name]]),"N/A")</f>
        <v>5</v>
      </c>
      <c r="AB123">
        <f>SEARCH(" ",Table1[[#This Row],[Customer_Name]])</f>
        <v>7</v>
      </c>
      <c r="AC123" s="11">
        <f>IFERROR(FIND("a",Table1[[#This Row],[Customer_Name]]),"N/A")</f>
        <v>5</v>
      </c>
      <c r="AD123">
        <f>FIND(" ",Table1[[#This Row],[Customer_Name]])</f>
        <v>7</v>
      </c>
      <c r="AE123" t="str">
        <f>TRIM(Table1[[#This Row],[Customer_Name]])</f>
        <v>Simran Kaur</v>
      </c>
      <c r="AF123">
        <f>LEN(Table1[[#This Row],[Trimmed]])</f>
        <v>11</v>
      </c>
      <c r="AG123">
        <f>MAX(Table1[Length])</f>
        <v>15</v>
      </c>
      <c r="AH123" t="str">
        <f>PROPER(Table1[[#This Row],[Customer_Name]])</f>
        <v>Simran Kaur</v>
      </c>
      <c r="AI123" t="str">
        <f>LOWER(Table1[[#This Row],[Customer_Name]])</f>
        <v>simran kaur</v>
      </c>
      <c r="AJ123" t="str">
        <f>UPPER(Table1[[#This Row],[Customer_Name]])</f>
        <v>SIMRAN KAUR</v>
      </c>
      <c r="AK123" t="str">
        <f>CONCATENATE(Table1[[#This Row],[Customer_ID]],Table1[[#This Row],[Customer_Name]])</f>
        <v>C1042Simran Kaur</v>
      </c>
      <c r="AL123" t="s">
        <v>326</v>
      </c>
      <c r="AM123" t="s">
        <v>327</v>
      </c>
      <c r="AN123" t="s">
        <v>328</v>
      </c>
      <c r="AO123" t="s">
        <v>326</v>
      </c>
      <c r="AP123" t="s">
        <v>327</v>
      </c>
      <c r="AQ123" t="s">
        <v>304</v>
      </c>
      <c r="AR123" t="str">
        <f>TRIM(Table1[[#This Row],[City]])</f>
        <v>Chennai</v>
      </c>
      <c r="AS123" t="str">
        <f>PROPER(Table1[[#This Row],[City]])</f>
        <v>Chennai</v>
      </c>
      <c r="AT123" t="s">
        <v>305</v>
      </c>
      <c r="AU123" t="str">
        <f>CONCATENATE(Table1[[#This Row],[City]],Table1[[#This Row],[State]])</f>
        <v>ChennaiTamil Nadu</v>
      </c>
      <c r="AV123" t="s">
        <v>168</v>
      </c>
      <c r="AW123" t="s">
        <v>338</v>
      </c>
      <c r="AX123" t="str">
        <f>REPLACE(Table1[[#This Row],[Product_ID]],1,1,"s")</f>
        <v>s115</v>
      </c>
      <c r="AY123" t="s">
        <v>769</v>
      </c>
      <c r="AZ123">
        <f>SEARCH("-",Table1[[#This Row],[Product ID]])</f>
        <v>2</v>
      </c>
      <c r="BA123">
        <f>FIND("-",Table1[[#This Row],[Product ID]])</f>
        <v>2</v>
      </c>
      <c r="BB123" t="str">
        <f>MID(Table1[[#This Row],[Product_ID]],2,3)</f>
        <v>115</v>
      </c>
      <c r="BC123" t="str">
        <f>RIGHT(Table1[[#This Row],[Product_ID]],3)</f>
        <v>115</v>
      </c>
      <c r="BD123" t="str">
        <f>LEFT(Table1[[#This Row],[Product_ID]],3)</f>
        <v>P11</v>
      </c>
      <c r="BE123" t="str">
        <f>_xlfn.XLOOKUP(Table1[[#This Row],[Product_ID]],AW:AW,BF:BF,,0)</f>
        <v>Dumbbell Set</v>
      </c>
      <c r="BF123" t="s">
        <v>340</v>
      </c>
      <c r="BG123">
        <f>LEN(Table1[[#This Row],[Product_Name]])</f>
        <v>12</v>
      </c>
      <c r="BH123" t="s">
        <v>264</v>
      </c>
      <c r="BI123">
        <f t="shared" si="14"/>
        <v>75</v>
      </c>
      <c r="BJ123" t="str">
        <f>SUBSTITUTE(Table1[[#This Row],[Category]],"Electronics","ELECTRONICS")</f>
        <v>Sports</v>
      </c>
      <c r="BN123" t="s">
        <v>265</v>
      </c>
      <c r="BS123" s="14">
        <v>3</v>
      </c>
      <c r="BT123" s="3">
        <v>2499</v>
      </c>
      <c r="BU123" s="4">
        <v>5</v>
      </c>
      <c r="BV123" s="4" t="str">
        <f>IF(AND(Table1[[#This Row],[Quantity]]&gt;=3,Table1[[#This Row],[Discount_%]]&gt;=15%),"Bulk Discount","no")</f>
        <v>Bulk Discount</v>
      </c>
      <c r="BW123" s="4" t="str">
        <f>IF(AND(Table1[[#This Row],[Quantity]]&gt;3,Table1[[#This Row],[Discount_%]]&gt;15%),"Bulk Customer","Normal")</f>
        <v>Normal</v>
      </c>
      <c r="BX123" t="s">
        <v>135</v>
      </c>
      <c r="BY123" t="s">
        <v>156</v>
      </c>
      <c r="CC123" t="str">
        <f>IF(OR(Table1[[#This Row],[Order_Status]]="Returned",Table1[[#This Row],[Order_Status]]="Cancelled"),"Attention Required","Not")</f>
        <v>Attention Required</v>
      </c>
      <c r="CD123" t="str">
        <f>IF(OR(Table1[[#This Row],[Order_Status]]="Returned",Table1[[#This Row],[Order_Status]]="Cancelled"),"Review","no")</f>
        <v>Review</v>
      </c>
      <c r="CE123" t="str">
        <f>SUBSTITUTE(Table1[[#This Row],[Order_Status]],"Delivered","Completed")</f>
        <v>Cancelled</v>
      </c>
      <c r="CF123" s="2">
        <v>45703</v>
      </c>
      <c r="CG123" s="17">
        <f>NETWORKDAYS(Table1[[#This Row],[Order_Date]],Table1[[#This Row],[Delivery_Date]])</f>
        <v>5</v>
      </c>
      <c r="CH123" s="17">
        <f>Table1[[#This Row],[Delivery_Date]]-Table1[[#This Row],[Order_Date]]</f>
        <v>7</v>
      </c>
      <c r="CI123" t="s">
        <v>137</v>
      </c>
      <c r="CJ123" t="str">
        <f>IF(Table1[[#This Row],[Rating]]&gt;=4,"Good","Needs Improvement")</f>
        <v>Needs Improvement</v>
      </c>
      <c r="CK123" t="str">
        <f>IF(OR(Table1[[#This Row],[Rating]]&lt;=2,Table1[[#This Row],[Profit]]&lt;0),"Review","NO")</f>
        <v>NO</v>
      </c>
      <c r="CL123" t="str" cm="1">
        <f t="array" ref="CL123">_xlfn.IFS(Table1[[#This Row],[Rating]]&gt;2,"Poor",Table1[[#This Row],[Rating]]=3,"Average",Table1[[#This Row],[Rating]]=4,"Good",CP123=5,"Excellent")</f>
        <v>Poor</v>
      </c>
      <c r="CM123">
        <f>COUNT(Table1[[#This Row],[Rating]])</f>
        <v>1</v>
      </c>
      <c r="CN123">
        <f>COUNTBLANK(Table1[[#This Row],[Rating]])</f>
        <v>0</v>
      </c>
      <c r="CP123" t="s">
        <v>194</v>
      </c>
      <c r="CQ123" s="14">
        <v>3</v>
      </c>
      <c r="CR123" t="s">
        <v>204</v>
      </c>
      <c r="CS123" t="s">
        <v>267</v>
      </c>
      <c r="CU123" s="3">
        <v>7122.15</v>
      </c>
      <c r="CV123" s="3">
        <f>ROUND(Table1[[#This Row],[Sales_Amount]],0)</f>
        <v>7122</v>
      </c>
      <c r="CW123" s="3"/>
      <c r="CX123" s="3"/>
      <c r="CY123" s="3" t="b">
        <f>IF(AND(Table1[[#This Row],[Sales_Amount]]&gt;=10000,Table1[[#This Row],[Profit]]&gt;0),"Good Order")</f>
        <v>0</v>
      </c>
      <c r="CZ123" s="3" t="str">
        <f>IF(Table1[[#This Row],[Sales_Amount]]&gt;=10000,"High","Normal")</f>
        <v>Normal</v>
      </c>
      <c r="DA123" s="3">
        <v>2772.15</v>
      </c>
      <c r="DB123" s="3">
        <f>ROUND(Table1[[#This Row],[Profit]],0)</f>
        <v>2772</v>
      </c>
      <c r="DC123" s="3">
        <f>ABS(Table1[[#This Row],[Profit]])</f>
        <v>2772.15</v>
      </c>
      <c r="DD123" s="3"/>
      <c r="DE123" s="3"/>
      <c r="DF123" s="3"/>
      <c r="DG123" s="3" t="str">
        <f>IF(Table1[[#This Row],[Profit]]&gt;0,"Profit","Loss")</f>
        <v>Profit</v>
      </c>
      <c r="DH123" s="3" t="str">
        <f>IF(AND(Table1[[#This Row],[Sales_Amount]]&gt;=10000,Table1[[#This Row],[Profit]]&gt;0),"Priority","Normal")</f>
        <v>Normal</v>
      </c>
      <c r="DI123" s="3">
        <f t="shared" ca="1" si="9"/>
        <v>2.0468768193937947E-2</v>
      </c>
      <c r="DJ123" s="3">
        <f t="shared" ca="1" si="10"/>
        <v>12</v>
      </c>
      <c r="DK123" s="3"/>
      <c r="DL123" s="3"/>
      <c r="DM123" s="3"/>
      <c r="DN123" s="3"/>
      <c r="DO123" s="3"/>
      <c r="DP123" s="3"/>
    </row>
    <row r="124" spans="1:120">
      <c r="A124" t="s">
        <v>770</v>
      </c>
      <c r="B124" t="str">
        <f>REPLACE(Table1[[#This Row],[Order_ID]],1,3,"YOO")</f>
        <v>YOO10123</v>
      </c>
      <c r="C124" t="str">
        <f>MID(Table1[[#This Row],[Order_ID]],4,4)</f>
        <v>1012</v>
      </c>
      <c r="D124" t="str">
        <f>LEFT(Table1[[#This Row],[Order_ID]],4)</f>
        <v>ORD1</v>
      </c>
      <c r="E124" t="str">
        <f>RIGHT(Table1[[#This Row],[Order_ID]],5)</f>
        <v>10123</v>
      </c>
      <c r="F124" t="s">
        <v>5</v>
      </c>
      <c r="G124">
        <v>10123</v>
      </c>
      <c r="H124" t="s">
        <v>771</v>
      </c>
      <c r="I124" s="2">
        <f>EDATE(Table1[[#This Row],[Order_Date]],3)</f>
        <v>46121</v>
      </c>
      <c r="J124" s="2">
        <f>EDATE(Table1[[#This Row],[Order_Date]],6)</f>
        <v>46212</v>
      </c>
      <c r="K124">
        <f ca="1">YEAR(Table1[[#This Row],[Today]])</f>
        <v>2026</v>
      </c>
      <c r="L124">
        <v>123</v>
      </c>
      <c r="M124">
        <f ca="1">DAY(Table1[[#This Row],[Today]])</f>
        <v>11</v>
      </c>
      <c r="N124" s="19">
        <f t="shared" ca="1" si="13"/>
        <v>46245.589795370368</v>
      </c>
      <c r="O124" s="2">
        <f t="shared" ca="1" si="8"/>
        <v>46245</v>
      </c>
      <c r="P124" s="17">
        <f ca="1">Table1[[#This Row],[Today]]-Table1[[#This Row],[Order_Date]]</f>
        <v>214</v>
      </c>
      <c r="Q124" s="2">
        <v>45780</v>
      </c>
      <c r="R124" s="2">
        <v>46031</v>
      </c>
      <c r="S124" s="6">
        <f t="shared" si="11"/>
        <v>2026</v>
      </c>
      <c r="T124" s="7" t="str">
        <f t="shared" si="12"/>
        <v>January</v>
      </c>
      <c r="U124" s="2">
        <f>WORKDAY(Table1[[#This Row],[Order_Date]],5)</f>
        <v>46038</v>
      </c>
      <c r="V124" s="7" t="str">
        <f>CONCATENATE(Table1[[#This Row],[Customer_ID]],Table1[[#This Row],[Customer_Name]])</f>
        <v>C1060Riya Agarwal</v>
      </c>
      <c r="W124" t="s">
        <v>652</v>
      </c>
      <c r="X124" t="s">
        <v>217</v>
      </c>
      <c r="Y124">
        <f>COUNTA(Table1[[#This Row],[Customer_Name]])</f>
        <v>1</v>
      </c>
      <c r="Z124" t="str">
        <f>SUBSTITUTE(Table1[[#This Row],[Customer_Name]]," ","_")</f>
        <v>Riya_Agarwal</v>
      </c>
      <c r="AA124" s="10">
        <f>IFERROR(SEARCH("a",Table1[[#This Row],[Customer_Name]]),"N/A")</f>
        <v>4</v>
      </c>
      <c r="AB124">
        <f>SEARCH(" ",Table1[[#This Row],[Customer_Name]])</f>
        <v>5</v>
      </c>
      <c r="AC124" s="11">
        <f>IFERROR(FIND("a",Table1[[#This Row],[Customer_Name]]),"N/A")</f>
        <v>4</v>
      </c>
      <c r="AD124">
        <f>FIND(" ",Table1[[#This Row],[Customer_Name]])</f>
        <v>5</v>
      </c>
      <c r="AE124" t="str">
        <f>TRIM(Table1[[#This Row],[Customer_Name]])</f>
        <v>Riya Agarwal</v>
      </c>
      <c r="AF124">
        <f>LEN(Table1[[#This Row],[Trimmed]])</f>
        <v>12</v>
      </c>
      <c r="AG124">
        <f>MAX(Table1[Length])</f>
        <v>15</v>
      </c>
      <c r="AH124" t="str">
        <f>PROPER(Table1[[#This Row],[Customer_Name]])</f>
        <v>Riya Agarwal</v>
      </c>
      <c r="AI124" t="str">
        <f>LOWER(Table1[[#This Row],[Customer_Name]])</f>
        <v>riya agarwal</v>
      </c>
      <c r="AJ124" t="str">
        <f>UPPER(Table1[[#This Row],[Customer_Name]])</f>
        <v>RIYA AGARWAL</v>
      </c>
      <c r="AK124" t="str">
        <f>CONCATENATE(Table1[[#This Row],[Customer_ID]],Table1[[#This Row],[Customer_Name]])</f>
        <v>C1060Riya Agarwal</v>
      </c>
      <c r="AL124" t="s">
        <v>218</v>
      </c>
      <c r="AM124" t="s">
        <v>219</v>
      </c>
      <c r="AN124" t="s">
        <v>220</v>
      </c>
      <c r="AO124" t="s">
        <v>218</v>
      </c>
      <c r="AP124" t="s">
        <v>219</v>
      </c>
      <c r="AQ124" t="s">
        <v>166</v>
      </c>
      <c r="AR124" t="str">
        <f>TRIM(Table1[[#This Row],[City]])</f>
        <v>Bengaluru</v>
      </c>
      <c r="AS124" t="str">
        <f>PROPER(Table1[[#This Row],[City]])</f>
        <v>Bengaluru</v>
      </c>
      <c r="AT124" t="s">
        <v>167</v>
      </c>
      <c r="AU124" t="str">
        <f>CONCATENATE(Table1[[#This Row],[City]],Table1[[#This Row],[State]])</f>
        <v>BengaluruKarnataka</v>
      </c>
      <c r="AV124" t="s">
        <v>168</v>
      </c>
      <c r="AW124" t="s">
        <v>275</v>
      </c>
      <c r="AX124" t="str">
        <f>REPLACE(Table1[[#This Row],[Product_ID]],1,1,"s")</f>
        <v>s101</v>
      </c>
      <c r="AY124" t="s">
        <v>772</v>
      </c>
      <c r="AZ124">
        <f>SEARCH("-",Table1[[#This Row],[Product ID]])</f>
        <v>2</v>
      </c>
      <c r="BA124">
        <f>FIND("-",Table1[[#This Row],[Product ID]])</f>
        <v>2</v>
      </c>
      <c r="BB124" t="str">
        <f>MID(Table1[[#This Row],[Product_ID]],2,3)</f>
        <v>101</v>
      </c>
      <c r="BC124" t="str">
        <f>RIGHT(Table1[[#This Row],[Product_ID]],3)</f>
        <v>101</v>
      </c>
      <c r="BD124" t="str">
        <f>LEFT(Table1[[#This Row],[Product_ID]],3)</f>
        <v>P10</v>
      </c>
      <c r="BE124" t="str">
        <f>_xlfn.XLOOKUP(Table1[[#This Row],[Product_ID]],AW:AW,BF:BF,,0)</f>
        <v>Wireless Mouse</v>
      </c>
      <c r="BF124" t="s">
        <v>277</v>
      </c>
      <c r="BG124">
        <f>LEN(Table1[[#This Row],[Product_Name]])</f>
        <v>14</v>
      </c>
      <c r="BH124" t="s">
        <v>154</v>
      </c>
      <c r="BI124">
        <f t="shared" si="14"/>
        <v>75</v>
      </c>
      <c r="BJ124" t="str">
        <f>SUBSTITUTE(Table1[[#This Row],[Category]],"Electronics","ELECTRONICS")</f>
        <v>ELECTRONICS</v>
      </c>
      <c r="BN124" t="s">
        <v>155</v>
      </c>
      <c r="BS124" s="14">
        <v>2</v>
      </c>
      <c r="BT124" s="3">
        <v>799</v>
      </c>
      <c r="BU124" s="4">
        <v>25</v>
      </c>
      <c r="BV124" s="4" t="str">
        <f>IF(AND(Table1[[#This Row],[Quantity]]&gt;=3,Table1[[#This Row],[Discount_%]]&gt;=15%),"Bulk Discount","no")</f>
        <v>no</v>
      </c>
      <c r="BW124" s="4" t="str">
        <f>IF(AND(Table1[[#This Row],[Quantity]]&gt;3,Table1[[#This Row],[Discount_%]]&gt;15%),"Bulk Customer","Normal")</f>
        <v>Normal</v>
      </c>
      <c r="BX124" t="s">
        <v>187</v>
      </c>
      <c r="BY124" t="s">
        <v>156</v>
      </c>
      <c r="CC124" t="str">
        <f>IF(OR(Table1[[#This Row],[Order_Status]]="Returned",Table1[[#This Row],[Order_Status]]="Cancelled"),"Attention Required","Not")</f>
        <v>Attention Required</v>
      </c>
      <c r="CD124" t="str">
        <f>IF(OR(Table1[[#This Row],[Order_Status]]="Returned",Table1[[#This Row],[Order_Status]]="Cancelled"),"Review","no")</f>
        <v>Review</v>
      </c>
      <c r="CE124" t="str">
        <f>SUBSTITUTE(Table1[[#This Row],[Order_Status]],"Delivered","Completed")</f>
        <v>Cancelled</v>
      </c>
      <c r="CF124" s="2">
        <v>46036</v>
      </c>
      <c r="CG124" s="17">
        <f>NETWORKDAYS(Table1[[#This Row],[Order_Date]],Table1[[#This Row],[Delivery_Date]])</f>
        <v>4</v>
      </c>
      <c r="CH124" s="17">
        <f>Table1[[#This Row],[Delivery_Date]]-Table1[[#This Row],[Order_Date]]</f>
        <v>5</v>
      </c>
      <c r="CI124" t="s">
        <v>137</v>
      </c>
      <c r="CJ124" t="str">
        <f>IF(Table1[[#This Row],[Rating]]&gt;=4,"Good","Needs Improvement")</f>
        <v>Needs Improvement</v>
      </c>
      <c r="CK124" t="str">
        <f>IF(OR(Table1[[#This Row],[Rating]]&lt;=2,Table1[[#This Row],[Profit]]&lt;0),"Review","NO")</f>
        <v>Review</v>
      </c>
      <c r="CL124" t="e" cm="1">
        <f t="array" ref="CL124">_xlfn.IFS(Table1[[#This Row],[Rating]]&gt;2,"Poor",Table1[[#This Row],[Rating]]=3,"Average",Table1[[#This Row],[Rating]]=4,"Good",CP124=5,"Excellent")</f>
        <v>#N/A</v>
      </c>
      <c r="CM124">
        <f>COUNT(Table1[[#This Row],[Rating]])</f>
        <v>0</v>
      </c>
      <c r="CN124">
        <f>COUNTBLANK(Table1[[#This Row],[Rating]])</f>
        <v>1</v>
      </c>
      <c r="CP124" t="s">
        <v>157</v>
      </c>
      <c r="CR124" t="s">
        <v>173</v>
      </c>
      <c r="CS124" t="s">
        <v>158</v>
      </c>
      <c r="CU124" s="3">
        <v>1198.5</v>
      </c>
      <c r="CV124" s="3">
        <f>ROUND(Table1[[#This Row],[Sales_Amount]],0)</f>
        <v>1199</v>
      </c>
      <c r="CW124" s="3"/>
      <c r="CX124" s="3"/>
      <c r="CY124" s="3" t="b">
        <f>IF(AND(Table1[[#This Row],[Sales_Amount]]&gt;=10000,Table1[[#This Row],[Profit]]&gt;0),"Good Order")</f>
        <v>0</v>
      </c>
      <c r="CZ124" s="3" t="str">
        <f>IF(Table1[[#This Row],[Sales_Amount]]&gt;=10000,"High","Normal")</f>
        <v>Normal</v>
      </c>
      <c r="DA124" s="3">
        <v>358.5</v>
      </c>
      <c r="DB124" s="3">
        <f>ROUND(Table1[[#This Row],[Profit]],0)</f>
        <v>359</v>
      </c>
      <c r="DC124" s="3">
        <f>ABS(Table1[[#This Row],[Profit]])</f>
        <v>358.5</v>
      </c>
      <c r="DD124" s="3"/>
      <c r="DE124" s="3"/>
      <c r="DF124" s="3"/>
      <c r="DG124" s="3" t="str">
        <f>IF(Table1[[#This Row],[Profit]]&gt;0,"Profit","Loss")</f>
        <v>Profit</v>
      </c>
      <c r="DH124" s="3" t="str">
        <f>IF(AND(Table1[[#This Row],[Sales_Amount]]&gt;=10000,Table1[[#This Row],[Profit]]&gt;0),"Priority","Normal")</f>
        <v>Normal</v>
      </c>
      <c r="DI124" s="3">
        <f t="shared" ca="1" si="9"/>
        <v>0.14957951755423138</v>
      </c>
      <c r="DJ124" s="3">
        <f t="shared" ca="1" si="10"/>
        <v>49</v>
      </c>
      <c r="DK124" s="3"/>
      <c r="DL124" s="3"/>
      <c r="DM124" s="3"/>
      <c r="DN124" s="3"/>
      <c r="DO124" s="3"/>
      <c r="DP124" s="3"/>
    </row>
    <row r="125" spans="1:120">
      <c r="A125" t="s">
        <v>773</v>
      </c>
      <c r="B125" t="str">
        <f>REPLACE(Table1[[#This Row],[Order_ID]],1,3,"YOO")</f>
        <v>YOO10124</v>
      </c>
      <c r="C125" t="str">
        <f>MID(Table1[[#This Row],[Order_ID]],4,4)</f>
        <v>1012</v>
      </c>
      <c r="D125" t="str">
        <f>LEFT(Table1[[#This Row],[Order_ID]],4)</f>
        <v>ORD1</v>
      </c>
      <c r="E125" t="str">
        <f>RIGHT(Table1[[#This Row],[Order_ID]],5)</f>
        <v>10124</v>
      </c>
      <c r="F125" t="s">
        <v>5</v>
      </c>
      <c r="G125">
        <v>10124</v>
      </c>
      <c r="H125" t="s">
        <v>774</v>
      </c>
      <c r="I125" s="2">
        <f>EDATE(Table1[[#This Row],[Order_Date]],3)</f>
        <v>46201</v>
      </c>
      <c r="J125" s="2">
        <f>EDATE(Table1[[#This Row],[Order_Date]],6)</f>
        <v>46293</v>
      </c>
      <c r="K125">
        <f ca="1">YEAR(Table1[[#This Row],[Today]])</f>
        <v>2026</v>
      </c>
      <c r="L125">
        <v>124</v>
      </c>
      <c r="M125">
        <f ca="1">DAY(Table1[[#This Row],[Today]])</f>
        <v>11</v>
      </c>
      <c r="N125" s="19">
        <f t="shared" ca="1" si="13"/>
        <v>46245.589795138891</v>
      </c>
      <c r="O125" s="2">
        <f t="shared" ca="1" si="8"/>
        <v>46245</v>
      </c>
      <c r="P125" s="17">
        <f ca="1">Table1[[#This Row],[Today]]-Table1[[#This Row],[Order_Date]]</f>
        <v>136</v>
      </c>
      <c r="Q125" s="2">
        <v>45781</v>
      </c>
      <c r="R125" s="2">
        <v>46109</v>
      </c>
      <c r="S125" s="6">
        <f t="shared" si="11"/>
        <v>2026</v>
      </c>
      <c r="T125" s="7" t="str">
        <f t="shared" si="12"/>
        <v>March</v>
      </c>
      <c r="U125" s="2">
        <f>WORKDAY(Table1[[#This Row],[Order_Date]],5)</f>
        <v>46115</v>
      </c>
      <c r="V125" s="7" t="str">
        <f>CONCATENATE(Table1[[#This Row],[Customer_ID]],Table1[[#This Row],[Customer_Name]])</f>
        <v>C1042Karan Patel</v>
      </c>
      <c r="W125" t="s">
        <v>383</v>
      </c>
      <c r="X125" t="s">
        <v>280</v>
      </c>
      <c r="Y125">
        <f>COUNTA(Table1[[#This Row],[Customer_Name]])</f>
        <v>1</v>
      </c>
      <c r="Z125" t="str">
        <f>SUBSTITUTE(Table1[[#This Row],[Customer_Name]]," ","_")</f>
        <v>Karan_Patel</v>
      </c>
      <c r="AA125" s="10">
        <f>IFERROR(SEARCH("a",Table1[[#This Row],[Customer_Name]]),"N/A")</f>
        <v>2</v>
      </c>
      <c r="AB125">
        <f>SEARCH(" ",Table1[[#This Row],[Customer_Name]])</f>
        <v>6</v>
      </c>
      <c r="AC125" s="11">
        <f>IFERROR(FIND("a",Table1[[#This Row],[Customer_Name]]),"N/A")</f>
        <v>2</v>
      </c>
      <c r="AD125">
        <f>FIND(" ",Table1[[#This Row],[Customer_Name]])</f>
        <v>6</v>
      </c>
      <c r="AE125" t="str">
        <f>TRIM(Table1[[#This Row],[Customer_Name]])</f>
        <v>Karan Patel</v>
      </c>
      <c r="AF125">
        <f>LEN(Table1[[#This Row],[Trimmed]])</f>
        <v>11</v>
      </c>
      <c r="AG125">
        <f>MAX(Table1[Length])</f>
        <v>15</v>
      </c>
      <c r="AH125" t="str">
        <f>PROPER(Table1[[#This Row],[Customer_Name]])</f>
        <v>Karan Patel</v>
      </c>
      <c r="AI125" t="str">
        <f>LOWER(Table1[[#This Row],[Customer_Name]])</f>
        <v>karan patel</v>
      </c>
      <c r="AJ125" t="str">
        <f>UPPER(Table1[[#This Row],[Customer_Name]])</f>
        <v>KARAN PATEL</v>
      </c>
      <c r="AK125" t="str">
        <f>CONCATENATE(Table1[[#This Row],[Customer_ID]],Table1[[#This Row],[Customer_Name]])</f>
        <v>C1042Karan Patel</v>
      </c>
      <c r="AL125" t="s">
        <v>281</v>
      </c>
      <c r="AM125" t="s">
        <v>282</v>
      </c>
      <c r="AN125" t="s">
        <v>283</v>
      </c>
      <c r="AO125" t="s">
        <v>281</v>
      </c>
      <c r="AP125" t="s">
        <v>282</v>
      </c>
      <c r="AQ125" t="s">
        <v>199</v>
      </c>
      <c r="AR125" t="str">
        <f>TRIM(Table1[[#This Row],[City]])</f>
        <v>Lucknow</v>
      </c>
      <c r="AS125" t="str">
        <f>PROPER(Table1[[#This Row],[City]])</f>
        <v>Lucknow</v>
      </c>
      <c r="AT125" t="s">
        <v>200</v>
      </c>
      <c r="AU125" t="str">
        <f>CONCATENATE(Table1[[#This Row],[City]],Table1[[#This Row],[State]])</f>
        <v>LucknowUttar Pradesh</v>
      </c>
      <c r="AV125" t="s">
        <v>150</v>
      </c>
      <c r="AW125" t="s">
        <v>221</v>
      </c>
      <c r="AX125" t="str">
        <f>REPLACE(Table1[[#This Row],[Product_ID]],1,1,"s")</f>
        <v>s106</v>
      </c>
      <c r="AY125" t="s">
        <v>775</v>
      </c>
      <c r="AZ125">
        <f>SEARCH("-",Table1[[#This Row],[Product ID]])</f>
        <v>2</v>
      </c>
      <c r="BA125">
        <f>FIND("-",Table1[[#This Row],[Product ID]])</f>
        <v>2</v>
      </c>
      <c r="BB125" t="str">
        <f>MID(Table1[[#This Row],[Product_ID]],2,3)</f>
        <v>106</v>
      </c>
      <c r="BC125" t="str">
        <f>RIGHT(Table1[[#This Row],[Product_ID]],3)</f>
        <v>106</v>
      </c>
      <c r="BD125" t="str">
        <f>LEFT(Table1[[#This Row],[Product_ID]],3)</f>
        <v>P10</v>
      </c>
      <c r="BE125" t="str">
        <f>_xlfn.XLOOKUP(Table1[[#This Row],[Product_ID]],AW:AW,BF:BF,,0)</f>
        <v>Running Shoes</v>
      </c>
      <c r="BF125" t="s">
        <v>223</v>
      </c>
      <c r="BG125">
        <f>LEN(Table1[[#This Row],[Product_Name]])</f>
        <v>13</v>
      </c>
      <c r="BH125" t="s">
        <v>224</v>
      </c>
      <c r="BI125">
        <f t="shared" si="14"/>
        <v>75</v>
      </c>
      <c r="BJ125" t="str">
        <f>SUBSTITUTE(Table1[[#This Row],[Category]],"Electronics","ELECTRONICS")</f>
        <v>Fashion</v>
      </c>
      <c r="BN125" t="s">
        <v>225</v>
      </c>
      <c r="BS125" s="14">
        <v>4</v>
      </c>
      <c r="BT125" s="3">
        <v>3499</v>
      </c>
      <c r="BU125" s="4">
        <v>10</v>
      </c>
      <c r="BV125" s="4" t="str">
        <f>IF(AND(Table1[[#This Row],[Quantity]]&gt;=3,Table1[[#This Row],[Discount_%]]&gt;=15%),"Bulk Discount","no")</f>
        <v>Bulk Discount</v>
      </c>
      <c r="BW125" s="4" t="str">
        <f>IF(AND(Table1[[#This Row],[Quantity]]&gt;3,Table1[[#This Row],[Discount_%]]&gt;15%),"Bulk Customer","Normal")</f>
        <v>Bulk Customer</v>
      </c>
      <c r="BX125" t="s">
        <v>135</v>
      </c>
      <c r="BY125" t="s">
        <v>193</v>
      </c>
      <c r="CC125" t="str">
        <f>IF(OR(Table1[[#This Row],[Order_Status]]="Returned",Table1[[#This Row],[Order_Status]]="Cancelled"),"Attention Required","Not")</f>
        <v>Not</v>
      </c>
      <c r="CD125" t="str">
        <f>IF(OR(Table1[[#This Row],[Order_Status]]="Returned",Table1[[#This Row],[Order_Status]]="Cancelled"),"Review","no")</f>
        <v>no</v>
      </c>
      <c r="CE125" t="str">
        <f>SUBSTITUTE(Table1[[#This Row],[Order_Status]],"Delivered","Completed")</f>
        <v>Shipped</v>
      </c>
      <c r="CF125" s="2">
        <v>46116</v>
      </c>
      <c r="CG125" s="17">
        <f>NETWORKDAYS(Table1[[#This Row],[Order_Date]],Table1[[#This Row],[Delivery_Date]])</f>
        <v>5</v>
      </c>
      <c r="CH125" s="17">
        <f>Table1[[#This Row],[Delivery_Date]]-Table1[[#This Row],[Order_Date]]</f>
        <v>7</v>
      </c>
      <c r="CI125" t="s">
        <v>137</v>
      </c>
      <c r="CJ125" t="str">
        <f>IF(Table1[[#This Row],[Rating]]&gt;=4,"Good","Needs Improvement")</f>
        <v>Good</v>
      </c>
      <c r="CK125" t="str">
        <f>IF(OR(Table1[[#This Row],[Rating]]&lt;=2,Table1[[#This Row],[Profit]]&lt;0),"Review","NO")</f>
        <v>NO</v>
      </c>
      <c r="CL125" t="str" cm="1">
        <f t="array" ref="CL125">_xlfn.IFS(Table1[[#This Row],[Rating]]&gt;2,"Poor",Table1[[#This Row],[Rating]]=3,"Average",Table1[[#This Row],[Rating]]=4,"Good",CP125=5,"Excellent")</f>
        <v>Poor</v>
      </c>
      <c r="CM125">
        <f>COUNT(Table1[[#This Row],[Rating]])</f>
        <v>1</v>
      </c>
      <c r="CN125">
        <f>COUNTBLANK(Table1[[#This Row],[Rating]])</f>
        <v>0</v>
      </c>
      <c r="CP125" t="s">
        <v>194</v>
      </c>
      <c r="CQ125" s="14">
        <v>5</v>
      </c>
      <c r="CR125" t="s">
        <v>173</v>
      </c>
      <c r="CS125" t="s">
        <v>140</v>
      </c>
      <c r="CU125" s="3">
        <v>12596.4</v>
      </c>
      <c r="CV125" s="3">
        <f>ROUND(Table1[[#This Row],[Sales_Amount]],0)</f>
        <v>12596</v>
      </c>
      <c r="CW125" s="3"/>
      <c r="CX125" s="3"/>
      <c r="CY125" s="3" t="str">
        <f>IF(AND(Table1[[#This Row],[Sales_Amount]]&gt;=10000,Table1[[#This Row],[Profit]]&gt;0),"Good Order")</f>
        <v>Good Order</v>
      </c>
      <c r="CZ125" s="3" t="str">
        <f>IF(Table1[[#This Row],[Sales_Amount]]&gt;=10000,"High","Normal")</f>
        <v>High</v>
      </c>
      <c r="DA125" s="3">
        <v>4996.3999999999996</v>
      </c>
      <c r="DB125" s="3">
        <f>ROUND(Table1[[#This Row],[Profit]],0)</f>
        <v>4996</v>
      </c>
      <c r="DC125" s="3">
        <f>ABS(Table1[[#This Row],[Profit]])</f>
        <v>4996.3999999999996</v>
      </c>
      <c r="DD125" s="3"/>
      <c r="DE125" s="3"/>
      <c r="DF125" s="3"/>
      <c r="DG125" s="3" t="str">
        <f>IF(Table1[[#This Row],[Profit]]&gt;0,"Profit","Loss")</f>
        <v>Profit</v>
      </c>
      <c r="DH125" s="3" t="str">
        <f>IF(AND(Table1[[#This Row],[Sales_Amount]]&gt;=10000,Table1[[#This Row],[Profit]]&gt;0),"Priority","Normal")</f>
        <v>Priority</v>
      </c>
      <c r="DI125" s="3">
        <f t="shared" ca="1" si="9"/>
        <v>0.26958904318468779</v>
      </c>
      <c r="DJ125" s="3">
        <f t="shared" ca="1" si="10"/>
        <v>55</v>
      </c>
      <c r="DK125" s="3"/>
      <c r="DL125" s="3"/>
      <c r="DM125" s="3"/>
      <c r="DN125" s="3"/>
      <c r="DO125" s="3"/>
      <c r="DP125" s="3"/>
    </row>
    <row r="126" spans="1:120">
      <c r="A126" t="s">
        <v>776</v>
      </c>
      <c r="B126" t="str">
        <f>REPLACE(Table1[[#This Row],[Order_ID]],1,3,"YOO")</f>
        <v>YOO10125</v>
      </c>
      <c r="C126" t="str">
        <f>MID(Table1[[#This Row],[Order_ID]],4,4)</f>
        <v>1012</v>
      </c>
      <c r="D126" t="str">
        <f>LEFT(Table1[[#This Row],[Order_ID]],4)</f>
        <v>ORD1</v>
      </c>
      <c r="E126" t="str">
        <f>RIGHT(Table1[[#This Row],[Order_ID]],5)</f>
        <v>10125</v>
      </c>
      <c r="F126" t="s">
        <v>5</v>
      </c>
      <c r="G126">
        <v>10125</v>
      </c>
      <c r="H126" t="s">
        <v>777</v>
      </c>
      <c r="I126" s="2">
        <f>EDATE(Table1[[#This Row],[Order_Date]],3)</f>
        <v>46128</v>
      </c>
      <c r="J126" s="2">
        <f>EDATE(Table1[[#This Row],[Order_Date]],6)</f>
        <v>46219</v>
      </c>
      <c r="K126">
        <f ca="1">YEAR(Table1[[#This Row],[Today]])</f>
        <v>2026</v>
      </c>
      <c r="L126">
        <v>125</v>
      </c>
      <c r="M126">
        <f ca="1">DAY(Table1[[#This Row],[Today]])</f>
        <v>11</v>
      </c>
      <c r="N126" s="19">
        <f t="shared" ca="1" si="13"/>
        <v>46245.589795370368</v>
      </c>
      <c r="O126" s="2">
        <f t="shared" ca="1" si="8"/>
        <v>46245</v>
      </c>
      <c r="P126" s="17">
        <f ca="1">Table1[[#This Row],[Today]]-Table1[[#This Row],[Order_Date]]</f>
        <v>207</v>
      </c>
      <c r="Q126" s="2">
        <v>45782</v>
      </c>
      <c r="R126" s="2">
        <v>46038</v>
      </c>
      <c r="S126" s="6">
        <f t="shared" si="11"/>
        <v>2026</v>
      </c>
      <c r="T126" s="7" t="str">
        <f t="shared" si="12"/>
        <v>January</v>
      </c>
      <c r="U126" s="2">
        <f>WORKDAY(Table1[[#This Row],[Order_Date]],5)</f>
        <v>46045</v>
      </c>
      <c r="V126" s="7" t="str">
        <f>CONCATENATE(Table1[[#This Row],[Customer_ID]],Table1[[#This Row],[Customer_Name]])</f>
        <v>C1022Simran Kaur</v>
      </c>
      <c r="W126" t="s">
        <v>270</v>
      </c>
      <c r="X126" t="s">
        <v>325</v>
      </c>
      <c r="Y126">
        <f>COUNTA(Table1[[#This Row],[Customer_Name]])</f>
        <v>1</v>
      </c>
      <c r="Z126" t="str">
        <f>SUBSTITUTE(Table1[[#This Row],[Customer_Name]]," ","_")</f>
        <v>Simran_Kaur</v>
      </c>
      <c r="AA126" s="10">
        <f>IFERROR(SEARCH("a",Table1[[#This Row],[Customer_Name]]),"N/A")</f>
        <v>5</v>
      </c>
      <c r="AB126">
        <f>SEARCH(" ",Table1[[#This Row],[Customer_Name]])</f>
        <v>7</v>
      </c>
      <c r="AC126" s="11">
        <f>IFERROR(FIND("a",Table1[[#This Row],[Customer_Name]]),"N/A")</f>
        <v>5</v>
      </c>
      <c r="AD126">
        <f>FIND(" ",Table1[[#This Row],[Customer_Name]])</f>
        <v>7</v>
      </c>
      <c r="AE126" t="str">
        <f>TRIM(Table1[[#This Row],[Customer_Name]])</f>
        <v>Simran Kaur</v>
      </c>
      <c r="AF126">
        <f>LEN(Table1[[#This Row],[Trimmed]])</f>
        <v>11</v>
      </c>
      <c r="AG126">
        <f>MAX(Table1[Length])</f>
        <v>15</v>
      </c>
      <c r="AH126" t="str">
        <f>PROPER(Table1[[#This Row],[Customer_Name]])</f>
        <v>Simran Kaur</v>
      </c>
      <c r="AI126" t="str">
        <f>LOWER(Table1[[#This Row],[Customer_Name]])</f>
        <v>simran kaur</v>
      </c>
      <c r="AJ126" t="str">
        <f>UPPER(Table1[[#This Row],[Customer_Name]])</f>
        <v>SIMRAN KAUR</v>
      </c>
      <c r="AK126" t="str">
        <f>CONCATENATE(Table1[[#This Row],[Customer_ID]],Table1[[#This Row],[Customer_Name]])</f>
        <v>C1022Simran Kaur</v>
      </c>
      <c r="AL126" t="s">
        <v>326</v>
      </c>
      <c r="AM126" t="s">
        <v>327</v>
      </c>
      <c r="AN126" t="s">
        <v>328</v>
      </c>
      <c r="AO126" t="s">
        <v>326</v>
      </c>
      <c r="AP126" t="s">
        <v>327</v>
      </c>
      <c r="AQ126" t="s">
        <v>284</v>
      </c>
      <c r="AR126" t="str">
        <f>TRIM(Table1[[#This Row],[City]])</f>
        <v>Hyderabad</v>
      </c>
      <c r="AS126" t="str">
        <f>PROPER(Table1[[#This Row],[City]])</f>
        <v>Hyderabad</v>
      </c>
      <c r="AT126" t="s">
        <v>285</v>
      </c>
      <c r="AU126" t="str">
        <f>CONCATENATE(Table1[[#This Row],[City]],Table1[[#This Row],[State]])</f>
        <v>HyderabadTelangana</v>
      </c>
      <c r="AV126" t="s">
        <v>168</v>
      </c>
      <c r="AW126" t="s">
        <v>130</v>
      </c>
      <c r="AX126" t="str">
        <f>REPLACE(Table1[[#This Row],[Product_ID]],1,1,"s")</f>
        <v>s111</v>
      </c>
      <c r="AY126" t="s">
        <v>778</v>
      </c>
      <c r="AZ126">
        <f>SEARCH("-",Table1[[#This Row],[Product ID]])</f>
        <v>2</v>
      </c>
      <c r="BA126">
        <f>FIND("-",Table1[[#This Row],[Product ID]])</f>
        <v>2</v>
      </c>
      <c r="BB126" t="str">
        <f>MID(Table1[[#This Row],[Product_ID]],2,3)</f>
        <v>111</v>
      </c>
      <c r="BC126" t="str">
        <f>RIGHT(Table1[[#This Row],[Product_ID]],3)</f>
        <v>111</v>
      </c>
      <c r="BD126" t="str">
        <f>LEFT(Table1[[#This Row],[Product_ID]],3)</f>
        <v>P11</v>
      </c>
      <c r="BE126" t="str">
        <f>_xlfn.XLOOKUP(Table1[[#This Row],[Product_ID]],AW:AW,BF:BF,,0)</f>
        <v>Coffee Maker</v>
      </c>
      <c r="BF126" t="s">
        <v>132</v>
      </c>
      <c r="BG126">
        <f>LEN(Table1[[#This Row],[Product_Name]])</f>
        <v>12</v>
      </c>
      <c r="BH126" t="s">
        <v>133</v>
      </c>
      <c r="BI126">
        <f t="shared" si="14"/>
        <v>75</v>
      </c>
      <c r="BJ126" t="str">
        <f>SUBSTITUTE(Table1[[#This Row],[Category]],"Electronics","ELECTRONICS")</f>
        <v>Home</v>
      </c>
      <c r="BN126" t="s">
        <v>134</v>
      </c>
      <c r="BS126" s="14">
        <v>5</v>
      </c>
      <c r="BT126" s="3">
        <v>3999</v>
      </c>
      <c r="BU126" s="4">
        <v>0</v>
      </c>
      <c r="BV126" s="4" t="str">
        <f>IF(AND(Table1[[#This Row],[Quantity]]&gt;=3,Table1[[#This Row],[Discount_%]]&gt;=15%),"Bulk Discount","no")</f>
        <v>no</v>
      </c>
      <c r="BW126" s="4" t="str">
        <f>IF(AND(Table1[[#This Row],[Quantity]]&gt;3,Table1[[#This Row],[Discount_%]]&gt;15%),"Bulk Customer","Normal")</f>
        <v>Normal</v>
      </c>
      <c r="BX126" t="s">
        <v>192</v>
      </c>
      <c r="BY126" t="s">
        <v>374</v>
      </c>
      <c r="CC126" t="str">
        <f>IF(OR(Table1[[#This Row],[Order_Status]]="Returned",Table1[[#This Row],[Order_Status]]="Cancelled"),"Attention Required","Not")</f>
        <v>Attention Required</v>
      </c>
      <c r="CD126" t="str">
        <f>IF(OR(Table1[[#This Row],[Order_Status]]="Returned",Table1[[#This Row],[Order_Status]]="Cancelled"),"Review","no")</f>
        <v>Review</v>
      </c>
      <c r="CE126" t="str">
        <f>SUBSTITUTE(Table1[[#This Row],[Order_Status]],"Delivered","Completed")</f>
        <v>Returned</v>
      </c>
      <c r="CF126" s="2">
        <v>46040</v>
      </c>
      <c r="CG126" s="17">
        <f>NETWORKDAYS(Table1[[#This Row],[Order_Date]],Table1[[#This Row],[Delivery_Date]])</f>
        <v>1</v>
      </c>
      <c r="CH126" s="17">
        <f>Table1[[#This Row],[Delivery_Date]]-Table1[[#This Row],[Order_Date]]</f>
        <v>2</v>
      </c>
      <c r="CI126" t="s">
        <v>375</v>
      </c>
      <c r="CJ126" t="str">
        <f>IF(Table1[[#This Row],[Rating]]&gt;=4,"Good","Needs Improvement")</f>
        <v>Good</v>
      </c>
      <c r="CK126" t="str">
        <f>IF(OR(Table1[[#This Row],[Rating]]&lt;=2,Table1[[#This Row],[Profit]]&lt;0),"Review","NO")</f>
        <v>NO</v>
      </c>
      <c r="CL126" t="str" cm="1">
        <f t="array" ref="CL126">_xlfn.IFS(Table1[[#This Row],[Rating]]&gt;2,"Poor",Table1[[#This Row],[Rating]]=3,"Average",Table1[[#This Row],[Rating]]=4,"Good",CP126=5,"Excellent")</f>
        <v>Poor</v>
      </c>
      <c r="CM126">
        <f>COUNT(Table1[[#This Row],[Rating]])</f>
        <v>1</v>
      </c>
      <c r="CN126">
        <f>COUNTBLANK(Table1[[#This Row],[Rating]])</f>
        <v>0</v>
      </c>
      <c r="CP126" t="s">
        <v>138</v>
      </c>
      <c r="CQ126" s="14">
        <v>4</v>
      </c>
      <c r="CR126" t="s">
        <v>204</v>
      </c>
      <c r="CS126" t="s">
        <v>158</v>
      </c>
      <c r="CU126" s="3">
        <v>19995</v>
      </c>
      <c r="CV126" s="3">
        <f>ROUND(Table1[[#This Row],[Sales_Amount]],0)</f>
        <v>19995</v>
      </c>
      <c r="CW126" s="3"/>
      <c r="CX126" s="3"/>
      <c r="CY126" s="3" t="str">
        <f>IF(AND(Table1[[#This Row],[Sales_Amount]]&gt;=10000,Table1[[#This Row],[Profit]]&gt;0),"Good Order")</f>
        <v>Good Order</v>
      </c>
      <c r="CZ126" s="3" t="str">
        <f>IF(Table1[[#This Row],[Sales_Amount]]&gt;=10000,"High","Normal")</f>
        <v>High</v>
      </c>
      <c r="DA126" s="3">
        <v>7495</v>
      </c>
      <c r="DB126" s="3">
        <f>ROUND(Table1[[#This Row],[Profit]],0)</f>
        <v>7495</v>
      </c>
      <c r="DC126" s="3">
        <f>ABS(Table1[[#This Row],[Profit]])</f>
        <v>7495</v>
      </c>
      <c r="DD126" s="3"/>
      <c r="DE126" s="3"/>
      <c r="DF126" s="3"/>
      <c r="DG126" s="3" t="str">
        <f>IF(Table1[[#This Row],[Profit]]&gt;0,"Profit","Loss")</f>
        <v>Profit</v>
      </c>
      <c r="DH126" s="3" t="str">
        <f>IF(AND(Table1[[#This Row],[Sales_Amount]]&gt;=10000,Table1[[#This Row],[Profit]]&gt;0),"Priority","Normal")</f>
        <v>Priority</v>
      </c>
      <c r="DI126" s="3">
        <f t="shared" ca="1" si="9"/>
        <v>0.90642352940740689</v>
      </c>
      <c r="DJ126" s="3">
        <f t="shared" ca="1" si="10"/>
        <v>88</v>
      </c>
      <c r="DK126" s="3"/>
      <c r="DL126" s="3"/>
      <c r="DM126" s="3"/>
      <c r="DN126" s="3"/>
      <c r="DO126" s="3"/>
      <c r="DP126" s="3"/>
    </row>
    <row r="127" spans="1:120">
      <c r="A127" t="s">
        <v>779</v>
      </c>
      <c r="B127" t="str">
        <f>REPLACE(Table1[[#This Row],[Order_ID]],1,3,"YOO")</f>
        <v>YOO10126</v>
      </c>
      <c r="C127" t="str">
        <f>MID(Table1[[#This Row],[Order_ID]],4,4)</f>
        <v>1012</v>
      </c>
      <c r="D127" t="str">
        <f>LEFT(Table1[[#This Row],[Order_ID]],4)</f>
        <v>ORD1</v>
      </c>
      <c r="E127" t="str">
        <f>RIGHT(Table1[[#This Row],[Order_ID]],5)</f>
        <v>10126</v>
      </c>
      <c r="F127" t="s">
        <v>5</v>
      </c>
      <c r="G127">
        <v>10126</v>
      </c>
      <c r="H127" t="s">
        <v>780</v>
      </c>
      <c r="I127" s="2">
        <f>EDATE(Table1[[#This Row],[Order_Date]],3)</f>
        <v>45842</v>
      </c>
      <c r="J127" s="2">
        <f>EDATE(Table1[[#This Row],[Order_Date]],6)</f>
        <v>45934</v>
      </c>
      <c r="K127">
        <f ca="1">YEAR(Table1[[#This Row],[Today]])</f>
        <v>2026</v>
      </c>
      <c r="L127">
        <v>126</v>
      </c>
      <c r="M127">
        <f ca="1">DAY(Table1[[#This Row],[Today]])</f>
        <v>11</v>
      </c>
      <c r="N127" s="19">
        <f t="shared" ca="1" si="13"/>
        <v>46245.589795370368</v>
      </c>
      <c r="O127" s="2">
        <f t="shared" ca="1" si="8"/>
        <v>46245</v>
      </c>
      <c r="P127" s="17">
        <f ca="1">Table1[[#This Row],[Today]]-Table1[[#This Row],[Order_Date]]</f>
        <v>494</v>
      </c>
      <c r="Q127" s="2">
        <v>45783</v>
      </c>
      <c r="R127" s="2">
        <v>45751</v>
      </c>
      <c r="S127" s="6">
        <f t="shared" si="11"/>
        <v>2025</v>
      </c>
      <c r="T127" s="7" t="str">
        <f t="shared" si="12"/>
        <v>April</v>
      </c>
      <c r="U127" s="2">
        <f>WORKDAY(Table1[[#This Row],[Order_Date]],5)</f>
        <v>45758</v>
      </c>
      <c r="V127" s="7" t="str">
        <f>CONCATENATE(Table1[[#This Row],[Customer_ID]],Table1[[#This Row],[Customer_Name]])</f>
        <v>C1014Mohit Khan</v>
      </c>
      <c r="W127" t="s">
        <v>576</v>
      </c>
      <c r="X127" t="s">
        <v>162</v>
      </c>
      <c r="Y127">
        <f>COUNTA(Table1[[#This Row],[Customer_Name]])</f>
        <v>1</v>
      </c>
      <c r="Z127" t="str">
        <f>SUBSTITUTE(Table1[[#This Row],[Customer_Name]]," ","_")</f>
        <v>Mohit_Khan</v>
      </c>
      <c r="AA127" s="10">
        <f>IFERROR(SEARCH("a",Table1[[#This Row],[Customer_Name]]),"N/A")</f>
        <v>9</v>
      </c>
      <c r="AB127">
        <f>SEARCH(" ",Table1[[#This Row],[Customer_Name]])</f>
        <v>6</v>
      </c>
      <c r="AC127" s="11">
        <f>IFERROR(FIND("a",Table1[[#This Row],[Customer_Name]]),"N/A")</f>
        <v>9</v>
      </c>
      <c r="AD127">
        <f>FIND(" ",Table1[[#This Row],[Customer_Name]])</f>
        <v>6</v>
      </c>
      <c r="AE127" t="str">
        <f>TRIM(Table1[[#This Row],[Customer_Name]])</f>
        <v>Mohit Khan</v>
      </c>
      <c r="AF127">
        <f>LEN(Table1[[#This Row],[Trimmed]])</f>
        <v>10</v>
      </c>
      <c r="AG127">
        <f>MAX(Table1[Length])</f>
        <v>15</v>
      </c>
      <c r="AH127" t="str">
        <f>PROPER(Table1[[#This Row],[Customer_Name]])</f>
        <v>Mohit Khan</v>
      </c>
      <c r="AI127" t="str">
        <f>LOWER(Table1[[#This Row],[Customer_Name]])</f>
        <v>mohit khan</v>
      </c>
      <c r="AJ127" t="str">
        <f>UPPER(Table1[[#This Row],[Customer_Name]])</f>
        <v>MOHIT KHAN</v>
      </c>
      <c r="AK127" t="str">
        <f>CONCATENATE(Table1[[#This Row],[Customer_ID]],Table1[[#This Row],[Customer_Name]])</f>
        <v>C1014Mohit Khan</v>
      </c>
      <c r="AL127" t="s">
        <v>163</v>
      </c>
      <c r="AM127" t="s">
        <v>164</v>
      </c>
      <c r="AN127" t="s">
        <v>165</v>
      </c>
      <c r="AO127" t="s">
        <v>163</v>
      </c>
      <c r="AP127" t="s">
        <v>164</v>
      </c>
      <c r="AQ127" t="s">
        <v>166</v>
      </c>
      <c r="AR127" t="str">
        <f>TRIM(Table1[[#This Row],[City]])</f>
        <v>Bengaluru</v>
      </c>
      <c r="AS127" t="str">
        <f>PROPER(Table1[[#This Row],[City]])</f>
        <v>Bengaluru</v>
      </c>
      <c r="AT127" t="s">
        <v>167</v>
      </c>
      <c r="AU127" t="str">
        <f>CONCATENATE(Table1[[#This Row],[City]],Table1[[#This Row],[State]])</f>
        <v>BengaluruKarnataka</v>
      </c>
      <c r="AV127" t="s">
        <v>168</v>
      </c>
      <c r="AW127" t="s">
        <v>261</v>
      </c>
      <c r="AX127" t="str">
        <f>REPLACE(Table1[[#This Row],[Product_ID]],1,1,"s")</f>
        <v>s114</v>
      </c>
      <c r="AY127" t="s">
        <v>781</v>
      </c>
      <c r="AZ127">
        <f>SEARCH("-",Table1[[#This Row],[Product ID]])</f>
        <v>2</v>
      </c>
      <c r="BA127">
        <f>FIND("-",Table1[[#This Row],[Product ID]])</f>
        <v>2</v>
      </c>
      <c r="BB127" t="str">
        <f>MID(Table1[[#This Row],[Product_ID]],2,3)</f>
        <v>114</v>
      </c>
      <c r="BC127" t="str">
        <f>RIGHT(Table1[[#This Row],[Product_ID]],3)</f>
        <v>114</v>
      </c>
      <c r="BD127" t="str">
        <f>LEFT(Table1[[#This Row],[Product_ID]],3)</f>
        <v>P11</v>
      </c>
      <c r="BE127" t="str">
        <f>_xlfn.XLOOKUP(Table1[[#This Row],[Product_ID]],AW:AW,BF:BF,,0)</f>
        <v>Yoga Mat</v>
      </c>
      <c r="BF127" t="s">
        <v>263</v>
      </c>
      <c r="BG127">
        <f>LEN(Table1[[#This Row],[Product_Name]])</f>
        <v>8</v>
      </c>
      <c r="BH127" t="s">
        <v>264</v>
      </c>
      <c r="BI127">
        <f t="shared" si="14"/>
        <v>75</v>
      </c>
      <c r="BJ127" t="str">
        <f>SUBSTITUTE(Table1[[#This Row],[Category]],"Electronics","ELECTRONICS")</f>
        <v>Sports</v>
      </c>
      <c r="BN127" t="s">
        <v>265</v>
      </c>
      <c r="BS127" s="14">
        <v>2</v>
      </c>
      <c r="BT127" s="3">
        <v>999</v>
      </c>
      <c r="BU127" s="4">
        <v>25</v>
      </c>
      <c r="BV127" s="4" t="str">
        <f>IF(AND(Table1[[#This Row],[Quantity]]&gt;=3,Table1[[#This Row],[Discount_%]]&gt;=15%),"Bulk Discount","no")</f>
        <v>no</v>
      </c>
      <c r="BW127" s="4" t="str">
        <f>IF(AND(Table1[[#This Row],[Quantity]]&gt;3,Table1[[#This Row],[Discount_%]]&gt;15%),"Bulk Customer","Normal")</f>
        <v>Normal</v>
      </c>
      <c r="BX127" t="s">
        <v>135</v>
      </c>
      <c r="BY127" t="s">
        <v>136</v>
      </c>
      <c r="CC127" t="str">
        <f>IF(OR(Table1[[#This Row],[Order_Status]]="Returned",Table1[[#This Row],[Order_Status]]="Cancelled"),"Attention Required","Not")</f>
        <v>Not</v>
      </c>
      <c r="CD127" t="str">
        <f>IF(OR(Table1[[#This Row],[Order_Status]]="Returned",Table1[[#This Row],[Order_Status]]="Cancelled"),"Review","no")</f>
        <v>no</v>
      </c>
      <c r="CE127" t="str">
        <f>SUBSTITUTE(Table1[[#This Row],[Order_Status]],"Delivered","Completed")</f>
        <v>Completed</v>
      </c>
      <c r="CF127" s="2">
        <v>45752</v>
      </c>
      <c r="CG127" s="17">
        <f>NETWORKDAYS(Table1[[#This Row],[Order_Date]],Table1[[#This Row],[Delivery_Date]])</f>
        <v>1</v>
      </c>
      <c r="CH127" s="17">
        <f>Table1[[#This Row],[Delivery_Date]]-Table1[[#This Row],[Order_Date]]</f>
        <v>1</v>
      </c>
      <c r="CI127" t="s">
        <v>137</v>
      </c>
      <c r="CJ127" t="str">
        <f>IF(Table1[[#This Row],[Rating]]&gt;=4,"Good","Needs Improvement")</f>
        <v>Good</v>
      </c>
      <c r="CK127" t="str">
        <f>IF(OR(Table1[[#This Row],[Rating]]&lt;=2,Table1[[#This Row],[Profit]]&lt;0),"Review","NO")</f>
        <v>NO</v>
      </c>
      <c r="CL127" t="str" cm="1">
        <f t="array" ref="CL127">_xlfn.IFS(Table1[[#This Row],[Rating]]&gt;2,"Poor",Table1[[#This Row],[Rating]]=3,"Average",Table1[[#This Row],[Rating]]=4,"Good",CP127=5,"Excellent")</f>
        <v>Poor</v>
      </c>
      <c r="CM127">
        <f>COUNT(Table1[[#This Row],[Rating]])</f>
        <v>1</v>
      </c>
      <c r="CN127">
        <f>COUNTBLANK(Table1[[#This Row],[Rating]])</f>
        <v>0</v>
      </c>
      <c r="CP127" t="s">
        <v>157</v>
      </c>
      <c r="CQ127" s="14">
        <v>5</v>
      </c>
      <c r="CR127" t="s">
        <v>139</v>
      </c>
      <c r="CS127" t="s">
        <v>267</v>
      </c>
      <c r="CU127" s="3">
        <v>1498.5</v>
      </c>
      <c r="CV127" s="3">
        <f>ROUND(Table1[[#This Row],[Sales_Amount]],0)</f>
        <v>1499</v>
      </c>
      <c r="CW127" s="3"/>
      <c r="CX127" s="3"/>
      <c r="CY127" s="3" t="b">
        <f>IF(AND(Table1[[#This Row],[Sales_Amount]]&gt;=10000,Table1[[#This Row],[Profit]]&gt;0),"Good Order")</f>
        <v>0</v>
      </c>
      <c r="CZ127" s="3" t="str">
        <f>IF(Table1[[#This Row],[Sales_Amount]]&gt;=10000,"High","Normal")</f>
        <v>Normal</v>
      </c>
      <c r="DA127" s="3">
        <v>598.5</v>
      </c>
      <c r="DB127" s="3">
        <f>ROUND(Table1[[#This Row],[Profit]],0)</f>
        <v>599</v>
      </c>
      <c r="DC127" s="3">
        <f>ABS(Table1[[#This Row],[Profit]])</f>
        <v>598.5</v>
      </c>
      <c r="DD127" s="3"/>
      <c r="DE127" s="3"/>
      <c r="DF127" s="3"/>
      <c r="DG127" s="3" t="str">
        <f>IF(Table1[[#This Row],[Profit]]&gt;0,"Profit","Loss")</f>
        <v>Profit</v>
      </c>
      <c r="DH127" s="3" t="str">
        <f>IF(AND(Table1[[#This Row],[Sales_Amount]]&gt;=10000,Table1[[#This Row],[Profit]]&gt;0),"Priority","Normal")</f>
        <v>Normal</v>
      </c>
      <c r="DI127" s="3">
        <f t="shared" ca="1" si="9"/>
        <v>0.9388480411064879</v>
      </c>
      <c r="DJ127" s="3">
        <f t="shared" ca="1" si="10"/>
        <v>14</v>
      </c>
      <c r="DK127" s="3"/>
      <c r="DL127" s="3"/>
      <c r="DM127" s="3"/>
      <c r="DN127" s="3"/>
      <c r="DO127" s="3"/>
      <c r="DP127" s="3"/>
    </row>
    <row r="128" spans="1:120">
      <c r="A128" t="s">
        <v>782</v>
      </c>
      <c r="B128" t="str">
        <f>REPLACE(Table1[[#This Row],[Order_ID]],1,3,"YOO")</f>
        <v>YOO10127</v>
      </c>
      <c r="C128" t="str">
        <f>MID(Table1[[#This Row],[Order_ID]],4,4)</f>
        <v>1012</v>
      </c>
      <c r="D128" t="str">
        <f>LEFT(Table1[[#This Row],[Order_ID]],4)</f>
        <v>ORD1</v>
      </c>
      <c r="E128" t="str">
        <f>RIGHT(Table1[[#This Row],[Order_ID]],5)</f>
        <v>10127</v>
      </c>
      <c r="F128" t="s">
        <v>5</v>
      </c>
      <c r="G128">
        <v>10127</v>
      </c>
      <c r="H128" t="s">
        <v>783</v>
      </c>
      <c r="I128" s="2">
        <f>EDATE(Table1[[#This Row],[Order_Date]],3)</f>
        <v>45979</v>
      </c>
      <c r="J128" s="2">
        <f>EDATE(Table1[[#This Row],[Order_Date]],6)</f>
        <v>46071</v>
      </c>
      <c r="K128">
        <f ca="1">YEAR(Table1[[#This Row],[Today]])</f>
        <v>2026</v>
      </c>
      <c r="L128">
        <v>127</v>
      </c>
      <c r="M128">
        <f ca="1">DAY(Table1[[#This Row],[Today]])</f>
        <v>11</v>
      </c>
      <c r="N128" s="19">
        <f t="shared" ca="1" si="13"/>
        <v>46245.589795138891</v>
      </c>
      <c r="O128" s="2">
        <f t="shared" ca="1" si="8"/>
        <v>46245</v>
      </c>
      <c r="P128" s="17">
        <f ca="1">Table1[[#This Row],[Today]]-Table1[[#This Row],[Order_Date]]</f>
        <v>358</v>
      </c>
      <c r="Q128" s="2">
        <v>45784</v>
      </c>
      <c r="R128" s="2">
        <v>45887</v>
      </c>
      <c r="S128" s="6">
        <f t="shared" si="11"/>
        <v>2025</v>
      </c>
      <c r="T128" s="7" t="str">
        <f t="shared" si="12"/>
        <v>August</v>
      </c>
      <c r="U128" s="2">
        <f>WORKDAY(Table1[[#This Row],[Order_Date]],5)</f>
        <v>45894</v>
      </c>
      <c r="V128" s="7" t="str">
        <f>CONCATENATE(Table1[[#This Row],[Customer_ID]],Table1[[#This Row],[Customer_Name]])</f>
        <v>C1036Priya Verma</v>
      </c>
      <c r="W128" t="s">
        <v>637</v>
      </c>
      <c r="X128" t="s">
        <v>335</v>
      </c>
      <c r="Y128">
        <f>COUNTA(Table1[[#This Row],[Customer_Name]])</f>
        <v>1</v>
      </c>
      <c r="Z128" t="str">
        <f>SUBSTITUTE(Table1[[#This Row],[Customer_Name]]," ","_")</f>
        <v>Priya_Verma</v>
      </c>
      <c r="AA128" s="10">
        <f>IFERROR(SEARCH("a",Table1[[#This Row],[Customer_Name]]),"N/A")</f>
        <v>5</v>
      </c>
      <c r="AB128">
        <f>SEARCH(" ",Table1[[#This Row],[Customer_Name]])</f>
        <v>6</v>
      </c>
      <c r="AC128" s="11">
        <f>IFERROR(FIND("a",Table1[[#This Row],[Customer_Name]]),"N/A")</f>
        <v>5</v>
      </c>
      <c r="AD128">
        <f>FIND(" ",Table1[[#This Row],[Customer_Name]])</f>
        <v>6</v>
      </c>
      <c r="AE128" t="str">
        <f>TRIM(Table1[[#This Row],[Customer_Name]])</f>
        <v>Priya Verma</v>
      </c>
      <c r="AF128">
        <f>LEN(Table1[[#This Row],[Trimmed]])</f>
        <v>11</v>
      </c>
      <c r="AG128">
        <f>MAX(Table1[Length])</f>
        <v>15</v>
      </c>
      <c r="AH128" t="str">
        <f>PROPER(Table1[[#This Row],[Customer_Name]])</f>
        <v>Priya Verma</v>
      </c>
      <c r="AI128" t="str">
        <f>LOWER(Table1[[#This Row],[Customer_Name]])</f>
        <v>priya verma</v>
      </c>
      <c r="AJ128" t="str">
        <f>UPPER(Table1[[#This Row],[Customer_Name]])</f>
        <v>PRIYA VERMA</v>
      </c>
      <c r="AK128" t="str">
        <f>CONCATENATE(Table1[[#This Row],[Customer_ID]],Table1[[#This Row],[Customer_Name]])</f>
        <v>C1036Priya Verma</v>
      </c>
      <c r="AL128" t="s">
        <v>174</v>
      </c>
      <c r="AM128" t="s">
        <v>336</v>
      </c>
      <c r="AN128" t="s">
        <v>337</v>
      </c>
      <c r="AO128" t="s">
        <v>174</v>
      </c>
      <c r="AP128" t="s">
        <v>336</v>
      </c>
      <c r="AQ128" t="s">
        <v>344</v>
      </c>
      <c r="AR128" t="str">
        <f>TRIM(Table1[[#This Row],[City]])</f>
        <v>Bhopal</v>
      </c>
      <c r="AS128" t="str">
        <f>PROPER(Table1[[#This Row],[City]])</f>
        <v>Bhopal</v>
      </c>
      <c r="AT128" t="s">
        <v>345</v>
      </c>
      <c r="AU128" t="str">
        <f>CONCATENATE(Table1[[#This Row],[City]],Table1[[#This Row],[State]])</f>
        <v>BhopalMadhya Pradesh</v>
      </c>
      <c r="AV128" t="s">
        <v>346</v>
      </c>
      <c r="AW128" t="s">
        <v>151</v>
      </c>
      <c r="AX128" t="str">
        <f>REPLACE(Table1[[#This Row],[Product_ID]],1,1,"s")</f>
        <v>s102</v>
      </c>
      <c r="AY128" t="s">
        <v>784</v>
      </c>
      <c r="AZ128">
        <f>SEARCH("-",Table1[[#This Row],[Product ID]])</f>
        <v>2</v>
      </c>
      <c r="BA128">
        <f>FIND("-",Table1[[#This Row],[Product ID]])</f>
        <v>2</v>
      </c>
      <c r="BB128" t="str">
        <f>MID(Table1[[#This Row],[Product_ID]],2,3)</f>
        <v>102</v>
      </c>
      <c r="BC128" t="str">
        <f>RIGHT(Table1[[#This Row],[Product_ID]],3)</f>
        <v>102</v>
      </c>
      <c r="BD128" t="str">
        <f>LEFT(Table1[[#This Row],[Product_ID]],3)</f>
        <v>P10</v>
      </c>
      <c r="BE128" t="str">
        <f>_xlfn.XLOOKUP(Table1[[#This Row],[Product_ID]],AW:AW,BF:BF,,0)</f>
        <v>Mechanical Keyboard</v>
      </c>
      <c r="BF128" t="s">
        <v>153</v>
      </c>
      <c r="BG128">
        <f>LEN(Table1[[#This Row],[Product_Name]])</f>
        <v>19</v>
      </c>
      <c r="BH128" t="s">
        <v>154</v>
      </c>
      <c r="BI128">
        <f t="shared" si="14"/>
        <v>75</v>
      </c>
      <c r="BJ128" t="str">
        <f>SUBSTITUTE(Table1[[#This Row],[Category]],"Electronics","ELECTRONICS")</f>
        <v>ELECTRONICS</v>
      </c>
      <c r="BN128" t="s">
        <v>155</v>
      </c>
      <c r="BS128" s="14">
        <v>1</v>
      </c>
      <c r="BT128" s="3">
        <v>2499</v>
      </c>
      <c r="BU128" s="4">
        <v>15</v>
      </c>
      <c r="BV128" s="4" t="str">
        <f>IF(AND(Table1[[#This Row],[Quantity]]&gt;=3,Table1[[#This Row],[Discount_%]]&gt;=15%),"Bulk Discount","no")</f>
        <v>no</v>
      </c>
      <c r="BW128" s="4" t="str">
        <f>IF(AND(Table1[[#This Row],[Quantity]]&gt;3,Table1[[#This Row],[Discount_%]]&gt;15%),"Bulk Customer","Normal")</f>
        <v>Normal</v>
      </c>
      <c r="BX128" t="s">
        <v>192</v>
      </c>
      <c r="BY128" t="s">
        <v>136</v>
      </c>
      <c r="CC128" t="str">
        <f>IF(OR(Table1[[#This Row],[Order_Status]]="Returned",Table1[[#This Row],[Order_Status]]="Cancelled"),"Attention Required","Not")</f>
        <v>Not</v>
      </c>
      <c r="CD128" t="str">
        <f>IF(OR(Table1[[#This Row],[Order_Status]]="Returned",Table1[[#This Row],[Order_Status]]="Cancelled"),"Review","no")</f>
        <v>no</v>
      </c>
      <c r="CE128" t="str">
        <f>SUBSTITUTE(Table1[[#This Row],[Order_Status]],"Delivered","Completed")</f>
        <v>Completed</v>
      </c>
      <c r="CF128" s="2">
        <v>45893</v>
      </c>
      <c r="CG128" s="17">
        <f>NETWORKDAYS(Table1[[#This Row],[Order_Date]],Table1[[#This Row],[Delivery_Date]])</f>
        <v>5</v>
      </c>
      <c r="CH128" s="17">
        <f>Table1[[#This Row],[Delivery_Date]]-Table1[[#This Row],[Order_Date]]</f>
        <v>6</v>
      </c>
      <c r="CI128" t="s">
        <v>137</v>
      </c>
      <c r="CJ128" t="str">
        <f>IF(Table1[[#This Row],[Rating]]&gt;=4,"Good","Needs Improvement")</f>
        <v>Needs Improvement</v>
      </c>
      <c r="CK128" t="str">
        <f>IF(OR(Table1[[#This Row],[Rating]]&lt;=2,Table1[[#This Row],[Profit]]&lt;0),"Review","NO")</f>
        <v>NO</v>
      </c>
      <c r="CL128" t="str" cm="1">
        <f t="array" ref="CL128">_xlfn.IFS(Table1[[#This Row],[Rating]]&gt;2,"Poor",Table1[[#This Row],[Rating]]=3,"Average",Table1[[#This Row],[Rating]]=4,"Good",CP128=5,"Excellent")</f>
        <v>Poor</v>
      </c>
      <c r="CM128">
        <f>COUNT(Table1[[#This Row],[Rating]])</f>
        <v>1</v>
      </c>
      <c r="CN128">
        <f>COUNTBLANK(Table1[[#This Row],[Rating]])</f>
        <v>0</v>
      </c>
      <c r="CP128" t="s">
        <v>138</v>
      </c>
      <c r="CQ128" s="14">
        <v>3</v>
      </c>
      <c r="CR128" t="s">
        <v>204</v>
      </c>
      <c r="CS128" t="s">
        <v>158</v>
      </c>
      <c r="CU128" s="3">
        <v>2124.15</v>
      </c>
      <c r="CV128" s="3">
        <f>ROUND(Table1[[#This Row],[Sales_Amount]],0)</f>
        <v>2124</v>
      </c>
      <c r="CW128" s="3"/>
      <c r="CX128" s="3"/>
      <c r="CY128" s="3" t="b">
        <f>IF(AND(Table1[[#This Row],[Sales_Amount]]&gt;=10000,Table1[[#This Row],[Profit]]&gt;0),"Good Order")</f>
        <v>0</v>
      </c>
      <c r="CZ128" s="3" t="str">
        <f>IF(Table1[[#This Row],[Sales_Amount]]&gt;=10000,"High","Normal")</f>
        <v>Normal</v>
      </c>
      <c r="DA128" s="3">
        <v>674.15</v>
      </c>
      <c r="DB128" s="3">
        <f>ROUND(Table1[[#This Row],[Profit]],0)</f>
        <v>674</v>
      </c>
      <c r="DC128" s="3">
        <f>ABS(Table1[[#This Row],[Profit]])</f>
        <v>674.15</v>
      </c>
      <c r="DD128" s="3"/>
      <c r="DE128" s="3"/>
      <c r="DF128" s="3"/>
      <c r="DG128" s="3" t="str">
        <f>IF(Table1[[#This Row],[Profit]]&gt;0,"Profit","Loss")</f>
        <v>Profit</v>
      </c>
      <c r="DH128" s="3" t="str">
        <f>IF(AND(Table1[[#This Row],[Sales_Amount]]&gt;=10000,Table1[[#This Row],[Profit]]&gt;0),"Priority","Normal")</f>
        <v>Normal</v>
      </c>
      <c r="DI128" s="3">
        <f t="shared" ca="1" si="9"/>
        <v>0.4983650930412431</v>
      </c>
      <c r="DJ128" s="3">
        <f t="shared" ca="1" si="10"/>
        <v>56</v>
      </c>
      <c r="DK128" s="3"/>
      <c r="DL128" s="3"/>
      <c r="DM128" s="3"/>
      <c r="DN128" s="3"/>
      <c r="DO128" s="3"/>
      <c r="DP128" s="3"/>
    </row>
    <row r="129" spans="1:120">
      <c r="A129" t="s">
        <v>785</v>
      </c>
      <c r="B129" t="str">
        <f>REPLACE(Table1[[#This Row],[Order_ID]],1,3,"YOO")</f>
        <v>YOO10128</v>
      </c>
      <c r="C129" t="str">
        <f>MID(Table1[[#This Row],[Order_ID]],4,4)</f>
        <v>1012</v>
      </c>
      <c r="D129" t="str">
        <f>LEFT(Table1[[#This Row],[Order_ID]],4)</f>
        <v>ORD1</v>
      </c>
      <c r="E129" t="str">
        <f>RIGHT(Table1[[#This Row],[Order_ID]],5)</f>
        <v>10128</v>
      </c>
      <c r="F129" t="s">
        <v>5</v>
      </c>
      <c r="G129">
        <v>10128</v>
      </c>
      <c r="H129" t="s">
        <v>786</v>
      </c>
      <c r="I129" s="2">
        <f>EDATE(Table1[[#This Row],[Order_Date]],3)</f>
        <v>46229</v>
      </c>
      <c r="J129" s="2">
        <f>EDATE(Table1[[#This Row],[Order_Date]],6)</f>
        <v>46321</v>
      </c>
      <c r="K129">
        <f ca="1">YEAR(Table1[[#This Row],[Today]])</f>
        <v>2026</v>
      </c>
      <c r="L129">
        <v>128</v>
      </c>
      <c r="M129">
        <f ca="1">DAY(Table1[[#This Row],[Today]])</f>
        <v>11</v>
      </c>
      <c r="N129" s="19">
        <f t="shared" ca="1" si="13"/>
        <v>46245.589795370368</v>
      </c>
      <c r="O129" s="2">
        <f t="shared" ca="1" si="8"/>
        <v>46245</v>
      </c>
      <c r="P129" s="17">
        <f ca="1">Table1[[#This Row],[Today]]-Table1[[#This Row],[Order_Date]]</f>
        <v>107</v>
      </c>
      <c r="Q129" s="2">
        <v>45785</v>
      </c>
      <c r="R129" s="2">
        <v>46138</v>
      </c>
      <c r="S129" s="6">
        <f t="shared" si="11"/>
        <v>2026</v>
      </c>
      <c r="T129" s="7" t="str">
        <f t="shared" si="12"/>
        <v>April</v>
      </c>
      <c r="U129" s="2">
        <f>WORKDAY(Table1[[#This Row],[Order_Date]],5)</f>
        <v>46143</v>
      </c>
      <c r="V129" s="7" t="str">
        <f>CONCATENATE(Table1[[#This Row],[Customer_ID]],Table1[[#This Row],[Customer_Name]])</f>
        <v>C1056Rohan Mehta</v>
      </c>
      <c r="W129" t="s">
        <v>334</v>
      </c>
      <c r="X129" t="s">
        <v>388</v>
      </c>
      <c r="Y129">
        <f>COUNTA(Table1[[#This Row],[Customer_Name]])</f>
        <v>1</v>
      </c>
      <c r="Z129" t="str">
        <f>SUBSTITUTE(Table1[[#This Row],[Customer_Name]]," ","_")</f>
        <v>Rohan_Mehta</v>
      </c>
      <c r="AA129" s="10">
        <f>IFERROR(SEARCH("a",Table1[[#This Row],[Customer_Name]]),"N/A")</f>
        <v>4</v>
      </c>
      <c r="AB129">
        <f>SEARCH(" ",Table1[[#This Row],[Customer_Name]])</f>
        <v>6</v>
      </c>
      <c r="AC129" s="11">
        <f>IFERROR(FIND("a",Table1[[#This Row],[Customer_Name]]),"N/A")</f>
        <v>4</v>
      </c>
      <c r="AD129">
        <f>FIND(" ",Table1[[#This Row],[Customer_Name]])</f>
        <v>6</v>
      </c>
      <c r="AE129" t="str">
        <f>TRIM(Table1[[#This Row],[Customer_Name]])</f>
        <v>Rohan Mehta</v>
      </c>
      <c r="AF129">
        <f>LEN(Table1[[#This Row],[Trimmed]])</f>
        <v>11</v>
      </c>
      <c r="AG129">
        <f>MAX(Table1[Length])</f>
        <v>15</v>
      </c>
      <c r="AH129" t="str">
        <f>PROPER(Table1[[#This Row],[Customer_Name]])</f>
        <v>Rohan Mehta</v>
      </c>
      <c r="AI129" t="str">
        <f>LOWER(Table1[[#This Row],[Customer_Name]])</f>
        <v>rohan mehta</v>
      </c>
      <c r="AJ129" t="str">
        <f>UPPER(Table1[[#This Row],[Customer_Name]])</f>
        <v>ROHAN MEHTA</v>
      </c>
      <c r="AK129" t="str">
        <f>CONCATENATE(Table1[[#This Row],[Customer_ID]],Table1[[#This Row],[Customer_Name]])</f>
        <v>C1056Rohan Mehta</v>
      </c>
      <c r="AL129" t="s">
        <v>389</v>
      </c>
      <c r="AM129" t="s">
        <v>390</v>
      </c>
      <c r="AN129" t="s">
        <v>391</v>
      </c>
      <c r="AO129" t="s">
        <v>389</v>
      </c>
      <c r="AP129" t="s">
        <v>390</v>
      </c>
      <c r="AQ129" t="s">
        <v>423</v>
      </c>
      <c r="AR129" t="str">
        <f>TRIM(Table1[[#This Row],[City]])</f>
        <v>Ahmedabad</v>
      </c>
      <c r="AS129" t="str">
        <f>PROPER(Table1[[#This Row],[City]])</f>
        <v>Ahmedabad</v>
      </c>
      <c r="AT129" t="s">
        <v>424</v>
      </c>
      <c r="AU129" t="str">
        <f>CONCATENATE(Table1[[#This Row],[City]],Table1[[#This Row],[State]])</f>
        <v>AhmedabadGujarat</v>
      </c>
      <c r="AV129" t="s">
        <v>129</v>
      </c>
      <c r="AW129" t="s">
        <v>250</v>
      </c>
      <c r="AX129" t="str">
        <f>REPLACE(Table1[[#This Row],[Product_ID]],1,1,"s")</f>
        <v>s113</v>
      </c>
      <c r="AY129" t="s">
        <v>787</v>
      </c>
      <c r="AZ129">
        <f>SEARCH("-",Table1[[#This Row],[Product ID]])</f>
        <v>2</v>
      </c>
      <c r="BA129">
        <f>FIND("-",Table1[[#This Row],[Product ID]])</f>
        <v>2</v>
      </c>
      <c r="BB129" t="str">
        <f>MID(Table1[[#This Row],[Product_ID]],2,3)</f>
        <v>113</v>
      </c>
      <c r="BC129" t="str">
        <f>RIGHT(Table1[[#This Row],[Product_ID]],3)</f>
        <v>113</v>
      </c>
      <c r="BD129" t="str">
        <f>LEFT(Table1[[#This Row],[Product_ID]],3)</f>
        <v>P11</v>
      </c>
      <c r="BE129" t="str">
        <f>_xlfn.XLOOKUP(Table1[[#This Row],[Product_ID]],AW:AW,BF:BF,,0)</f>
        <v>Desk Lamp</v>
      </c>
      <c r="BF129" t="s">
        <v>252</v>
      </c>
      <c r="BG129">
        <f>LEN(Table1[[#This Row],[Product_Name]])</f>
        <v>9</v>
      </c>
      <c r="BH129" t="s">
        <v>133</v>
      </c>
      <c r="BI129">
        <f t="shared" si="14"/>
        <v>75</v>
      </c>
      <c r="BJ129" t="str">
        <f>SUBSTITUTE(Table1[[#This Row],[Category]],"Electronics","ELECTRONICS")</f>
        <v>Home</v>
      </c>
      <c r="BN129" t="s">
        <v>253</v>
      </c>
      <c r="BS129" s="14">
        <v>4</v>
      </c>
      <c r="BT129" s="3">
        <v>1299</v>
      </c>
      <c r="BU129" s="4">
        <v>0</v>
      </c>
      <c r="BV129" s="4" t="str">
        <f>IF(AND(Table1[[#This Row],[Quantity]]&gt;=3,Table1[[#This Row],[Discount_%]]&gt;=15%),"Bulk Discount","no")</f>
        <v>no</v>
      </c>
      <c r="BW129" s="4" t="str">
        <f>IF(AND(Table1[[#This Row],[Quantity]]&gt;3,Table1[[#This Row],[Discount_%]]&gt;15%),"Bulk Customer","Normal")</f>
        <v>Normal</v>
      </c>
      <c r="BX129" t="s">
        <v>135</v>
      </c>
      <c r="BY129" t="s">
        <v>136</v>
      </c>
      <c r="CC129" t="str">
        <f>IF(OR(Table1[[#This Row],[Order_Status]]="Returned",Table1[[#This Row],[Order_Status]]="Cancelled"),"Attention Required","Not")</f>
        <v>Not</v>
      </c>
      <c r="CD129" t="str">
        <f>IF(OR(Table1[[#This Row],[Order_Status]]="Returned",Table1[[#This Row],[Order_Status]]="Cancelled"),"Review","no")</f>
        <v>no</v>
      </c>
      <c r="CE129" t="str">
        <f>SUBSTITUTE(Table1[[#This Row],[Order_Status]],"Delivered","Completed")</f>
        <v>Completed</v>
      </c>
      <c r="CF129" s="2">
        <v>46139</v>
      </c>
      <c r="CG129" s="17">
        <f>NETWORKDAYS(Table1[[#This Row],[Order_Date]],Table1[[#This Row],[Delivery_Date]])</f>
        <v>1</v>
      </c>
      <c r="CH129" s="17">
        <f>Table1[[#This Row],[Delivery_Date]]-Table1[[#This Row],[Order_Date]]</f>
        <v>1</v>
      </c>
      <c r="CI129" t="s">
        <v>137</v>
      </c>
      <c r="CJ129" t="str">
        <f>IF(Table1[[#This Row],[Rating]]&gt;=4,"Good","Needs Improvement")</f>
        <v>Good</v>
      </c>
      <c r="CK129" t="str">
        <f>IF(OR(Table1[[#This Row],[Rating]]&lt;=2,Table1[[#This Row],[Profit]]&lt;0),"Review","NO")</f>
        <v>NO</v>
      </c>
      <c r="CL129" t="str" cm="1">
        <f t="array" ref="CL129">_xlfn.IFS(Table1[[#This Row],[Rating]]&gt;2,"Poor",Table1[[#This Row],[Rating]]=3,"Average",Table1[[#This Row],[Rating]]=4,"Good",CP129=5,"Excellent")</f>
        <v>Poor</v>
      </c>
      <c r="CM129">
        <f>COUNT(Table1[[#This Row],[Rating]])</f>
        <v>1</v>
      </c>
      <c r="CN129">
        <f>COUNTBLANK(Table1[[#This Row],[Rating]])</f>
        <v>0</v>
      </c>
      <c r="CQ129" s="14">
        <v>4</v>
      </c>
      <c r="CR129" t="s">
        <v>204</v>
      </c>
      <c r="CS129" t="s">
        <v>174</v>
      </c>
      <c r="CU129" s="3">
        <v>5196</v>
      </c>
      <c r="CV129" s="3">
        <f>ROUND(Table1[[#This Row],[Sales_Amount]],0)</f>
        <v>5196</v>
      </c>
      <c r="CW129" s="3"/>
      <c r="CX129" s="3"/>
      <c r="CY129" s="3" t="b">
        <f>IF(AND(Table1[[#This Row],[Sales_Amount]]&gt;=10000,Table1[[#This Row],[Profit]]&gt;0),"Good Order")</f>
        <v>0</v>
      </c>
      <c r="CZ129" s="3" t="str">
        <f>IF(Table1[[#This Row],[Sales_Amount]]&gt;=10000,"High","Normal")</f>
        <v>Normal</v>
      </c>
      <c r="DA129" s="3">
        <v>2596</v>
      </c>
      <c r="DB129" s="3">
        <f>ROUND(Table1[[#This Row],[Profit]],0)</f>
        <v>2596</v>
      </c>
      <c r="DC129" s="3">
        <f>ABS(Table1[[#This Row],[Profit]])</f>
        <v>2596</v>
      </c>
      <c r="DD129" s="3"/>
      <c r="DE129" s="3"/>
      <c r="DF129" s="3"/>
      <c r="DG129" s="3" t="str">
        <f>IF(Table1[[#This Row],[Profit]]&gt;0,"Profit","Loss")</f>
        <v>Profit</v>
      </c>
      <c r="DH129" s="3" t="str">
        <f>IF(AND(Table1[[#This Row],[Sales_Amount]]&gt;=10000,Table1[[#This Row],[Profit]]&gt;0),"Priority","Normal")</f>
        <v>Normal</v>
      </c>
      <c r="DI129" s="3">
        <f t="shared" ca="1" si="9"/>
        <v>0.4598040741019439</v>
      </c>
      <c r="DJ129" s="3">
        <f t="shared" ca="1" si="10"/>
        <v>52</v>
      </c>
      <c r="DK129" s="3"/>
      <c r="DL129" s="3"/>
      <c r="DM129" s="3"/>
      <c r="DN129" s="3"/>
      <c r="DO129" s="3"/>
      <c r="DP129" s="3"/>
    </row>
    <row r="130" spans="1:120">
      <c r="A130" t="s">
        <v>788</v>
      </c>
      <c r="B130" t="str">
        <f>REPLACE(Table1[[#This Row],[Order_ID]],1,3,"YOO")</f>
        <v>YOO10129</v>
      </c>
      <c r="C130" t="str">
        <f>MID(Table1[[#This Row],[Order_ID]],4,4)</f>
        <v>1012</v>
      </c>
      <c r="D130" t="str">
        <f>LEFT(Table1[[#This Row],[Order_ID]],4)</f>
        <v>ORD1</v>
      </c>
      <c r="E130" t="str">
        <f>RIGHT(Table1[[#This Row],[Order_ID]],5)</f>
        <v>10129</v>
      </c>
      <c r="F130" t="s">
        <v>5</v>
      </c>
      <c r="G130">
        <v>10129</v>
      </c>
      <c r="H130" t="s">
        <v>789</v>
      </c>
      <c r="I130" s="2">
        <f>EDATE(Table1[[#This Row],[Order_Date]],3)</f>
        <v>46045</v>
      </c>
      <c r="J130" s="2">
        <f>EDATE(Table1[[#This Row],[Order_Date]],6)</f>
        <v>46135</v>
      </c>
      <c r="K130">
        <f ca="1">YEAR(Table1[[#This Row],[Today]])</f>
        <v>2026</v>
      </c>
      <c r="L130">
        <v>129</v>
      </c>
      <c r="M130">
        <f ca="1">DAY(Table1[[#This Row],[Today]])</f>
        <v>11</v>
      </c>
      <c r="N130" s="19">
        <f t="shared" ca="1" si="13"/>
        <v>46245.589795370368</v>
      </c>
      <c r="O130" s="2">
        <f t="shared" ref="O130:O193" ca="1" si="15">TODAY()</f>
        <v>46245</v>
      </c>
      <c r="P130" s="17">
        <f ca="1">Table1[[#This Row],[Today]]-Table1[[#This Row],[Order_Date]]</f>
        <v>292</v>
      </c>
      <c r="Q130" s="2">
        <v>45786</v>
      </c>
      <c r="R130" s="2">
        <v>45953</v>
      </c>
      <c r="S130" s="6">
        <f t="shared" si="11"/>
        <v>2025</v>
      </c>
      <c r="T130" s="7" t="str">
        <f t="shared" si="12"/>
        <v>October</v>
      </c>
      <c r="U130" s="2">
        <f>WORKDAY(Table1[[#This Row],[Order_Date]],5)</f>
        <v>45960</v>
      </c>
      <c r="V130" s="7" t="str">
        <f>CONCATENATE(Table1[[#This Row],[Customer_ID]],Table1[[#This Row],[Customer_Name]])</f>
        <v>C1108Meera Nair</v>
      </c>
      <c r="W130" t="s">
        <v>350</v>
      </c>
      <c r="X130" t="s">
        <v>429</v>
      </c>
      <c r="Y130">
        <f>COUNTA(Table1[[#This Row],[Customer_Name]])</f>
        <v>1</v>
      </c>
      <c r="Z130" t="str">
        <f>SUBSTITUTE(Table1[[#This Row],[Customer_Name]]," ","_")</f>
        <v>Meera_Nair</v>
      </c>
      <c r="AA130" s="10">
        <f>IFERROR(SEARCH("a",Table1[[#This Row],[Customer_Name]]),"N/A")</f>
        <v>5</v>
      </c>
      <c r="AB130">
        <f>SEARCH(" ",Table1[[#This Row],[Customer_Name]])</f>
        <v>6</v>
      </c>
      <c r="AC130" s="11">
        <f>IFERROR(FIND("a",Table1[[#This Row],[Customer_Name]]),"N/A")</f>
        <v>5</v>
      </c>
      <c r="AD130">
        <f>FIND(" ",Table1[[#This Row],[Customer_Name]])</f>
        <v>6</v>
      </c>
      <c r="AE130" t="str">
        <f>TRIM(Table1[[#This Row],[Customer_Name]])</f>
        <v>Meera Nair</v>
      </c>
      <c r="AF130">
        <f>LEN(Table1[[#This Row],[Trimmed]])</f>
        <v>10</v>
      </c>
      <c r="AG130">
        <f>MAX(Table1[Length])</f>
        <v>15</v>
      </c>
      <c r="AH130" t="str">
        <f>PROPER(Table1[[#This Row],[Customer_Name]])</f>
        <v>Meera Nair</v>
      </c>
      <c r="AI130" t="str">
        <f>LOWER(Table1[[#This Row],[Customer_Name]])</f>
        <v>meera nair</v>
      </c>
      <c r="AJ130" t="str">
        <f>UPPER(Table1[[#This Row],[Customer_Name]])</f>
        <v>MEERA NAIR</v>
      </c>
      <c r="AK130" t="str">
        <f>CONCATENATE(Table1[[#This Row],[Customer_ID]],Table1[[#This Row],[Customer_Name]])</f>
        <v>C1108Meera Nair</v>
      </c>
      <c r="AL130" t="s">
        <v>430</v>
      </c>
      <c r="AM130" t="s">
        <v>431</v>
      </c>
      <c r="AN130" t="s">
        <v>432</v>
      </c>
      <c r="AO130" t="s">
        <v>430</v>
      </c>
      <c r="AP130" t="s">
        <v>431</v>
      </c>
      <c r="AQ130" t="s">
        <v>127</v>
      </c>
      <c r="AR130" t="str">
        <f>TRIM(Table1[[#This Row],[City]])</f>
        <v>Pune</v>
      </c>
      <c r="AS130" t="str">
        <f>PROPER(Table1[[#This Row],[City]])</f>
        <v>Pune</v>
      </c>
      <c r="AT130" t="s">
        <v>128</v>
      </c>
      <c r="AU130" t="str">
        <f>CONCATENATE(Table1[[#This Row],[City]],Table1[[#This Row],[State]])</f>
        <v>PuneMaharashtra</v>
      </c>
      <c r="AV130" t="s">
        <v>129</v>
      </c>
      <c r="AW130" t="s">
        <v>236</v>
      </c>
      <c r="AX130" t="str">
        <f>REPLACE(Table1[[#This Row],[Product_ID]],1,1,"s")</f>
        <v>s107</v>
      </c>
      <c r="AY130" t="s">
        <v>790</v>
      </c>
      <c r="AZ130">
        <f>SEARCH("-",Table1[[#This Row],[Product ID]])</f>
        <v>2</v>
      </c>
      <c r="BA130">
        <f>FIND("-",Table1[[#This Row],[Product ID]])</f>
        <v>2</v>
      </c>
      <c r="BB130" t="str">
        <f>MID(Table1[[#This Row],[Product_ID]],2,3)</f>
        <v>107</v>
      </c>
      <c r="BC130" t="str">
        <f>RIGHT(Table1[[#This Row],[Product_ID]],3)</f>
        <v>107</v>
      </c>
      <c r="BD130" t="str">
        <f>LEFT(Table1[[#This Row],[Product_ID]],3)</f>
        <v>P10</v>
      </c>
      <c r="BE130" t="str">
        <f>_xlfn.XLOOKUP(Table1[[#This Row],[Product_ID]],AW:AW,BF:BF,,0)</f>
        <v>Casual Sneakers</v>
      </c>
      <c r="BF130" t="s">
        <v>238</v>
      </c>
      <c r="BG130">
        <f>LEN(Table1[[#This Row],[Product_Name]])</f>
        <v>15</v>
      </c>
      <c r="BH130" t="s">
        <v>224</v>
      </c>
      <c r="BI130">
        <f t="shared" si="14"/>
        <v>75</v>
      </c>
      <c r="BJ130" t="str">
        <f>SUBSTITUTE(Table1[[#This Row],[Category]],"Electronics","ELECTRONICS")</f>
        <v>Fashion</v>
      </c>
      <c r="BN130" t="s">
        <v>225</v>
      </c>
      <c r="BS130" s="14">
        <v>2</v>
      </c>
      <c r="BT130" s="3">
        <v>2799</v>
      </c>
      <c r="BU130" s="4">
        <v>10</v>
      </c>
      <c r="BV130" s="4" t="str">
        <f>IF(AND(Table1[[#This Row],[Quantity]]&gt;=3,Table1[[#This Row],[Discount_%]]&gt;=15%),"Bulk Discount","no")</f>
        <v>no</v>
      </c>
      <c r="BW130" s="4" t="str">
        <f>IF(AND(Table1[[#This Row],[Quantity]]&gt;3,Table1[[#This Row],[Discount_%]]&gt;15%),"Bulk Customer","Normal")</f>
        <v>Normal</v>
      </c>
      <c r="BX130" t="s">
        <v>330</v>
      </c>
      <c r="BY130" t="s">
        <v>136</v>
      </c>
      <c r="CC130" t="str">
        <f>IF(OR(Table1[[#This Row],[Order_Status]]="Returned",Table1[[#This Row],[Order_Status]]="Cancelled"),"Attention Required","Not")</f>
        <v>Not</v>
      </c>
      <c r="CD130" t="str">
        <f>IF(OR(Table1[[#This Row],[Order_Status]]="Returned",Table1[[#This Row],[Order_Status]]="Cancelled"),"Review","no")</f>
        <v>no</v>
      </c>
      <c r="CE130" t="str">
        <f>SUBSTITUTE(Table1[[#This Row],[Order_Status]],"Delivered","Completed")</f>
        <v>Completed</v>
      </c>
      <c r="CF130" s="2">
        <v>45954</v>
      </c>
      <c r="CG130" s="17">
        <f>NETWORKDAYS(Table1[[#This Row],[Order_Date]],Table1[[#This Row],[Delivery_Date]])</f>
        <v>2</v>
      </c>
      <c r="CH130" s="17">
        <f>Table1[[#This Row],[Delivery_Date]]-Table1[[#This Row],[Order_Date]]</f>
        <v>1</v>
      </c>
      <c r="CI130" t="s">
        <v>137</v>
      </c>
      <c r="CJ130" t="str">
        <f>IF(Table1[[#This Row],[Rating]]&gt;=4,"Good","Needs Improvement")</f>
        <v>Good</v>
      </c>
      <c r="CK130" t="str">
        <f>IF(OR(Table1[[#This Row],[Rating]]&lt;=2,Table1[[#This Row],[Profit]]&lt;0),"Review","NO")</f>
        <v>NO</v>
      </c>
      <c r="CL130" t="str" cm="1">
        <f t="array" ref="CL130">_xlfn.IFS(Table1[[#This Row],[Rating]]&gt;2,"Poor",Table1[[#This Row],[Rating]]=3,"Average",Table1[[#This Row],[Rating]]=4,"Good",CP130=5,"Excellent")</f>
        <v>Poor</v>
      </c>
      <c r="CM130">
        <f>COUNT(Table1[[#This Row],[Rating]])</f>
        <v>1</v>
      </c>
      <c r="CN130">
        <f>COUNTBLANK(Table1[[#This Row],[Rating]])</f>
        <v>0</v>
      </c>
      <c r="CP130" t="s">
        <v>331</v>
      </c>
      <c r="CQ130" s="14">
        <v>4</v>
      </c>
      <c r="CR130" t="s">
        <v>139</v>
      </c>
      <c r="CS130" t="s">
        <v>267</v>
      </c>
      <c r="CU130" s="3">
        <v>5038.2</v>
      </c>
      <c r="CV130" s="3">
        <f>ROUND(Table1[[#This Row],[Sales_Amount]],0)</f>
        <v>5038</v>
      </c>
      <c r="CW130" s="3"/>
      <c r="CX130" s="3"/>
      <c r="CY130" s="3" t="b">
        <f>IF(AND(Table1[[#This Row],[Sales_Amount]]&gt;=10000,Table1[[#This Row],[Profit]]&gt;0),"Good Order")</f>
        <v>0</v>
      </c>
      <c r="CZ130" s="3" t="str">
        <f>IF(Table1[[#This Row],[Sales_Amount]]&gt;=10000,"High","Normal")</f>
        <v>Normal</v>
      </c>
      <c r="DA130" s="3">
        <v>2038.2</v>
      </c>
      <c r="DB130" s="3">
        <f>ROUND(Table1[[#This Row],[Profit]],0)</f>
        <v>2038</v>
      </c>
      <c r="DC130" s="3">
        <f>ABS(Table1[[#This Row],[Profit]])</f>
        <v>2038.2</v>
      </c>
      <c r="DD130" s="3"/>
      <c r="DE130" s="3"/>
      <c r="DF130" s="3"/>
      <c r="DG130" s="3" t="str">
        <f>IF(Table1[[#This Row],[Profit]]&gt;0,"Profit","Loss")</f>
        <v>Profit</v>
      </c>
      <c r="DH130" s="3" t="str">
        <f>IF(AND(Table1[[#This Row],[Sales_Amount]]&gt;=10000,Table1[[#This Row],[Profit]]&gt;0),"Priority","Normal")</f>
        <v>Normal</v>
      </c>
      <c r="DI130" s="3">
        <f t="shared" ref="DI130:DI193" ca="1" si="16">RAND()</f>
        <v>9.5928241804277503E-2</v>
      </c>
      <c r="DJ130" s="3">
        <f t="shared" ref="DJ130:DJ193" ca="1" si="17">RANDBETWEEN(1,100)</f>
        <v>74</v>
      </c>
      <c r="DK130" s="3"/>
      <c r="DL130" s="3"/>
      <c r="DM130" s="3"/>
      <c r="DN130" s="3"/>
      <c r="DO130" s="3"/>
      <c r="DP130" s="3"/>
    </row>
    <row r="131" spans="1:120">
      <c r="A131" t="s">
        <v>791</v>
      </c>
      <c r="B131" t="str">
        <f>REPLACE(Table1[[#This Row],[Order_ID]],1,3,"YOO")</f>
        <v>YOO10130</v>
      </c>
      <c r="C131" t="str">
        <f>MID(Table1[[#This Row],[Order_ID]],4,4)</f>
        <v>1013</v>
      </c>
      <c r="D131" t="str">
        <f>LEFT(Table1[[#This Row],[Order_ID]],4)</f>
        <v>ORD1</v>
      </c>
      <c r="E131" t="str">
        <f>RIGHT(Table1[[#This Row],[Order_ID]],5)</f>
        <v>10130</v>
      </c>
      <c r="F131" t="s">
        <v>5</v>
      </c>
      <c r="G131">
        <v>10130</v>
      </c>
      <c r="H131" t="s">
        <v>792</v>
      </c>
      <c r="I131" s="2">
        <f>EDATE(Table1[[#This Row],[Order_Date]],3)</f>
        <v>45764</v>
      </c>
      <c r="J131" s="2">
        <f>EDATE(Table1[[#This Row],[Order_Date]],6)</f>
        <v>45855</v>
      </c>
      <c r="K131">
        <f ca="1">YEAR(Table1[[#This Row],[Today]])</f>
        <v>2026</v>
      </c>
      <c r="L131">
        <v>130</v>
      </c>
      <c r="M131">
        <f ca="1">DAY(Table1[[#This Row],[Today]])</f>
        <v>11</v>
      </c>
      <c r="N131" s="19">
        <f t="shared" ca="1" si="13"/>
        <v>46245.589795138891</v>
      </c>
      <c r="O131" s="2">
        <f t="shared" ca="1" si="15"/>
        <v>46245</v>
      </c>
      <c r="P131" s="17">
        <f ca="1">Table1[[#This Row],[Today]]-Table1[[#This Row],[Order_Date]]</f>
        <v>571</v>
      </c>
      <c r="Q131" s="2">
        <v>45787</v>
      </c>
      <c r="R131" s="2">
        <v>45674</v>
      </c>
      <c r="S131" s="6">
        <f t="shared" ref="S131:S194" si="18">YEAR(R131)</f>
        <v>2025</v>
      </c>
      <c r="T131" s="7" t="str">
        <f t="shared" ref="T131:T194" si="19">TEXT(R131,"mmmm")</f>
        <v>January</v>
      </c>
      <c r="U131" s="2">
        <f>WORKDAY(Table1[[#This Row],[Order_Date]],5)</f>
        <v>45681</v>
      </c>
      <c r="V131" s="7" t="str">
        <f>CONCATENATE(Table1[[#This Row],[Customer_ID]],Table1[[#This Row],[Customer_Name]])</f>
        <v>C1110Rahul Sharma</v>
      </c>
      <c r="W131" t="s">
        <v>692</v>
      </c>
      <c r="X131" t="s">
        <v>290</v>
      </c>
      <c r="Y131">
        <f>COUNTA(Table1[[#This Row],[Customer_Name]])</f>
        <v>1</v>
      </c>
      <c r="Z131" t="str">
        <f>SUBSTITUTE(Table1[[#This Row],[Customer_Name]]," ","_")</f>
        <v>Rahul_Sharma</v>
      </c>
      <c r="AA131" s="10">
        <f>IFERROR(SEARCH("a",Table1[[#This Row],[Customer_Name]]),"N/A")</f>
        <v>2</v>
      </c>
      <c r="AB131">
        <f>SEARCH(" ",Table1[[#This Row],[Customer_Name]])</f>
        <v>6</v>
      </c>
      <c r="AC131" s="11">
        <f>IFERROR(FIND("a",Table1[[#This Row],[Customer_Name]]),"N/A")</f>
        <v>2</v>
      </c>
      <c r="AD131">
        <f>FIND(" ",Table1[[#This Row],[Customer_Name]])</f>
        <v>6</v>
      </c>
      <c r="AE131" t="str">
        <f>TRIM(Table1[[#This Row],[Customer_Name]])</f>
        <v>Rahul Sharma</v>
      </c>
      <c r="AF131">
        <f>LEN(Table1[[#This Row],[Trimmed]])</f>
        <v>12</v>
      </c>
      <c r="AG131">
        <f>MAX(Table1[Length])</f>
        <v>15</v>
      </c>
      <c r="AH131" t="str">
        <f>PROPER(Table1[[#This Row],[Customer_Name]])</f>
        <v>Rahul Sharma</v>
      </c>
      <c r="AI131" t="str">
        <f>LOWER(Table1[[#This Row],[Customer_Name]])</f>
        <v>rahul sharma</v>
      </c>
      <c r="AJ131" t="str">
        <f>UPPER(Table1[[#This Row],[Customer_Name]])</f>
        <v>RAHUL SHARMA</v>
      </c>
      <c r="AK131" t="str">
        <f>CONCATENATE(Table1[[#This Row],[Customer_ID]],Table1[[#This Row],[Customer_Name]])</f>
        <v>C1110Rahul Sharma</v>
      </c>
      <c r="AL131" t="s">
        <v>291</v>
      </c>
      <c r="AM131" t="s">
        <v>292</v>
      </c>
      <c r="AN131" t="s">
        <v>245</v>
      </c>
      <c r="AO131" t="s">
        <v>291</v>
      </c>
      <c r="AP131" t="s">
        <v>292</v>
      </c>
      <c r="AQ131" t="s">
        <v>304</v>
      </c>
      <c r="AR131" t="str">
        <f>TRIM(Table1[[#This Row],[City]])</f>
        <v>Chennai</v>
      </c>
      <c r="AS131" t="str">
        <f>PROPER(Table1[[#This Row],[City]])</f>
        <v>Chennai</v>
      </c>
      <c r="AT131" t="s">
        <v>305</v>
      </c>
      <c r="AU131" t="str">
        <f>CONCATENATE(Table1[[#This Row],[City]],Table1[[#This Row],[State]])</f>
        <v>ChennaiTamil Nadu</v>
      </c>
      <c r="AV131" t="s">
        <v>168</v>
      </c>
      <c r="AW131" t="s">
        <v>363</v>
      </c>
      <c r="AX131" t="str">
        <f>REPLACE(Table1[[#This Row],[Product_ID]],1,1,"s")</f>
        <v>s110</v>
      </c>
      <c r="AY131" t="s">
        <v>793</v>
      </c>
      <c r="AZ131">
        <f>SEARCH("-",Table1[[#This Row],[Product ID]])</f>
        <v>2</v>
      </c>
      <c r="BA131">
        <f>FIND("-",Table1[[#This Row],[Product ID]])</f>
        <v>2</v>
      </c>
      <c r="BB131" t="str">
        <f>MID(Table1[[#This Row],[Product_ID]],2,3)</f>
        <v>110</v>
      </c>
      <c r="BC131" t="str">
        <f>RIGHT(Table1[[#This Row],[Product_ID]],3)</f>
        <v>110</v>
      </c>
      <c r="BD131" t="str">
        <f>LEFT(Table1[[#This Row],[Product_ID]],3)</f>
        <v>P11</v>
      </c>
      <c r="BE131" t="str">
        <f>_xlfn.XLOOKUP(Table1[[#This Row],[Product_ID]],AW:AW,BF:BF,,0)</f>
        <v>Smart Watch</v>
      </c>
      <c r="BF131" t="s">
        <v>365</v>
      </c>
      <c r="BG131">
        <f>LEN(Table1[[#This Row],[Product_Name]])</f>
        <v>11</v>
      </c>
      <c r="BH131" t="s">
        <v>154</v>
      </c>
      <c r="BI131">
        <f t="shared" si="14"/>
        <v>75</v>
      </c>
      <c r="BJ131" t="str">
        <f>SUBSTITUTE(Table1[[#This Row],[Category]],"Electronics","ELECTRONICS")</f>
        <v>ELECTRONICS</v>
      </c>
      <c r="BN131" t="s">
        <v>366</v>
      </c>
      <c r="BS131" s="14">
        <v>5</v>
      </c>
      <c r="BT131" s="3">
        <v>4999</v>
      </c>
      <c r="BU131" s="4">
        <v>10</v>
      </c>
      <c r="BV131" s="4" t="str">
        <f>IF(AND(Table1[[#This Row],[Quantity]]&gt;=3,Table1[[#This Row],[Discount_%]]&gt;=15%),"Bulk Discount","no")</f>
        <v>Bulk Discount</v>
      </c>
      <c r="BW131" s="4" t="str">
        <f>IF(AND(Table1[[#This Row],[Quantity]]&gt;3,Table1[[#This Row],[Discount_%]]&gt;15%),"Bulk Customer","Normal")</f>
        <v>Bulk Customer</v>
      </c>
      <c r="BX131" t="s">
        <v>135</v>
      </c>
      <c r="BY131" t="s">
        <v>374</v>
      </c>
      <c r="CC131" t="str">
        <f>IF(OR(Table1[[#This Row],[Order_Status]]="Returned",Table1[[#This Row],[Order_Status]]="Cancelled"),"Attention Required","Not")</f>
        <v>Attention Required</v>
      </c>
      <c r="CD131" t="str">
        <f>IF(OR(Table1[[#This Row],[Order_Status]]="Returned",Table1[[#This Row],[Order_Status]]="Cancelled"),"Review","no")</f>
        <v>Review</v>
      </c>
      <c r="CE131" t="str">
        <f>SUBSTITUTE(Table1[[#This Row],[Order_Status]],"Delivered","Completed")</f>
        <v>Returned</v>
      </c>
      <c r="CF131" s="2">
        <v>45677</v>
      </c>
      <c r="CG131" s="17">
        <f>NETWORKDAYS(Table1[[#This Row],[Order_Date]],Table1[[#This Row],[Delivery_Date]])</f>
        <v>2</v>
      </c>
      <c r="CH131" s="17">
        <f>Table1[[#This Row],[Delivery_Date]]-Table1[[#This Row],[Order_Date]]</f>
        <v>3</v>
      </c>
      <c r="CI131" t="s">
        <v>375</v>
      </c>
      <c r="CJ131" t="str">
        <f>IF(Table1[[#This Row],[Rating]]&gt;=4,"Good","Needs Improvement")</f>
        <v>Good</v>
      </c>
      <c r="CK131" t="str">
        <f>IF(OR(Table1[[#This Row],[Rating]]&lt;=2,Table1[[#This Row],[Profit]]&lt;0),"Review","NO")</f>
        <v>NO</v>
      </c>
      <c r="CL131" t="str" cm="1">
        <f t="array" ref="CL131">_xlfn.IFS(Table1[[#This Row],[Rating]]&gt;2,"Poor",Table1[[#This Row],[Rating]]=3,"Average",Table1[[#This Row],[Rating]]=4,"Good",CP131=5,"Excellent")</f>
        <v>Poor</v>
      </c>
      <c r="CM131">
        <f>COUNT(Table1[[#This Row],[Rating]])</f>
        <v>1</v>
      </c>
      <c r="CN131">
        <f>COUNTBLANK(Table1[[#This Row],[Rating]])</f>
        <v>0</v>
      </c>
      <c r="CP131" t="s">
        <v>157</v>
      </c>
      <c r="CQ131" s="14">
        <v>4</v>
      </c>
      <c r="CR131" t="s">
        <v>139</v>
      </c>
      <c r="CS131" t="s">
        <v>174</v>
      </c>
      <c r="CU131" s="3">
        <v>22495.5</v>
      </c>
      <c r="CV131" s="3">
        <f>ROUND(Table1[[#This Row],[Sales_Amount]],0)</f>
        <v>22496</v>
      </c>
      <c r="CW131" s="3"/>
      <c r="CX131" s="3"/>
      <c r="CY131" s="3" t="str">
        <f>IF(AND(Table1[[#This Row],[Sales_Amount]]&gt;=10000,Table1[[#This Row],[Profit]]&gt;0),"Good Order")</f>
        <v>Good Order</v>
      </c>
      <c r="CZ131" s="3" t="str">
        <f>IF(Table1[[#This Row],[Sales_Amount]]&gt;=10000,"High","Normal")</f>
        <v>High</v>
      </c>
      <c r="DA131" s="3">
        <v>6995.5</v>
      </c>
      <c r="DB131" s="3">
        <f>ROUND(Table1[[#This Row],[Profit]],0)</f>
        <v>6996</v>
      </c>
      <c r="DC131" s="3">
        <f>ABS(Table1[[#This Row],[Profit]])</f>
        <v>6995.5</v>
      </c>
      <c r="DD131" s="3"/>
      <c r="DE131" s="3"/>
      <c r="DF131" s="3"/>
      <c r="DG131" s="3" t="str">
        <f>IF(Table1[[#This Row],[Profit]]&gt;0,"Profit","Loss")</f>
        <v>Profit</v>
      </c>
      <c r="DH131" s="3" t="str">
        <f>IF(AND(Table1[[#This Row],[Sales_Amount]]&gt;=10000,Table1[[#This Row],[Profit]]&gt;0),"Priority","Normal")</f>
        <v>Priority</v>
      </c>
      <c r="DI131" s="3">
        <f t="shared" ca="1" si="16"/>
        <v>0.10397303466485197</v>
      </c>
      <c r="DJ131" s="3">
        <f t="shared" ca="1" si="17"/>
        <v>54</v>
      </c>
      <c r="DK131" s="3"/>
      <c r="DL131" s="3"/>
      <c r="DM131" s="3"/>
      <c r="DN131" s="3"/>
      <c r="DO131" s="3"/>
      <c r="DP131" s="3"/>
    </row>
    <row r="132" spans="1:120">
      <c r="A132" t="s">
        <v>794</v>
      </c>
      <c r="B132" t="str">
        <f>REPLACE(Table1[[#This Row],[Order_ID]],1,3,"YOO")</f>
        <v>YOO10131</v>
      </c>
      <c r="C132" t="str">
        <f>MID(Table1[[#This Row],[Order_ID]],4,4)</f>
        <v>1013</v>
      </c>
      <c r="D132" t="str">
        <f>LEFT(Table1[[#This Row],[Order_ID]],4)</f>
        <v>ORD1</v>
      </c>
      <c r="E132" t="str">
        <f>RIGHT(Table1[[#This Row],[Order_ID]],5)</f>
        <v>10131</v>
      </c>
      <c r="F132" t="s">
        <v>5</v>
      </c>
      <c r="G132">
        <v>10131</v>
      </c>
      <c r="H132" t="s">
        <v>795</v>
      </c>
      <c r="I132" s="2">
        <f>EDATE(Table1[[#This Row],[Order_Date]],3)</f>
        <v>45837</v>
      </c>
      <c r="J132" s="2">
        <f>EDATE(Table1[[#This Row],[Order_Date]],6)</f>
        <v>45929</v>
      </c>
      <c r="K132">
        <f ca="1">YEAR(Table1[[#This Row],[Today]])</f>
        <v>2026</v>
      </c>
      <c r="L132">
        <v>131</v>
      </c>
      <c r="M132">
        <f ca="1">DAY(Table1[[#This Row],[Today]])</f>
        <v>11</v>
      </c>
      <c r="N132" s="19">
        <f t="shared" ref="N132:N195" ca="1" si="20">NOW()</f>
        <v>46245.589795370368</v>
      </c>
      <c r="O132" s="2">
        <f t="shared" ca="1" si="15"/>
        <v>46245</v>
      </c>
      <c r="P132" s="17">
        <f ca="1">Table1[[#This Row],[Today]]-Table1[[#This Row],[Order_Date]]</f>
        <v>500</v>
      </c>
      <c r="Q132" s="2">
        <v>45788</v>
      </c>
      <c r="R132" s="2">
        <v>45745</v>
      </c>
      <c r="S132" s="6">
        <f t="shared" si="18"/>
        <v>2025</v>
      </c>
      <c r="T132" s="7" t="str">
        <f t="shared" si="19"/>
        <v>March</v>
      </c>
      <c r="U132" s="2">
        <f>WORKDAY(Table1[[#This Row],[Order_Date]],5)</f>
        <v>45751</v>
      </c>
      <c r="V132" s="7" t="str">
        <f>CONCATENATE(Table1[[#This Row],[Customer_ID]],Table1[[#This Row],[Customer_Name]])</f>
        <v>C1121Priya Verma</v>
      </c>
      <c r="W132" t="s">
        <v>540</v>
      </c>
      <c r="X132" t="s">
        <v>335</v>
      </c>
      <c r="Y132">
        <f>COUNTA(Table1[[#This Row],[Customer_Name]])</f>
        <v>1</v>
      </c>
      <c r="Z132" t="str">
        <f>SUBSTITUTE(Table1[[#This Row],[Customer_Name]]," ","_")</f>
        <v>Priya_Verma</v>
      </c>
      <c r="AA132" s="10">
        <f>IFERROR(SEARCH("a",Table1[[#This Row],[Customer_Name]]),"N/A")</f>
        <v>5</v>
      </c>
      <c r="AB132">
        <f>SEARCH(" ",Table1[[#This Row],[Customer_Name]])</f>
        <v>6</v>
      </c>
      <c r="AC132" s="11">
        <f>IFERROR(FIND("a",Table1[[#This Row],[Customer_Name]]),"N/A")</f>
        <v>5</v>
      </c>
      <c r="AD132">
        <f>FIND(" ",Table1[[#This Row],[Customer_Name]])</f>
        <v>6</v>
      </c>
      <c r="AE132" t="str">
        <f>TRIM(Table1[[#This Row],[Customer_Name]])</f>
        <v>Priya Verma</v>
      </c>
      <c r="AF132">
        <f>LEN(Table1[[#This Row],[Trimmed]])</f>
        <v>11</v>
      </c>
      <c r="AG132">
        <f>MAX(Table1[Length])</f>
        <v>15</v>
      </c>
      <c r="AH132" t="str">
        <f>PROPER(Table1[[#This Row],[Customer_Name]])</f>
        <v>Priya Verma</v>
      </c>
      <c r="AI132" t="str">
        <f>LOWER(Table1[[#This Row],[Customer_Name]])</f>
        <v>priya verma</v>
      </c>
      <c r="AJ132" t="str">
        <f>UPPER(Table1[[#This Row],[Customer_Name]])</f>
        <v>PRIYA VERMA</v>
      </c>
      <c r="AK132" t="str">
        <f>CONCATENATE(Table1[[#This Row],[Customer_ID]],Table1[[#This Row],[Customer_Name]])</f>
        <v>C1121Priya Verma</v>
      </c>
      <c r="AL132" t="s">
        <v>174</v>
      </c>
      <c r="AM132" t="s">
        <v>336</v>
      </c>
      <c r="AN132" t="s">
        <v>337</v>
      </c>
      <c r="AO132" t="s">
        <v>174</v>
      </c>
      <c r="AP132" t="s">
        <v>336</v>
      </c>
      <c r="AQ132" t="s">
        <v>569</v>
      </c>
      <c r="AR132" t="str">
        <f>TRIM(Table1[[#This Row],[City]])</f>
        <v>Delhi</v>
      </c>
      <c r="AS132" t="str">
        <f>PROPER(Table1[[#This Row],[City]])</f>
        <v>Delhi</v>
      </c>
      <c r="AT132" t="s">
        <v>569</v>
      </c>
      <c r="AU132" t="str">
        <f>CONCATENATE(Table1[[#This Row],[City]],Table1[[#This Row],[State]])</f>
        <v>DelhiDelhi</v>
      </c>
      <c r="AV132" t="s">
        <v>150</v>
      </c>
      <c r="AW132" t="s">
        <v>236</v>
      </c>
      <c r="AX132" t="str">
        <f>REPLACE(Table1[[#This Row],[Product_ID]],1,1,"s")</f>
        <v>s107</v>
      </c>
      <c r="AY132" t="s">
        <v>796</v>
      </c>
      <c r="AZ132">
        <f>SEARCH("-",Table1[[#This Row],[Product ID]])</f>
        <v>2</v>
      </c>
      <c r="BA132">
        <f>FIND("-",Table1[[#This Row],[Product ID]])</f>
        <v>2</v>
      </c>
      <c r="BB132" t="str">
        <f>MID(Table1[[#This Row],[Product_ID]],2,3)</f>
        <v>107</v>
      </c>
      <c r="BC132" t="str">
        <f>RIGHT(Table1[[#This Row],[Product_ID]],3)</f>
        <v>107</v>
      </c>
      <c r="BD132" t="str">
        <f>LEFT(Table1[[#This Row],[Product_ID]],3)</f>
        <v>P10</v>
      </c>
      <c r="BE132" t="str">
        <f>_xlfn.XLOOKUP(Table1[[#This Row],[Product_ID]],AW:AW,BF:BF,,0)</f>
        <v>Casual Sneakers</v>
      </c>
      <c r="BF132" t="s">
        <v>238</v>
      </c>
      <c r="BG132">
        <f>LEN(Table1[[#This Row],[Product_Name]])</f>
        <v>15</v>
      </c>
      <c r="BH132" t="s">
        <v>224</v>
      </c>
      <c r="BI132">
        <f t="shared" si="14"/>
        <v>75</v>
      </c>
      <c r="BJ132" t="str">
        <f>SUBSTITUTE(Table1[[#This Row],[Category]],"Electronics","ELECTRONICS")</f>
        <v>Fashion</v>
      </c>
      <c r="BN132" t="s">
        <v>225</v>
      </c>
      <c r="BS132" s="14">
        <v>5</v>
      </c>
      <c r="BT132" s="3">
        <v>2799</v>
      </c>
      <c r="BU132" s="4">
        <v>15</v>
      </c>
      <c r="BV132" s="4" t="str">
        <f>IF(AND(Table1[[#This Row],[Quantity]]&gt;=3,Table1[[#This Row],[Discount_%]]&gt;=15%),"Bulk Discount","no")</f>
        <v>Bulk Discount</v>
      </c>
      <c r="BW132" s="4" t="str">
        <f>IF(AND(Table1[[#This Row],[Quantity]]&gt;3,Table1[[#This Row],[Discount_%]]&gt;15%),"Bulk Customer","Normal")</f>
        <v>Bulk Customer</v>
      </c>
      <c r="BX132" t="s">
        <v>330</v>
      </c>
      <c r="BY132" t="s">
        <v>136</v>
      </c>
      <c r="CC132" t="str">
        <f>IF(OR(Table1[[#This Row],[Order_Status]]="Returned",Table1[[#This Row],[Order_Status]]="Cancelled"),"Attention Required","Not")</f>
        <v>Not</v>
      </c>
      <c r="CD132" t="str">
        <f>IF(OR(Table1[[#This Row],[Order_Status]]="Returned",Table1[[#This Row],[Order_Status]]="Cancelled"),"Review","no")</f>
        <v>no</v>
      </c>
      <c r="CE132" t="str">
        <f>SUBSTITUTE(Table1[[#This Row],[Order_Status]],"Delivered","Completed")</f>
        <v>Completed</v>
      </c>
      <c r="CF132" s="2">
        <v>45746</v>
      </c>
      <c r="CG132" s="17">
        <f>NETWORKDAYS(Table1[[#This Row],[Order_Date]],Table1[[#This Row],[Delivery_Date]])</f>
        <v>0</v>
      </c>
      <c r="CH132" s="17">
        <f>Table1[[#This Row],[Delivery_Date]]-Table1[[#This Row],[Order_Date]]</f>
        <v>1</v>
      </c>
      <c r="CI132" t="s">
        <v>137</v>
      </c>
      <c r="CJ132" t="str">
        <f>IF(Table1[[#This Row],[Rating]]&gt;=4,"Good","Needs Improvement")</f>
        <v>Good</v>
      </c>
      <c r="CK132" t="str">
        <f>IF(OR(Table1[[#This Row],[Rating]]&lt;=2,Table1[[#This Row],[Profit]]&lt;0),"Review","NO")</f>
        <v>NO</v>
      </c>
      <c r="CL132" t="str" cm="1">
        <f t="array" ref="CL132">_xlfn.IFS(Table1[[#This Row],[Rating]]&gt;2,"Poor",Table1[[#This Row],[Rating]]=3,"Average",Table1[[#This Row],[Rating]]=4,"Good",CP132=5,"Excellent")</f>
        <v>Poor</v>
      </c>
      <c r="CM132">
        <f>COUNT(Table1[[#This Row],[Rating]])</f>
        <v>1</v>
      </c>
      <c r="CN132">
        <f>COUNTBLANK(Table1[[#This Row],[Rating]])</f>
        <v>0</v>
      </c>
      <c r="CP132" t="s">
        <v>157</v>
      </c>
      <c r="CQ132" s="14">
        <v>5</v>
      </c>
      <c r="CR132" t="s">
        <v>173</v>
      </c>
      <c r="CS132" t="s">
        <v>213</v>
      </c>
      <c r="CU132" s="3">
        <v>11895.75</v>
      </c>
      <c r="CV132" s="3">
        <f>ROUND(Table1[[#This Row],[Sales_Amount]],0)</f>
        <v>11896</v>
      </c>
      <c r="CW132" s="3"/>
      <c r="CX132" s="3"/>
      <c r="CY132" s="3" t="str">
        <f>IF(AND(Table1[[#This Row],[Sales_Amount]]&gt;=10000,Table1[[#This Row],[Profit]]&gt;0),"Good Order")</f>
        <v>Good Order</v>
      </c>
      <c r="CZ132" s="3" t="str">
        <f>IF(Table1[[#This Row],[Sales_Amount]]&gt;=10000,"High","Normal")</f>
        <v>High</v>
      </c>
      <c r="DA132" s="3">
        <v>4395.75</v>
      </c>
      <c r="DB132" s="3">
        <f>ROUND(Table1[[#This Row],[Profit]],0)</f>
        <v>4396</v>
      </c>
      <c r="DC132" s="3">
        <f>ABS(Table1[[#This Row],[Profit]])</f>
        <v>4395.75</v>
      </c>
      <c r="DD132" s="3"/>
      <c r="DE132" s="3"/>
      <c r="DF132" s="3"/>
      <c r="DG132" s="3" t="str">
        <f>IF(Table1[[#This Row],[Profit]]&gt;0,"Profit","Loss")</f>
        <v>Profit</v>
      </c>
      <c r="DH132" s="3" t="str">
        <f>IF(AND(Table1[[#This Row],[Sales_Amount]]&gt;=10000,Table1[[#This Row],[Profit]]&gt;0),"Priority","Normal")</f>
        <v>Priority</v>
      </c>
      <c r="DI132" s="3">
        <f t="shared" ca="1" si="16"/>
        <v>0.94497876002935866</v>
      </c>
      <c r="DJ132" s="3">
        <f t="shared" ca="1" si="17"/>
        <v>62</v>
      </c>
      <c r="DK132" s="3"/>
      <c r="DL132" s="3"/>
      <c r="DM132" s="3"/>
      <c r="DN132" s="3"/>
      <c r="DO132" s="3"/>
      <c r="DP132" s="3"/>
    </row>
    <row r="133" spans="1:120">
      <c r="A133" t="s">
        <v>797</v>
      </c>
      <c r="B133" t="str">
        <f>REPLACE(Table1[[#This Row],[Order_ID]],1,3,"YOO")</f>
        <v>YOO10132</v>
      </c>
      <c r="C133" t="str">
        <f>MID(Table1[[#This Row],[Order_ID]],4,4)</f>
        <v>1013</v>
      </c>
      <c r="D133" t="str">
        <f>LEFT(Table1[[#This Row],[Order_ID]],4)</f>
        <v>ORD1</v>
      </c>
      <c r="E133" t="str">
        <f>RIGHT(Table1[[#This Row],[Order_ID]],5)</f>
        <v>10132</v>
      </c>
      <c r="F133" t="s">
        <v>5</v>
      </c>
      <c r="G133">
        <v>10132</v>
      </c>
      <c r="H133" t="s">
        <v>798</v>
      </c>
      <c r="I133" s="2">
        <f>EDATE(Table1[[#This Row],[Order_Date]],3)</f>
        <v>45819</v>
      </c>
      <c r="J133" s="2">
        <f>EDATE(Table1[[#This Row],[Order_Date]],6)</f>
        <v>45911</v>
      </c>
      <c r="K133">
        <f ca="1">YEAR(Table1[[#This Row],[Today]])</f>
        <v>2026</v>
      </c>
      <c r="L133">
        <v>132</v>
      </c>
      <c r="M133">
        <f ca="1">DAY(Table1[[#This Row],[Today]])</f>
        <v>11</v>
      </c>
      <c r="N133" s="19">
        <f t="shared" ca="1" si="20"/>
        <v>46245.589795370368</v>
      </c>
      <c r="O133" s="2">
        <f t="shared" ca="1" si="15"/>
        <v>46245</v>
      </c>
      <c r="P133" s="17">
        <f ca="1">Table1[[#This Row],[Today]]-Table1[[#This Row],[Order_Date]]</f>
        <v>518</v>
      </c>
      <c r="Q133" s="2">
        <v>45789</v>
      </c>
      <c r="R133" s="2">
        <v>45727</v>
      </c>
      <c r="S133" s="6">
        <f t="shared" si="18"/>
        <v>2025</v>
      </c>
      <c r="T133" s="7" t="str">
        <f t="shared" si="19"/>
        <v>March</v>
      </c>
      <c r="U133" s="2">
        <f>WORKDAY(Table1[[#This Row],[Order_Date]],5)</f>
        <v>45734</v>
      </c>
      <c r="V133" s="7" t="str">
        <f>CONCATENATE(Table1[[#This Row],[Customer_ID]],Table1[[#This Row],[Customer_Name]])</f>
        <v>C1035Priya Verma</v>
      </c>
      <c r="W133" t="s">
        <v>369</v>
      </c>
      <c r="X133" t="s">
        <v>335</v>
      </c>
      <c r="Y133">
        <f>COUNTA(Table1[[#This Row],[Customer_Name]])</f>
        <v>1</v>
      </c>
      <c r="Z133" t="str">
        <f>SUBSTITUTE(Table1[[#This Row],[Customer_Name]]," ","_")</f>
        <v>Priya_Verma</v>
      </c>
      <c r="AA133" s="10">
        <f>IFERROR(SEARCH("a",Table1[[#This Row],[Customer_Name]]),"N/A")</f>
        <v>5</v>
      </c>
      <c r="AB133">
        <f>SEARCH(" ",Table1[[#This Row],[Customer_Name]])</f>
        <v>6</v>
      </c>
      <c r="AC133" s="11">
        <f>IFERROR(FIND("a",Table1[[#This Row],[Customer_Name]]),"N/A")</f>
        <v>5</v>
      </c>
      <c r="AD133">
        <f>FIND(" ",Table1[[#This Row],[Customer_Name]])</f>
        <v>6</v>
      </c>
      <c r="AE133" t="str">
        <f>TRIM(Table1[[#This Row],[Customer_Name]])</f>
        <v>Priya Verma</v>
      </c>
      <c r="AF133">
        <f>LEN(Table1[[#This Row],[Trimmed]])</f>
        <v>11</v>
      </c>
      <c r="AG133">
        <f>MAX(Table1[Length])</f>
        <v>15</v>
      </c>
      <c r="AH133" t="str">
        <f>PROPER(Table1[[#This Row],[Customer_Name]])</f>
        <v>Priya Verma</v>
      </c>
      <c r="AI133" t="str">
        <f>LOWER(Table1[[#This Row],[Customer_Name]])</f>
        <v>priya verma</v>
      </c>
      <c r="AJ133" t="str">
        <f>UPPER(Table1[[#This Row],[Customer_Name]])</f>
        <v>PRIYA VERMA</v>
      </c>
      <c r="AK133" t="str">
        <f>CONCATENATE(Table1[[#This Row],[Customer_ID]],Table1[[#This Row],[Customer_Name]])</f>
        <v>C1035Priya Verma</v>
      </c>
      <c r="AL133" t="s">
        <v>174</v>
      </c>
      <c r="AM133" t="s">
        <v>336</v>
      </c>
      <c r="AN133" t="s">
        <v>337</v>
      </c>
      <c r="AO133" t="s">
        <v>174</v>
      </c>
      <c r="AP133" t="s">
        <v>336</v>
      </c>
      <c r="AQ133" t="s">
        <v>344</v>
      </c>
      <c r="AR133" t="str">
        <f>TRIM(Table1[[#This Row],[City]])</f>
        <v>Bhopal</v>
      </c>
      <c r="AS133" t="str">
        <f>PROPER(Table1[[#This Row],[City]])</f>
        <v>Bhopal</v>
      </c>
      <c r="AT133" t="s">
        <v>345</v>
      </c>
      <c r="AU133" t="str">
        <f>CONCATENATE(Table1[[#This Row],[City]],Table1[[#This Row],[State]])</f>
        <v>BhopalMadhya Pradesh</v>
      </c>
      <c r="AV133" t="s">
        <v>346</v>
      </c>
      <c r="AW133" t="s">
        <v>275</v>
      </c>
      <c r="AX133" t="str">
        <f>REPLACE(Table1[[#This Row],[Product_ID]],1,1,"s")</f>
        <v>s101</v>
      </c>
      <c r="AY133" t="s">
        <v>799</v>
      </c>
      <c r="AZ133">
        <f>SEARCH("-",Table1[[#This Row],[Product ID]])</f>
        <v>2</v>
      </c>
      <c r="BA133">
        <f>FIND("-",Table1[[#This Row],[Product ID]])</f>
        <v>2</v>
      </c>
      <c r="BB133" t="str">
        <f>MID(Table1[[#This Row],[Product_ID]],2,3)</f>
        <v>101</v>
      </c>
      <c r="BC133" t="str">
        <f>RIGHT(Table1[[#This Row],[Product_ID]],3)</f>
        <v>101</v>
      </c>
      <c r="BD133" t="str">
        <f>LEFT(Table1[[#This Row],[Product_ID]],3)</f>
        <v>P10</v>
      </c>
      <c r="BE133" t="str">
        <f>_xlfn.XLOOKUP(Table1[[#This Row],[Product_ID]],AW:AW,BF:BF,,0)</f>
        <v>Wireless Mouse</v>
      </c>
      <c r="BF133" t="s">
        <v>277</v>
      </c>
      <c r="BG133">
        <f>LEN(Table1[[#This Row],[Product_Name]])</f>
        <v>14</v>
      </c>
      <c r="BH133" t="s">
        <v>154</v>
      </c>
      <c r="BI133">
        <f t="shared" ref="BI133:BI196" si="21">COUNTIFS(BH:BH,"Electronics",CQ:CQ,"&gt;=4")</f>
        <v>75</v>
      </c>
      <c r="BJ133" t="str">
        <f>SUBSTITUTE(Table1[[#This Row],[Category]],"Electronics","ELECTRONICS")</f>
        <v>ELECTRONICS</v>
      </c>
      <c r="BN133" t="s">
        <v>155</v>
      </c>
      <c r="BS133" s="14">
        <v>3</v>
      </c>
      <c r="BT133" s="3">
        <v>799</v>
      </c>
      <c r="BU133" s="4">
        <v>10</v>
      </c>
      <c r="BV133" s="4" t="str">
        <f>IF(AND(Table1[[#This Row],[Quantity]]&gt;=3,Table1[[#This Row],[Discount_%]]&gt;=15%),"Bulk Discount","no")</f>
        <v>Bulk Discount</v>
      </c>
      <c r="BW133" s="4" t="str">
        <f>IF(AND(Table1[[#This Row],[Quantity]]&gt;3,Table1[[#This Row],[Discount_%]]&gt;15%),"Bulk Customer","Normal")</f>
        <v>Normal</v>
      </c>
      <c r="BX133" t="s">
        <v>192</v>
      </c>
      <c r="BY133" t="s">
        <v>374</v>
      </c>
      <c r="CC133" t="str">
        <f>IF(OR(Table1[[#This Row],[Order_Status]]="Returned",Table1[[#This Row],[Order_Status]]="Cancelled"),"Attention Required","Not")</f>
        <v>Attention Required</v>
      </c>
      <c r="CD133" t="str">
        <f>IF(OR(Table1[[#This Row],[Order_Status]]="Returned",Table1[[#This Row],[Order_Status]]="Cancelled"),"Review","no")</f>
        <v>Review</v>
      </c>
      <c r="CE133" t="str">
        <f>SUBSTITUTE(Table1[[#This Row],[Order_Status]],"Delivered","Completed")</f>
        <v>Returned</v>
      </c>
      <c r="CF133" s="2">
        <v>45729</v>
      </c>
      <c r="CG133" s="17">
        <f>NETWORKDAYS(Table1[[#This Row],[Order_Date]],Table1[[#This Row],[Delivery_Date]])</f>
        <v>3</v>
      </c>
      <c r="CH133" s="17">
        <f>Table1[[#This Row],[Delivery_Date]]-Table1[[#This Row],[Order_Date]]</f>
        <v>2</v>
      </c>
      <c r="CI133" t="s">
        <v>375</v>
      </c>
      <c r="CJ133" t="str">
        <f>IF(Table1[[#This Row],[Rating]]&gt;=4,"Good","Needs Improvement")</f>
        <v>Good</v>
      </c>
      <c r="CK133" t="str">
        <f>IF(OR(Table1[[#This Row],[Rating]]&lt;=2,Table1[[#This Row],[Profit]]&lt;0),"Review","NO")</f>
        <v>NO</v>
      </c>
      <c r="CL133" t="str" cm="1">
        <f t="array" ref="CL133">_xlfn.IFS(Table1[[#This Row],[Rating]]&gt;2,"Poor",Table1[[#This Row],[Rating]]=3,"Average",Table1[[#This Row],[Rating]]=4,"Good",CP133=5,"Excellent")</f>
        <v>Poor</v>
      </c>
      <c r="CM133">
        <f>COUNT(Table1[[#This Row],[Rating]])</f>
        <v>1</v>
      </c>
      <c r="CN133">
        <f>COUNTBLANK(Table1[[#This Row],[Rating]])</f>
        <v>0</v>
      </c>
      <c r="CP133" t="s">
        <v>266</v>
      </c>
      <c r="CQ133" s="14">
        <v>5</v>
      </c>
      <c r="CR133" t="s">
        <v>173</v>
      </c>
      <c r="CS133" t="s">
        <v>213</v>
      </c>
      <c r="CU133" s="3">
        <v>2157.3000000000002</v>
      </c>
      <c r="CV133" s="3">
        <f>ROUND(Table1[[#This Row],[Sales_Amount]],0)</f>
        <v>2157</v>
      </c>
      <c r="CW133" s="3"/>
      <c r="CX133" s="3"/>
      <c r="CY133" s="3" t="b">
        <f>IF(AND(Table1[[#This Row],[Sales_Amount]]&gt;=10000,Table1[[#This Row],[Profit]]&gt;0),"Good Order")</f>
        <v>0</v>
      </c>
      <c r="CZ133" s="3" t="str">
        <f>IF(Table1[[#This Row],[Sales_Amount]]&gt;=10000,"High","Normal")</f>
        <v>Normal</v>
      </c>
      <c r="DA133" s="3">
        <v>897.3</v>
      </c>
      <c r="DB133" s="3">
        <f>ROUND(Table1[[#This Row],[Profit]],0)</f>
        <v>897</v>
      </c>
      <c r="DC133" s="3">
        <f>ABS(Table1[[#This Row],[Profit]])</f>
        <v>897.3</v>
      </c>
      <c r="DD133" s="3"/>
      <c r="DE133" s="3"/>
      <c r="DF133" s="3"/>
      <c r="DG133" s="3" t="str">
        <f>IF(Table1[[#This Row],[Profit]]&gt;0,"Profit","Loss")</f>
        <v>Profit</v>
      </c>
      <c r="DH133" s="3" t="str">
        <f>IF(AND(Table1[[#This Row],[Sales_Amount]]&gt;=10000,Table1[[#This Row],[Profit]]&gt;0),"Priority","Normal")</f>
        <v>Normal</v>
      </c>
      <c r="DI133" s="3">
        <f t="shared" ca="1" si="16"/>
        <v>0.22668263490728513</v>
      </c>
      <c r="DJ133" s="3">
        <f t="shared" ca="1" si="17"/>
        <v>73</v>
      </c>
      <c r="DK133" s="3"/>
      <c r="DL133" s="3"/>
      <c r="DM133" s="3"/>
      <c r="DN133" s="3"/>
      <c r="DO133" s="3"/>
      <c r="DP133" s="3"/>
    </row>
    <row r="134" spans="1:120">
      <c r="A134" t="s">
        <v>800</v>
      </c>
      <c r="B134" t="str">
        <f>REPLACE(Table1[[#This Row],[Order_ID]],1,3,"YOO")</f>
        <v>YOO10133</v>
      </c>
      <c r="C134" t="str">
        <f>MID(Table1[[#This Row],[Order_ID]],4,4)</f>
        <v>1013</v>
      </c>
      <c r="D134" t="str">
        <f>LEFT(Table1[[#This Row],[Order_ID]],4)</f>
        <v>ORD1</v>
      </c>
      <c r="E134" t="str">
        <f>RIGHT(Table1[[#This Row],[Order_ID]],5)</f>
        <v>10133</v>
      </c>
      <c r="F134" t="s">
        <v>5</v>
      </c>
      <c r="G134">
        <v>10133</v>
      </c>
      <c r="H134" t="s">
        <v>801</v>
      </c>
      <c r="I134" s="2">
        <f>EDATE(Table1[[#This Row],[Order_Date]],3)</f>
        <v>46224</v>
      </c>
      <c r="J134" s="2">
        <f>EDATE(Table1[[#This Row],[Order_Date]],6)</f>
        <v>46316</v>
      </c>
      <c r="K134">
        <f ca="1">YEAR(Table1[[#This Row],[Today]])</f>
        <v>2026</v>
      </c>
      <c r="L134">
        <v>133</v>
      </c>
      <c r="M134">
        <f ca="1">DAY(Table1[[#This Row],[Today]])</f>
        <v>11</v>
      </c>
      <c r="N134" s="19">
        <f t="shared" ca="1" si="20"/>
        <v>46245.589795138891</v>
      </c>
      <c r="O134" s="2">
        <f t="shared" ca="1" si="15"/>
        <v>46245</v>
      </c>
      <c r="P134" s="17">
        <f ca="1">Table1[[#This Row],[Today]]-Table1[[#This Row],[Order_Date]]</f>
        <v>112</v>
      </c>
      <c r="Q134" s="2">
        <v>45790</v>
      </c>
      <c r="R134" s="2">
        <v>46133</v>
      </c>
      <c r="S134" s="6">
        <f t="shared" si="18"/>
        <v>2026</v>
      </c>
      <c r="T134" s="7" t="str">
        <f t="shared" si="19"/>
        <v>April</v>
      </c>
      <c r="U134" s="2">
        <f>WORKDAY(Table1[[#This Row],[Order_Date]],5)</f>
        <v>46140</v>
      </c>
      <c r="V134" s="7" t="str">
        <f>CONCATENATE(Table1[[#This Row],[Customer_ID]],Table1[[#This Row],[Customer_Name]])</f>
        <v>C1118Priya Verma</v>
      </c>
      <c r="W134" t="s">
        <v>354</v>
      </c>
      <c r="X134" t="s">
        <v>335</v>
      </c>
      <c r="Y134">
        <f>COUNTA(Table1[[#This Row],[Customer_Name]])</f>
        <v>1</v>
      </c>
      <c r="Z134" t="str">
        <f>SUBSTITUTE(Table1[[#This Row],[Customer_Name]]," ","_")</f>
        <v>Priya_Verma</v>
      </c>
      <c r="AA134" s="10">
        <f>IFERROR(SEARCH("a",Table1[[#This Row],[Customer_Name]]),"N/A")</f>
        <v>5</v>
      </c>
      <c r="AB134">
        <f>SEARCH(" ",Table1[[#This Row],[Customer_Name]])</f>
        <v>6</v>
      </c>
      <c r="AC134" s="11">
        <f>IFERROR(FIND("a",Table1[[#This Row],[Customer_Name]]),"N/A")</f>
        <v>5</v>
      </c>
      <c r="AD134">
        <f>FIND(" ",Table1[[#This Row],[Customer_Name]])</f>
        <v>6</v>
      </c>
      <c r="AE134" t="str">
        <f>TRIM(Table1[[#This Row],[Customer_Name]])</f>
        <v>Priya Verma</v>
      </c>
      <c r="AF134">
        <f>LEN(Table1[[#This Row],[Trimmed]])</f>
        <v>11</v>
      </c>
      <c r="AG134">
        <f>MAX(Table1[Length])</f>
        <v>15</v>
      </c>
      <c r="AH134" t="str">
        <f>PROPER(Table1[[#This Row],[Customer_Name]])</f>
        <v>Priya Verma</v>
      </c>
      <c r="AI134" t="str">
        <f>LOWER(Table1[[#This Row],[Customer_Name]])</f>
        <v>priya verma</v>
      </c>
      <c r="AJ134" t="str">
        <f>UPPER(Table1[[#This Row],[Customer_Name]])</f>
        <v>PRIYA VERMA</v>
      </c>
      <c r="AK134" t="str">
        <f>CONCATENATE(Table1[[#This Row],[Customer_ID]],Table1[[#This Row],[Customer_Name]])</f>
        <v>C1118Priya Verma</v>
      </c>
      <c r="AL134" t="s">
        <v>174</v>
      </c>
      <c r="AM134" t="s">
        <v>336</v>
      </c>
      <c r="AN134" t="s">
        <v>337</v>
      </c>
      <c r="AO134" t="s">
        <v>174</v>
      </c>
      <c r="AP134" t="s">
        <v>336</v>
      </c>
      <c r="AQ134" t="s">
        <v>199</v>
      </c>
      <c r="AR134" t="str">
        <f>TRIM(Table1[[#This Row],[City]])</f>
        <v>Lucknow</v>
      </c>
      <c r="AS134" t="str">
        <f>PROPER(Table1[[#This Row],[City]])</f>
        <v>Lucknow</v>
      </c>
      <c r="AT134" t="s">
        <v>200</v>
      </c>
      <c r="AU134" t="str">
        <f>CONCATENATE(Table1[[#This Row],[City]],Table1[[#This Row],[State]])</f>
        <v>LucknowUttar Pradesh</v>
      </c>
      <c r="AV134" t="s">
        <v>150</v>
      </c>
      <c r="AW134" t="s">
        <v>319</v>
      </c>
      <c r="AX134" t="str">
        <f>REPLACE(Table1[[#This Row],[Product_ID]],1,1,"s")</f>
        <v>s103</v>
      </c>
      <c r="AY134" t="s">
        <v>802</v>
      </c>
      <c r="AZ134">
        <f>SEARCH("-",Table1[[#This Row],[Product ID]])</f>
        <v>2</v>
      </c>
      <c r="BA134">
        <f>FIND("-",Table1[[#This Row],[Product ID]])</f>
        <v>2</v>
      </c>
      <c r="BB134" t="str">
        <f>MID(Table1[[#This Row],[Product_ID]],2,3)</f>
        <v>103</v>
      </c>
      <c r="BC134" t="str">
        <f>RIGHT(Table1[[#This Row],[Product_ID]],3)</f>
        <v>103</v>
      </c>
      <c r="BD134" t="str">
        <f>LEFT(Table1[[#This Row],[Product_ID]],3)</f>
        <v>P10</v>
      </c>
      <c r="BE134" t="str">
        <f>_xlfn.XLOOKUP(Table1[[#This Row],[Product_ID]],AW:AW,BF:BF,,0)</f>
        <v>Laptop Stand</v>
      </c>
      <c r="BF134" t="s">
        <v>321</v>
      </c>
      <c r="BG134">
        <f>LEN(Table1[[#This Row],[Product_Name]])</f>
        <v>12</v>
      </c>
      <c r="BH134" t="s">
        <v>154</v>
      </c>
      <c r="BI134">
        <f t="shared" si="21"/>
        <v>75</v>
      </c>
      <c r="BJ134" t="str">
        <f>SUBSTITUTE(Table1[[#This Row],[Category]],"Electronics","ELECTRONICS")</f>
        <v>ELECTRONICS</v>
      </c>
      <c r="BN134" t="s">
        <v>155</v>
      </c>
      <c r="BS134" s="14">
        <v>4</v>
      </c>
      <c r="BT134" s="3">
        <v>1599</v>
      </c>
      <c r="BU134" s="4">
        <v>5</v>
      </c>
      <c r="BV134" s="4" t="str">
        <f>IF(AND(Table1[[#This Row],[Quantity]]&gt;=3,Table1[[#This Row],[Discount_%]]&gt;=15%),"Bulk Discount","no")</f>
        <v>Bulk Discount</v>
      </c>
      <c r="BW134" s="4" t="str">
        <f>IF(AND(Table1[[#This Row],[Quantity]]&gt;3,Table1[[#This Row],[Discount_%]]&gt;15%),"Bulk Customer","Normal")</f>
        <v>Bulk Customer</v>
      </c>
      <c r="BX134" t="s">
        <v>192</v>
      </c>
      <c r="BY134" t="s">
        <v>193</v>
      </c>
      <c r="CC134" t="str">
        <f>IF(OR(Table1[[#This Row],[Order_Status]]="Returned",Table1[[#This Row],[Order_Status]]="Cancelled"),"Attention Required","Not")</f>
        <v>Not</v>
      </c>
      <c r="CD134" t="str">
        <f>IF(OR(Table1[[#This Row],[Order_Status]]="Returned",Table1[[#This Row],[Order_Status]]="Cancelled"),"Review","no")</f>
        <v>no</v>
      </c>
      <c r="CE134" t="str">
        <f>SUBSTITUTE(Table1[[#This Row],[Order_Status]],"Delivered","Completed")</f>
        <v>Shipped</v>
      </c>
      <c r="CF134" s="2">
        <v>46136</v>
      </c>
      <c r="CG134" s="17">
        <f>NETWORKDAYS(Table1[[#This Row],[Order_Date]],Table1[[#This Row],[Delivery_Date]])</f>
        <v>4</v>
      </c>
      <c r="CH134" s="17">
        <f>Table1[[#This Row],[Delivery_Date]]-Table1[[#This Row],[Order_Date]]</f>
        <v>3</v>
      </c>
      <c r="CI134" t="s">
        <v>137</v>
      </c>
      <c r="CJ134" t="str">
        <f>IF(Table1[[#This Row],[Rating]]&gt;=4,"Good","Needs Improvement")</f>
        <v>Needs Improvement</v>
      </c>
      <c r="CK134" t="str">
        <f>IF(OR(Table1[[#This Row],[Rating]]&lt;=2,Table1[[#This Row],[Profit]]&lt;0),"Review","NO")</f>
        <v>Review</v>
      </c>
      <c r="CL134" t="e" cm="1">
        <f t="array" ref="CL134">_xlfn.IFS(Table1[[#This Row],[Rating]]&gt;2,"Poor",Table1[[#This Row],[Rating]]=3,"Average",Table1[[#This Row],[Rating]]=4,"Good",CP134=5,"Excellent")</f>
        <v>#N/A</v>
      </c>
      <c r="CM134">
        <f>COUNT(Table1[[#This Row],[Rating]])</f>
        <v>1</v>
      </c>
      <c r="CN134">
        <f>COUNTBLANK(Table1[[#This Row],[Rating]])</f>
        <v>0</v>
      </c>
      <c r="CP134" t="s">
        <v>194</v>
      </c>
      <c r="CQ134" s="14">
        <v>2</v>
      </c>
      <c r="CR134" t="s">
        <v>139</v>
      </c>
      <c r="CS134" t="s">
        <v>158</v>
      </c>
      <c r="CU134" s="3">
        <v>6076.2</v>
      </c>
      <c r="CV134" s="3">
        <f>ROUND(Table1[[#This Row],[Sales_Amount]],0)</f>
        <v>6076</v>
      </c>
      <c r="CW134" s="3"/>
      <c r="CX134" s="3"/>
      <c r="CY134" s="3" t="b">
        <f>IF(AND(Table1[[#This Row],[Sales_Amount]]&gt;=10000,Table1[[#This Row],[Profit]]&gt;0),"Good Order")</f>
        <v>0</v>
      </c>
      <c r="CZ134" s="3" t="str">
        <f>IF(Table1[[#This Row],[Sales_Amount]]&gt;=10000,"High","Normal")</f>
        <v>Normal</v>
      </c>
      <c r="DA134" s="3">
        <v>2476.1999999999998</v>
      </c>
      <c r="DB134" s="3">
        <f>ROUND(Table1[[#This Row],[Profit]],0)</f>
        <v>2476</v>
      </c>
      <c r="DC134" s="3">
        <f>ABS(Table1[[#This Row],[Profit]])</f>
        <v>2476.1999999999998</v>
      </c>
      <c r="DD134" s="3"/>
      <c r="DE134" s="3"/>
      <c r="DF134" s="3"/>
      <c r="DG134" s="3" t="str">
        <f>IF(Table1[[#This Row],[Profit]]&gt;0,"Profit","Loss")</f>
        <v>Profit</v>
      </c>
      <c r="DH134" s="3" t="str">
        <f>IF(AND(Table1[[#This Row],[Sales_Amount]]&gt;=10000,Table1[[#This Row],[Profit]]&gt;0),"Priority","Normal")</f>
        <v>Normal</v>
      </c>
      <c r="DI134" s="3">
        <f t="shared" ca="1" si="16"/>
        <v>3.1084384323796233E-2</v>
      </c>
      <c r="DJ134" s="3">
        <f t="shared" ca="1" si="17"/>
        <v>49</v>
      </c>
      <c r="DK134" s="3"/>
      <c r="DL134" s="3"/>
      <c r="DM134" s="3"/>
      <c r="DN134" s="3"/>
      <c r="DO134" s="3"/>
      <c r="DP134" s="3"/>
    </row>
    <row r="135" spans="1:120">
      <c r="A135" t="s">
        <v>803</v>
      </c>
      <c r="B135" t="str">
        <f>REPLACE(Table1[[#This Row],[Order_ID]],1,3,"YOO")</f>
        <v>YOO10134</v>
      </c>
      <c r="C135" t="str">
        <f>MID(Table1[[#This Row],[Order_ID]],4,4)</f>
        <v>1013</v>
      </c>
      <c r="D135" t="str">
        <f>LEFT(Table1[[#This Row],[Order_ID]],4)</f>
        <v>ORD1</v>
      </c>
      <c r="E135" t="str">
        <f>RIGHT(Table1[[#This Row],[Order_ID]],5)</f>
        <v>10134</v>
      </c>
      <c r="F135" t="s">
        <v>5</v>
      </c>
      <c r="G135">
        <v>10134</v>
      </c>
      <c r="H135" t="s">
        <v>804</v>
      </c>
      <c r="I135" s="2">
        <f>EDATE(Table1[[#This Row],[Order_Date]],3)</f>
        <v>46073</v>
      </c>
      <c r="J135" s="2">
        <f>EDATE(Table1[[#This Row],[Order_Date]],6)</f>
        <v>46162</v>
      </c>
      <c r="K135">
        <f ca="1">YEAR(Table1[[#This Row],[Today]])</f>
        <v>2026</v>
      </c>
      <c r="L135">
        <v>134</v>
      </c>
      <c r="M135">
        <f ca="1">DAY(Table1[[#This Row],[Today]])</f>
        <v>11</v>
      </c>
      <c r="N135" s="19">
        <f t="shared" ca="1" si="20"/>
        <v>46245.589795370368</v>
      </c>
      <c r="O135" s="2">
        <f t="shared" ca="1" si="15"/>
        <v>46245</v>
      </c>
      <c r="P135" s="17">
        <f ca="1">Table1[[#This Row],[Today]]-Table1[[#This Row],[Order_Date]]</f>
        <v>264</v>
      </c>
      <c r="Q135" s="2">
        <v>45791</v>
      </c>
      <c r="R135" s="2">
        <v>45981</v>
      </c>
      <c r="S135" s="6">
        <f t="shared" si="18"/>
        <v>2025</v>
      </c>
      <c r="T135" s="7" t="str">
        <f t="shared" si="19"/>
        <v>November</v>
      </c>
      <c r="U135" s="2">
        <f>WORKDAY(Table1[[#This Row],[Order_Date]],5)</f>
        <v>45988</v>
      </c>
      <c r="V135" s="7" t="str">
        <f>CONCATENATE(Table1[[#This Row],[Customer_ID]],Table1[[#This Row],[Customer_Name]])</f>
        <v>C1010Karan Patel</v>
      </c>
      <c r="W135" t="s">
        <v>399</v>
      </c>
      <c r="X135" t="s">
        <v>280</v>
      </c>
      <c r="Y135">
        <f>COUNTA(Table1[[#This Row],[Customer_Name]])</f>
        <v>1</v>
      </c>
      <c r="Z135" t="str">
        <f>SUBSTITUTE(Table1[[#This Row],[Customer_Name]]," ","_")</f>
        <v>Karan_Patel</v>
      </c>
      <c r="AA135" s="10">
        <f>IFERROR(SEARCH("a",Table1[[#This Row],[Customer_Name]]),"N/A")</f>
        <v>2</v>
      </c>
      <c r="AB135">
        <f>SEARCH(" ",Table1[[#This Row],[Customer_Name]])</f>
        <v>6</v>
      </c>
      <c r="AC135" s="11">
        <f>IFERROR(FIND("a",Table1[[#This Row],[Customer_Name]]),"N/A")</f>
        <v>2</v>
      </c>
      <c r="AD135">
        <f>FIND(" ",Table1[[#This Row],[Customer_Name]])</f>
        <v>6</v>
      </c>
      <c r="AE135" t="str">
        <f>TRIM(Table1[[#This Row],[Customer_Name]])</f>
        <v>Karan Patel</v>
      </c>
      <c r="AF135">
        <f>LEN(Table1[[#This Row],[Trimmed]])</f>
        <v>11</v>
      </c>
      <c r="AG135">
        <f>MAX(Table1[Length])</f>
        <v>15</v>
      </c>
      <c r="AH135" t="str">
        <f>PROPER(Table1[[#This Row],[Customer_Name]])</f>
        <v>Karan Patel</v>
      </c>
      <c r="AI135" t="str">
        <f>LOWER(Table1[[#This Row],[Customer_Name]])</f>
        <v>karan patel</v>
      </c>
      <c r="AJ135" t="str">
        <f>UPPER(Table1[[#This Row],[Customer_Name]])</f>
        <v>KARAN PATEL</v>
      </c>
      <c r="AK135" t="str">
        <f>CONCATENATE(Table1[[#This Row],[Customer_ID]],Table1[[#This Row],[Customer_Name]])</f>
        <v>C1010Karan Patel</v>
      </c>
      <c r="AL135" t="s">
        <v>281</v>
      </c>
      <c r="AM135" t="s">
        <v>282</v>
      </c>
      <c r="AN135" t="s">
        <v>283</v>
      </c>
      <c r="AO135" t="s">
        <v>281</v>
      </c>
      <c r="AP135" t="s">
        <v>282</v>
      </c>
      <c r="AQ135" t="s">
        <v>805</v>
      </c>
      <c r="AR135" t="str">
        <f>TRIM(Table1[[#This Row],[City]])</f>
        <v>Mumbai</v>
      </c>
      <c r="AS135" t="str">
        <f>PROPER(Table1[[#This Row],[City]])</f>
        <v xml:space="preserve"> Mumbai </v>
      </c>
      <c r="AT135" t="s">
        <v>128</v>
      </c>
      <c r="AU135" t="str">
        <f>CONCATENATE(Table1[[#This Row],[City]],Table1[[#This Row],[State]])</f>
        <v xml:space="preserve"> Mumbai Maharashtra</v>
      </c>
      <c r="AV135" t="s">
        <v>129</v>
      </c>
      <c r="AW135" t="s">
        <v>338</v>
      </c>
      <c r="AX135" t="str">
        <f>REPLACE(Table1[[#This Row],[Product_ID]],1,1,"s")</f>
        <v>s115</v>
      </c>
      <c r="AY135" t="s">
        <v>806</v>
      </c>
      <c r="AZ135">
        <f>SEARCH("-",Table1[[#This Row],[Product ID]])</f>
        <v>2</v>
      </c>
      <c r="BA135">
        <f>FIND("-",Table1[[#This Row],[Product ID]])</f>
        <v>2</v>
      </c>
      <c r="BB135" t="str">
        <f>MID(Table1[[#This Row],[Product_ID]],2,3)</f>
        <v>115</v>
      </c>
      <c r="BC135" t="str">
        <f>RIGHT(Table1[[#This Row],[Product_ID]],3)</f>
        <v>115</v>
      </c>
      <c r="BD135" t="str">
        <f>LEFT(Table1[[#This Row],[Product_ID]],3)</f>
        <v>P11</v>
      </c>
      <c r="BE135" t="str">
        <f>_xlfn.XLOOKUP(Table1[[#This Row],[Product_ID]],AW:AW,BF:BF,,0)</f>
        <v>Dumbbell Set</v>
      </c>
      <c r="BF135" t="s">
        <v>340</v>
      </c>
      <c r="BG135">
        <f>LEN(Table1[[#This Row],[Product_Name]])</f>
        <v>12</v>
      </c>
      <c r="BH135" t="s">
        <v>264</v>
      </c>
      <c r="BI135">
        <f t="shared" si="21"/>
        <v>75</v>
      </c>
      <c r="BJ135" t="str">
        <f>SUBSTITUTE(Table1[[#This Row],[Category]],"Electronics","ELECTRONICS")</f>
        <v>Sports</v>
      </c>
      <c r="BN135" t="s">
        <v>265</v>
      </c>
      <c r="BS135" s="14">
        <v>3</v>
      </c>
      <c r="BT135" s="3">
        <v>2499</v>
      </c>
      <c r="BU135" s="4">
        <v>20</v>
      </c>
      <c r="BV135" s="4" t="str">
        <f>IF(AND(Table1[[#This Row],[Quantity]]&gt;=3,Table1[[#This Row],[Discount_%]]&gt;=15%),"Bulk Discount","no")</f>
        <v>Bulk Discount</v>
      </c>
      <c r="BW135" s="4" t="str">
        <f>IF(AND(Table1[[#This Row],[Quantity]]&gt;3,Table1[[#This Row],[Discount_%]]&gt;15%),"Bulk Customer","Normal")</f>
        <v>Normal</v>
      </c>
      <c r="BX135" t="s">
        <v>192</v>
      </c>
      <c r="BY135" t="s">
        <v>193</v>
      </c>
      <c r="CC135" t="str">
        <f>IF(OR(Table1[[#This Row],[Order_Status]]="Returned",Table1[[#This Row],[Order_Status]]="Cancelled"),"Attention Required","Not")</f>
        <v>Not</v>
      </c>
      <c r="CD135" t="str">
        <f>IF(OR(Table1[[#This Row],[Order_Status]]="Returned",Table1[[#This Row],[Order_Status]]="Cancelled"),"Review","no")</f>
        <v>no</v>
      </c>
      <c r="CE135" t="str">
        <f>SUBSTITUTE(Table1[[#This Row],[Order_Status]],"Delivered","Completed")</f>
        <v>Shipped</v>
      </c>
      <c r="CF135" s="2">
        <v>45989</v>
      </c>
      <c r="CG135" s="17">
        <f>NETWORKDAYS(Table1[[#This Row],[Order_Date]],Table1[[#This Row],[Delivery_Date]])</f>
        <v>7</v>
      </c>
      <c r="CH135" s="17">
        <f>Table1[[#This Row],[Delivery_Date]]-Table1[[#This Row],[Order_Date]]</f>
        <v>8</v>
      </c>
      <c r="CI135" t="s">
        <v>137</v>
      </c>
      <c r="CJ135" t="str">
        <f>IF(Table1[[#This Row],[Rating]]&gt;=4,"Good","Needs Improvement")</f>
        <v>Good</v>
      </c>
      <c r="CK135" t="str">
        <f>IF(OR(Table1[[#This Row],[Rating]]&lt;=2,Table1[[#This Row],[Profit]]&lt;0),"Review","NO")</f>
        <v>NO</v>
      </c>
      <c r="CL135" t="str" cm="1">
        <f t="array" ref="CL135">_xlfn.IFS(Table1[[#This Row],[Rating]]&gt;2,"Poor",Table1[[#This Row],[Rating]]=3,"Average",Table1[[#This Row],[Rating]]=4,"Good",CP135=5,"Excellent")</f>
        <v>Poor</v>
      </c>
      <c r="CM135">
        <f>COUNT(Table1[[#This Row],[Rating]])</f>
        <v>1</v>
      </c>
      <c r="CN135">
        <f>COUNTBLANK(Table1[[#This Row],[Rating]])</f>
        <v>0</v>
      </c>
      <c r="CP135" t="s">
        <v>157</v>
      </c>
      <c r="CQ135" s="14">
        <v>4</v>
      </c>
      <c r="CR135" t="s">
        <v>139</v>
      </c>
      <c r="CS135" t="s">
        <v>213</v>
      </c>
      <c r="CU135" s="3">
        <v>5997.6</v>
      </c>
      <c r="CV135" s="3">
        <f>ROUND(Table1[[#This Row],[Sales_Amount]],0)</f>
        <v>5998</v>
      </c>
      <c r="CW135" s="3"/>
      <c r="CX135" s="3"/>
      <c r="CY135" s="3" t="b">
        <f>IF(AND(Table1[[#This Row],[Sales_Amount]]&gt;=10000,Table1[[#This Row],[Profit]]&gt;0),"Good Order")</f>
        <v>0</v>
      </c>
      <c r="CZ135" s="3" t="str">
        <f>IF(Table1[[#This Row],[Sales_Amount]]&gt;=10000,"High","Normal")</f>
        <v>Normal</v>
      </c>
      <c r="DA135" s="3">
        <v>1647.6</v>
      </c>
      <c r="DB135" s="3">
        <f>ROUND(Table1[[#This Row],[Profit]],0)</f>
        <v>1648</v>
      </c>
      <c r="DC135" s="3">
        <f>ABS(Table1[[#This Row],[Profit]])</f>
        <v>1647.6</v>
      </c>
      <c r="DD135" s="3"/>
      <c r="DE135" s="3"/>
      <c r="DF135" s="3"/>
      <c r="DG135" s="3" t="str">
        <f>IF(Table1[[#This Row],[Profit]]&gt;0,"Profit","Loss")</f>
        <v>Profit</v>
      </c>
      <c r="DH135" s="3" t="str">
        <f>IF(AND(Table1[[#This Row],[Sales_Amount]]&gt;=10000,Table1[[#This Row],[Profit]]&gt;0),"Priority","Normal")</f>
        <v>Normal</v>
      </c>
      <c r="DI135" s="3">
        <f t="shared" ca="1" si="16"/>
        <v>2.796318258564412E-2</v>
      </c>
      <c r="DJ135" s="3">
        <f t="shared" ca="1" si="17"/>
        <v>52</v>
      </c>
      <c r="DK135" s="3"/>
      <c r="DL135" s="3"/>
      <c r="DM135" s="3"/>
      <c r="DN135" s="3"/>
      <c r="DO135" s="3"/>
      <c r="DP135" s="3"/>
    </row>
    <row r="136" spans="1:120">
      <c r="A136" t="s">
        <v>807</v>
      </c>
      <c r="B136" t="str">
        <f>REPLACE(Table1[[#This Row],[Order_ID]],1,3,"YOO")</f>
        <v>YOO10135</v>
      </c>
      <c r="C136" t="str">
        <f>MID(Table1[[#This Row],[Order_ID]],4,4)</f>
        <v>1013</v>
      </c>
      <c r="D136" t="str">
        <f>LEFT(Table1[[#This Row],[Order_ID]],4)</f>
        <v>ORD1</v>
      </c>
      <c r="E136" t="str">
        <f>RIGHT(Table1[[#This Row],[Order_ID]],5)</f>
        <v>10135</v>
      </c>
      <c r="F136" t="s">
        <v>5</v>
      </c>
      <c r="G136">
        <v>10135</v>
      </c>
      <c r="H136" t="s">
        <v>808</v>
      </c>
      <c r="I136" s="2">
        <f>EDATE(Table1[[#This Row],[Order_Date]],3)</f>
        <v>45877</v>
      </c>
      <c r="J136" s="2">
        <f>EDATE(Table1[[#This Row],[Order_Date]],6)</f>
        <v>45969</v>
      </c>
      <c r="K136">
        <f ca="1">YEAR(Table1[[#This Row],[Today]])</f>
        <v>2026</v>
      </c>
      <c r="L136">
        <v>135</v>
      </c>
      <c r="M136">
        <f ca="1">DAY(Table1[[#This Row],[Today]])</f>
        <v>11</v>
      </c>
      <c r="N136" s="19">
        <f t="shared" ca="1" si="20"/>
        <v>46245.589795370368</v>
      </c>
      <c r="O136" s="2">
        <f t="shared" ca="1" si="15"/>
        <v>46245</v>
      </c>
      <c r="P136" s="17">
        <f ca="1">Table1[[#This Row],[Today]]-Table1[[#This Row],[Order_Date]]</f>
        <v>460</v>
      </c>
      <c r="Q136" s="2">
        <v>45792</v>
      </c>
      <c r="R136" s="2">
        <v>45785</v>
      </c>
      <c r="S136" s="6">
        <f t="shared" si="18"/>
        <v>2025</v>
      </c>
      <c r="T136" s="7" t="str">
        <f t="shared" si="19"/>
        <v>May</v>
      </c>
      <c r="U136" s="2">
        <f>WORKDAY(Table1[[#This Row],[Order_Date]],5)</f>
        <v>45792</v>
      </c>
      <c r="V136" s="7" t="str">
        <f>CONCATENATE(Table1[[#This Row],[Customer_ID]],Table1[[#This Row],[Customer_Name]])</f>
        <v xml:space="preserve">C1087  simran kaur  </v>
      </c>
      <c r="W136" t="s">
        <v>289</v>
      </c>
      <c r="X136" t="s">
        <v>809</v>
      </c>
      <c r="Y136">
        <f>COUNTA(Table1[[#This Row],[Customer_Name]])</f>
        <v>1</v>
      </c>
      <c r="Z136" t="str">
        <f>SUBSTITUTE(Table1[[#This Row],[Customer_Name]]," ","_")</f>
        <v>__simran_kaur__</v>
      </c>
      <c r="AA136" s="10">
        <f>IFERROR(SEARCH("a",Table1[[#This Row],[Customer_Name]]),"N/A")</f>
        <v>7</v>
      </c>
      <c r="AB136">
        <f>SEARCH(" ",Table1[[#This Row],[Customer_Name]])</f>
        <v>1</v>
      </c>
      <c r="AC136" s="11">
        <f>IFERROR(FIND("a",Table1[[#This Row],[Customer_Name]]),"N/A")</f>
        <v>7</v>
      </c>
      <c r="AD136">
        <f>FIND(" ",Table1[[#This Row],[Customer_Name]])</f>
        <v>1</v>
      </c>
      <c r="AE136" t="str">
        <f>TRIM(Table1[[#This Row],[Customer_Name]])</f>
        <v>simran kaur</v>
      </c>
      <c r="AF136">
        <f>LEN(Table1[[#This Row],[Trimmed]])</f>
        <v>11</v>
      </c>
      <c r="AG136">
        <f>MAX(Table1[Length])</f>
        <v>15</v>
      </c>
      <c r="AH136" t="str">
        <f>PROPER(Table1[[#This Row],[Customer_Name]])</f>
        <v xml:space="preserve">  Simran Kaur  </v>
      </c>
      <c r="AI136" t="str">
        <f>LOWER(Table1[[#This Row],[Customer_Name]])</f>
        <v xml:space="preserve">  simran kaur  </v>
      </c>
      <c r="AJ136" t="str">
        <f>UPPER(Table1[[#This Row],[Customer_Name]])</f>
        <v xml:space="preserve">  SIMRAN KAUR  </v>
      </c>
      <c r="AK136" t="str">
        <f>CONCATENATE(Table1[[#This Row],[Customer_ID]],Table1[[#This Row],[Customer_Name]])</f>
        <v xml:space="preserve">C1087  simran kaur  </v>
      </c>
      <c r="AL136" t="s">
        <v>810</v>
      </c>
      <c r="AM136" t="s">
        <v>811</v>
      </c>
      <c r="AN136" t="s">
        <v>328</v>
      </c>
      <c r="AO136" t="s">
        <v>810</v>
      </c>
      <c r="AP136" t="s">
        <v>811</v>
      </c>
      <c r="AQ136" t="s">
        <v>379</v>
      </c>
      <c r="AR136" t="str">
        <f>TRIM(Table1[[#This Row],[City]])</f>
        <v>Indore</v>
      </c>
      <c r="AS136" t="str">
        <f>PROPER(Table1[[#This Row],[City]])</f>
        <v>Indore</v>
      </c>
      <c r="AT136" t="s">
        <v>345</v>
      </c>
      <c r="AU136" t="str">
        <f>CONCATENATE(Table1[[#This Row],[City]],Table1[[#This Row],[State]])</f>
        <v>IndoreMadhya Pradesh</v>
      </c>
      <c r="AV136" t="s">
        <v>346</v>
      </c>
      <c r="AW136" t="s">
        <v>221</v>
      </c>
      <c r="AX136" t="str">
        <f>REPLACE(Table1[[#This Row],[Product_ID]],1,1,"s")</f>
        <v>s106</v>
      </c>
      <c r="AY136" t="s">
        <v>812</v>
      </c>
      <c r="AZ136">
        <f>SEARCH("-",Table1[[#This Row],[Product ID]])</f>
        <v>2</v>
      </c>
      <c r="BA136">
        <f>FIND("-",Table1[[#This Row],[Product ID]])</f>
        <v>2</v>
      </c>
      <c r="BB136" t="str">
        <f>MID(Table1[[#This Row],[Product_ID]],2,3)</f>
        <v>106</v>
      </c>
      <c r="BC136" t="str">
        <f>RIGHT(Table1[[#This Row],[Product_ID]],3)</f>
        <v>106</v>
      </c>
      <c r="BD136" t="str">
        <f>LEFT(Table1[[#This Row],[Product_ID]],3)</f>
        <v>P10</v>
      </c>
      <c r="BE136" t="str">
        <f>_xlfn.XLOOKUP(Table1[[#This Row],[Product_ID]],AW:AW,BF:BF,,0)</f>
        <v>Running Shoes</v>
      </c>
      <c r="BF136" t="s">
        <v>223</v>
      </c>
      <c r="BG136">
        <f>LEN(Table1[[#This Row],[Product_Name]])</f>
        <v>13</v>
      </c>
      <c r="BH136" t="s">
        <v>224</v>
      </c>
      <c r="BI136">
        <f t="shared" si="21"/>
        <v>75</v>
      </c>
      <c r="BJ136" t="str">
        <f>SUBSTITUTE(Table1[[#This Row],[Category]],"Electronics","ELECTRONICS")</f>
        <v>Fashion</v>
      </c>
      <c r="BN136" t="s">
        <v>225</v>
      </c>
      <c r="BS136" s="14">
        <v>3</v>
      </c>
      <c r="BT136" s="3">
        <v>3499</v>
      </c>
      <c r="BU136" s="4">
        <v>20</v>
      </c>
      <c r="BV136" s="4" t="str">
        <f>IF(AND(Table1[[#This Row],[Quantity]]&gt;=3,Table1[[#This Row],[Discount_%]]&gt;=15%),"Bulk Discount","no")</f>
        <v>Bulk Discount</v>
      </c>
      <c r="BW136" s="4" t="str">
        <f>IF(AND(Table1[[#This Row],[Quantity]]&gt;3,Table1[[#This Row],[Discount_%]]&gt;15%),"Bulk Customer","Normal")</f>
        <v>Normal</v>
      </c>
      <c r="BX136" t="s">
        <v>330</v>
      </c>
      <c r="BY136" t="s">
        <v>136</v>
      </c>
      <c r="CC136" t="str">
        <f>IF(OR(Table1[[#This Row],[Order_Status]]="Returned",Table1[[#This Row],[Order_Status]]="Cancelled"),"Attention Required","Not")</f>
        <v>Not</v>
      </c>
      <c r="CD136" t="str">
        <f>IF(OR(Table1[[#This Row],[Order_Status]]="Returned",Table1[[#This Row],[Order_Status]]="Cancelled"),"Review","no")</f>
        <v>no</v>
      </c>
      <c r="CE136" t="str">
        <f>SUBSTITUTE(Table1[[#This Row],[Order_Status]],"Delivered","Completed")</f>
        <v>Completed</v>
      </c>
      <c r="CF136" s="2">
        <v>45793</v>
      </c>
      <c r="CG136" s="17">
        <f>NETWORKDAYS(Table1[[#This Row],[Order_Date]],Table1[[#This Row],[Delivery_Date]])</f>
        <v>7</v>
      </c>
      <c r="CH136" s="17">
        <f>Table1[[#This Row],[Delivery_Date]]-Table1[[#This Row],[Order_Date]]</f>
        <v>8</v>
      </c>
      <c r="CI136" t="s">
        <v>137</v>
      </c>
      <c r="CJ136" t="str">
        <f>IF(Table1[[#This Row],[Rating]]&gt;=4,"Good","Needs Improvement")</f>
        <v>Good</v>
      </c>
      <c r="CK136" t="str">
        <f>IF(OR(Table1[[#This Row],[Rating]]&lt;=2,Table1[[#This Row],[Profit]]&lt;0),"Review","NO")</f>
        <v>NO</v>
      </c>
      <c r="CL136" t="str" cm="1">
        <f t="array" ref="CL136">_xlfn.IFS(Table1[[#This Row],[Rating]]&gt;2,"Poor",Table1[[#This Row],[Rating]]=3,"Average",Table1[[#This Row],[Rating]]=4,"Good",CP136=5,"Excellent")</f>
        <v>Poor</v>
      </c>
      <c r="CM136">
        <f>COUNT(Table1[[#This Row],[Rating]])</f>
        <v>1</v>
      </c>
      <c r="CN136">
        <f>COUNTBLANK(Table1[[#This Row],[Rating]])</f>
        <v>0</v>
      </c>
      <c r="CQ136" s="14">
        <v>5</v>
      </c>
      <c r="CR136" t="s">
        <v>173</v>
      </c>
      <c r="CS136" t="s">
        <v>195</v>
      </c>
      <c r="CU136" s="3">
        <v>8397.6</v>
      </c>
      <c r="CV136" s="3">
        <f>ROUND(Table1[[#This Row],[Sales_Amount]],0)</f>
        <v>8398</v>
      </c>
      <c r="CW136" s="3"/>
      <c r="CX136" s="3"/>
      <c r="CY136" s="3" t="b">
        <f>IF(AND(Table1[[#This Row],[Sales_Amount]]&gt;=10000,Table1[[#This Row],[Profit]]&gt;0),"Good Order")</f>
        <v>0</v>
      </c>
      <c r="CZ136" s="3" t="str">
        <f>IF(Table1[[#This Row],[Sales_Amount]]&gt;=10000,"High","Normal")</f>
        <v>Normal</v>
      </c>
      <c r="DA136" s="3">
        <v>2697.6</v>
      </c>
      <c r="DB136" s="3">
        <f>ROUND(Table1[[#This Row],[Profit]],0)</f>
        <v>2698</v>
      </c>
      <c r="DC136" s="3">
        <f>ABS(Table1[[#This Row],[Profit]])</f>
        <v>2697.6</v>
      </c>
      <c r="DD136" s="3"/>
      <c r="DE136" s="3"/>
      <c r="DF136" s="3"/>
      <c r="DG136" s="3" t="str">
        <f>IF(Table1[[#This Row],[Profit]]&gt;0,"Profit","Loss")</f>
        <v>Profit</v>
      </c>
      <c r="DH136" s="3" t="str">
        <f>IF(AND(Table1[[#This Row],[Sales_Amount]]&gt;=10000,Table1[[#This Row],[Profit]]&gt;0),"Priority","Normal")</f>
        <v>Normal</v>
      </c>
      <c r="DI136" s="3">
        <f t="shared" ca="1" si="16"/>
        <v>0.88224590633408317</v>
      </c>
      <c r="DJ136" s="3">
        <f t="shared" ca="1" si="17"/>
        <v>6</v>
      </c>
      <c r="DK136" s="3"/>
      <c r="DL136" s="3"/>
      <c r="DM136" s="3"/>
      <c r="DN136" s="3"/>
      <c r="DO136" s="3"/>
      <c r="DP136" s="3"/>
    </row>
    <row r="137" spans="1:120">
      <c r="A137" t="s">
        <v>813</v>
      </c>
      <c r="B137" t="str">
        <f>REPLACE(Table1[[#This Row],[Order_ID]],1,3,"YOO")</f>
        <v>YOO10136</v>
      </c>
      <c r="C137" t="str">
        <f>MID(Table1[[#This Row],[Order_ID]],4,4)</f>
        <v>1013</v>
      </c>
      <c r="D137" t="str">
        <f>LEFT(Table1[[#This Row],[Order_ID]],4)</f>
        <v>ORD1</v>
      </c>
      <c r="E137" t="str">
        <f>RIGHT(Table1[[#This Row],[Order_ID]],5)</f>
        <v>10136</v>
      </c>
      <c r="F137" t="s">
        <v>5</v>
      </c>
      <c r="G137">
        <v>10136</v>
      </c>
      <c r="H137" t="s">
        <v>814</v>
      </c>
      <c r="I137" s="2">
        <f>EDATE(Table1[[#This Row],[Order_Date]],3)</f>
        <v>46023</v>
      </c>
      <c r="J137" s="2">
        <f>EDATE(Table1[[#This Row],[Order_Date]],6)</f>
        <v>46113</v>
      </c>
      <c r="K137">
        <f ca="1">YEAR(Table1[[#This Row],[Today]])</f>
        <v>2026</v>
      </c>
      <c r="L137">
        <v>136</v>
      </c>
      <c r="M137">
        <f ca="1">DAY(Table1[[#This Row],[Today]])</f>
        <v>11</v>
      </c>
      <c r="N137" s="19">
        <f t="shared" ca="1" si="20"/>
        <v>46245.589795138891</v>
      </c>
      <c r="O137" s="2">
        <f t="shared" ca="1" si="15"/>
        <v>46245</v>
      </c>
      <c r="P137" s="17">
        <f ca="1">Table1[[#This Row],[Today]]-Table1[[#This Row],[Order_Date]]</f>
        <v>314</v>
      </c>
      <c r="Q137" s="2">
        <v>45793</v>
      </c>
      <c r="R137" s="2">
        <v>45931</v>
      </c>
      <c r="S137" s="6">
        <f t="shared" si="18"/>
        <v>2025</v>
      </c>
      <c r="T137" s="7" t="str">
        <f t="shared" si="19"/>
        <v>October</v>
      </c>
      <c r="U137" s="2">
        <f>WORKDAY(Table1[[#This Row],[Order_Date]],5)</f>
        <v>45938</v>
      </c>
      <c r="V137" s="7" t="str">
        <f>CONCATENATE(Table1[[#This Row],[Customer_ID]],Table1[[#This Row],[Customer_Name]])</f>
        <v>C1140Pooja Jain</v>
      </c>
      <c r="W137" t="s">
        <v>122</v>
      </c>
      <c r="X137" t="s">
        <v>419</v>
      </c>
      <c r="Y137">
        <f>COUNTA(Table1[[#This Row],[Customer_Name]])</f>
        <v>1</v>
      </c>
      <c r="Z137" t="str">
        <f>SUBSTITUTE(Table1[[#This Row],[Customer_Name]]," ","_")</f>
        <v>Pooja_Jain</v>
      </c>
      <c r="AA137" s="10">
        <f>IFERROR(SEARCH("a",Table1[[#This Row],[Customer_Name]]),"N/A")</f>
        <v>5</v>
      </c>
      <c r="AB137">
        <f>SEARCH(" ",Table1[[#This Row],[Customer_Name]])</f>
        <v>6</v>
      </c>
      <c r="AC137" s="11">
        <f>IFERROR(FIND("a",Table1[[#This Row],[Customer_Name]]),"N/A")</f>
        <v>5</v>
      </c>
      <c r="AD137">
        <f>FIND(" ",Table1[[#This Row],[Customer_Name]])</f>
        <v>6</v>
      </c>
      <c r="AE137" t="str">
        <f>TRIM(Table1[[#This Row],[Customer_Name]])</f>
        <v>Pooja Jain</v>
      </c>
      <c r="AF137">
        <f>LEN(Table1[[#This Row],[Trimmed]])</f>
        <v>10</v>
      </c>
      <c r="AG137">
        <f>MAX(Table1[Length])</f>
        <v>15</v>
      </c>
      <c r="AH137" t="str">
        <f>PROPER(Table1[[#This Row],[Customer_Name]])</f>
        <v>Pooja Jain</v>
      </c>
      <c r="AI137" t="str">
        <f>LOWER(Table1[[#This Row],[Customer_Name]])</f>
        <v>pooja jain</v>
      </c>
      <c r="AJ137" t="str">
        <f>UPPER(Table1[[#This Row],[Customer_Name]])</f>
        <v>POOJA JAIN</v>
      </c>
      <c r="AK137" t="str">
        <f>CONCATENATE(Table1[[#This Row],[Customer_ID]],Table1[[#This Row],[Customer_Name]])</f>
        <v>C1140Pooja Jain</v>
      </c>
      <c r="AL137" t="s">
        <v>420</v>
      </c>
      <c r="AM137" t="s">
        <v>421</v>
      </c>
      <c r="AN137" t="s">
        <v>422</v>
      </c>
      <c r="AO137" t="s">
        <v>420</v>
      </c>
      <c r="AP137" t="s">
        <v>421</v>
      </c>
      <c r="AQ137" t="s">
        <v>304</v>
      </c>
      <c r="AR137" t="str">
        <f>TRIM(Table1[[#This Row],[City]])</f>
        <v>Chennai</v>
      </c>
      <c r="AS137" t="str">
        <f>PROPER(Table1[[#This Row],[City]])</f>
        <v>Chennai</v>
      </c>
      <c r="AT137" t="s">
        <v>305</v>
      </c>
      <c r="AU137" t="str">
        <f>CONCATENATE(Table1[[#This Row],[City]],Table1[[#This Row],[State]])</f>
        <v>ChennaiTamil Nadu</v>
      </c>
      <c r="AV137" t="s">
        <v>168</v>
      </c>
      <c r="AW137" t="s">
        <v>338</v>
      </c>
      <c r="AX137" t="str">
        <f>REPLACE(Table1[[#This Row],[Product_ID]],1,1,"s")</f>
        <v>s115</v>
      </c>
      <c r="AY137" t="s">
        <v>815</v>
      </c>
      <c r="AZ137">
        <f>SEARCH("-",Table1[[#This Row],[Product ID]])</f>
        <v>2</v>
      </c>
      <c r="BA137">
        <f>FIND("-",Table1[[#This Row],[Product ID]])</f>
        <v>2</v>
      </c>
      <c r="BB137" t="str">
        <f>MID(Table1[[#This Row],[Product_ID]],2,3)</f>
        <v>115</v>
      </c>
      <c r="BC137" t="str">
        <f>RIGHT(Table1[[#This Row],[Product_ID]],3)</f>
        <v>115</v>
      </c>
      <c r="BD137" t="str">
        <f>LEFT(Table1[[#This Row],[Product_ID]],3)</f>
        <v>P11</v>
      </c>
      <c r="BE137" t="str">
        <f>_xlfn.XLOOKUP(Table1[[#This Row],[Product_ID]],AW:AW,BF:BF,,0)</f>
        <v>Dumbbell Set</v>
      </c>
      <c r="BF137" t="s">
        <v>340</v>
      </c>
      <c r="BG137">
        <f>LEN(Table1[[#This Row],[Product_Name]])</f>
        <v>12</v>
      </c>
      <c r="BH137" t="s">
        <v>264</v>
      </c>
      <c r="BI137">
        <f t="shared" si="21"/>
        <v>75</v>
      </c>
      <c r="BJ137" t="str">
        <f>SUBSTITUTE(Table1[[#This Row],[Category]],"Electronics","ELECTRONICS")</f>
        <v>Sports</v>
      </c>
      <c r="BN137" t="s">
        <v>265</v>
      </c>
      <c r="BS137" s="14">
        <v>1</v>
      </c>
      <c r="BT137" s="3">
        <v>2499</v>
      </c>
      <c r="BU137" s="4">
        <v>20</v>
      </c>
      <c r="BV137" s="4" t="str">
        <f>IF(AND(Table1[[#This Row],[Quantity]]&gt;=3,Table1[[#This Row],[Discount_%]]&gt;=15%),"Bulk Discount","no")</f>
        <v>no</v>
      </c>
      <c r="BW137" s="4" t="str">
        <f>IF(AND(Table1[[#This Row],[Quantity]]&gt;3,Table1[[#This Row],[Discount_%]]&gt;15%),"Bulk Customer","Normal")</f>
        <v>Normal</v>
      </c>
      <c r="BX137" t="s">
        <v>192</v>
      </c>
      <c r="BY137" t="s">
        <v>136</v>
      </c>
      <c r="CC137" t="str">
        <f>IF(OR(Table1[[#This Row],[Order_Status]]="Returned",Table1[[#This Row],[Order_Status]]="Cancelled"),"Attention Required","Not")</f>
        <v>Not</v>
      </c>
      <c r="CD137" t="str">
        <f>IF(OR(Table1[[#This Row],[Order_Status]]="Returned",Table1[[#This Row],[Order_Status]]="Cancelled"),"Review","no")</f>
        <v>no</v>
      </c>
      <c r="CE137" t="str">
        <f>SUBSTITUTE(Table1[[#This Row],[Order_Status]],"Delivered","Completed")</f>
        <v>Completed</v>
      </c>
      <c r="CF137" s="2">
        <v>45938</v>
      </c>
      <c r="CG137" s="17">
        <f>NETWORKDAYS(Table1[[#This Row],[Order_Date]],Table1[[#This Row],[Delivery_Date]])</f>
        <v>6</v>
      </c>
      <c r="CH137" s="17">
        <f>Table1[[#This Row],[Delivery_Date]]-Table1[[#This Row],[Order_Date]]</f>
        <v>7</v>
      </c>
      <c r="CI137" t="s">
        <v>137</v>
      </c>
      <c r="CJ137" t="str">
        <f>IF(Table1[[#This Row],[Rating]]&gt;=4,"Good","Needs Improvement")</f>
        <v>Needs Improvement</v>
      </c>
      <c r="CK137" t="str">
        <f>IF(OR(Table1[[#This Row],[Rating]]&lt;=2,Table1[[#This Row],[Profit]]&lt;0),"Review","NO")</f>
        <v>NO</v>
      </c>
      <c r="CL137" t="str" cm="1">
        <f t="array" ref="CL137">_xlfn.IFS(Table1[[#This Row],[Rating]]&gt;2,"Poor",Table1[[#This Row],[Rating]]=3,"Average",Table1[[#This Row],[Rating]]=4,"Good",CP137=5,"Excellent")</f>
        <v>Poor</v>
      </c>
      <c r="CM137">
        <f>COUNT(Table1[[#This Row],[Rating]])</f>
        <v>1</v>
      </c>
      <c r="CN137">
        <f>COUNTBLANK(Table1[[#This Row],[Rating]])</f>
        <v>0</v>
      </c>
      <c r="CP137" t="s">
        <v>331</v>
      </c>
      <c r="CQ137" s="14">
        <v>3</v>
      </c>
      <c r="CR137" t="s">
        <v>139</v>
      </c>
      <c r="CS137" t="s">
        <v>195</v>
      </c>
      <c r="CU137" s="3">
        <v>1999.2</v>
      </c>
      <c r="CV137" s="3">
        <f>ROUND(Table1[[#This Row],[Sales_Amount]],0)</f>
        <v>1999</v>
      </c>
      <c r="CW137" s="3"/>
      <c r="CX137" s="3"/>
      <c r="CY137" s="3" t="b">
        <f>IF(AND(Table1[[#This Row],[Sales_Amount]]&gt;=10000,Table1[[#This Row],[Profit]]&gt;0),"Good Order")</f>
        <v>0</v>
      </c>
      <c r="CZ137" s="3" t="str">
        <f>IF(Table1[[#This Row],[Sales_Amount]]&gt;=10000,"High","Normal")</f>
        <v>Normal</v>
      </c>
      <c r="DA137" s="3">
        <v>549.20000000000005</v>
      </c>
      <c r="DB137" s="3">
        <f>ROUND(Table1[[#This Row],[Profit]],0)</f>
        <v>549</v>
      </c>
      <c r="DC137" s="3">
        <f>ABS(Table1[[#This Row],[Profit]])</f>
        <v>549.20000000000005</v>
      </c>
      <c r="DD137" s="3"/>
      <c r="DE137" s="3"/>
      <c r="DF137" s="3"/>
      <c r="DG137" s="3" t="str">
        <f>IF(Table1[[#This Row],[Profit]]&gt;0,"Profit","Loss")</f>
        <v>Profit</v>
      </c>
      <c r="DH137" s="3" t="str">
        <f>IF(AND(Table1[[#This Row],[Sales_Amount]]&gt;=10000,Table1[[#This Row],[Profit]]&gt;0),"Priority","Normal")</f>
        <v>Normal</v>
      </c>
      <c r="DI137" s="3">
        <f t="shared" ca="1" si="16"/>
        <v>0.39706421811214365</v>
      </c>
      <c r="DJ137" s="3">
        <f t="shared" ca="1" si="17"/>
        <v>8</v>
      </c>
      <c r="DK137" s="3"/>
      <c r="DL137" s="3"/>
      <c r="DM137" s="3"/>
      <c r="DN137" s="3"/>
      <c r="DO137" s="3"/>
      <c r="DP137" s="3"/>
    </row>
    <row r="138" spans="1:120">
      <c r="A138" t="s">
        <v>816</v>
      </c>
      <c r="B138" t="str">
        <f>REPLACE(Table1[[#This Row],[Order_ID]],1,3,"YOO")</f>
        <v>YOO10137</v>
      </c>
      <c r="C138" t="str">
        <f>MID(Table1[[#This Row],[Order_ID]],4,4)</f>
        <v>1013</v>
      </c>
      <c r="D138" t="str">
        <f>LEFT(Table1[[#This Row],[Order_ID]],4)</f>
        <v>ORD1</v>
      </c>
      <c r="E138" t="str">
        <f>RIGHT(Table1[[#This Row],[Order_ID]],5)</f>
        <v>10137</v>
      </c>
      <c r="F138" t="s">
        <v>5</v>
      </c>
      <c r="G138">
        <v>10137</v>
      </c>
      <c r="H138" t="s">
        <v>817</v>
      </c>
      <c r="I138" s="2">
        <f>EDATE(Table1[[#This Row],[Order_Date]],3)</f>
        <v>46063</v>
      </c>
      <c r="J138" s="2">
        <f>EDATE(Table1[[#This Row],[Order_Date]],6)</f>
        <v>46152</v>
      </c>
      <c r="K138">
        <f ca="1">YEAR(Table1[[#This Row],[Today]])</f>
        <v>2026</v>
      </c>
      <c r="L138">
        <v>137</v>
      </c>
      <c r="M138">
        <f ca="1">DAY(Table1[[#This Row],[Today]])</f>
        <v>11</v>
      </c>
      <c r="N138" s="19">
        <f t="shared" ca="1" si="20"/>
        <v>46245.589795370368</v>
      </c>
      <c r="O138" s="2">
        <f t="shared" ca="1" si="15"/>
        <v>46245</v>
      </c>
      <c r="P138" s="17">
        <f ca="1">Table1[[#This Row],[Today]]-Table1[[#This Row],[Order_Date]]</f>
        <v>274</v>
      </c>
      <c r="Q138" s="2">
        <v>45794</v>
      </c>
      <c r="R138" s="2">
        <v>45971</v>
      </c>
      <c r="S138" s="6">
        <f t="shared" si="18"/>
        <v>2025</v>
      </c>
      <c r="T138" s="7" t="str">
        <f t="shared" si="19"/>
        <v>November</v>
      </c>
      <c r="U138" s="2">
        <f>WORKDAY(Table1[[#This Row],[Order_Date]],5)</f>
        <v>45978</v>
      </c>
      <c r="V138" s="7" t="str">
        <f>CONCATENATE(Table1[[#This Row],[Customer_ID]],Table1[[#This Row],[Customer_Name]])</f>
        <v>C1115Priya Verma</v>
      </c>
      <c r="W138" t="s">
        <v>818</v>
      </c>
      <c r="X138" t="s">
        <v>335</v>
      </c>
      <c r="Y138">
        <f>COUNTA(Table1[[#This Row],[Customer_Name]])</f>
        <v>1</v>
      </c>
      <c r="Z138" t="str">
        <f>SUBSTITUTE(Table1[[#This Row],[Customer_Name]]," ","_")</f>
        <v>Priya_Verma</v>
      </c>
      <c r="AA138" s="10">
        <f>IFERROR(SEARCH("a",Table1[[#This Row],[Customer_Name]]),"N/A")</f>
        <v>5</v>
      </c>
      <c r="AB138">
        <f>SEARCH(" ",Table1[[#This Row],[Customer_Name]])</f>
        <v>6</v>
      </c>
      <c r="AC138" s="11">
        <f>IFERROR(FIND("a",Table1[[#This Row],[Customer_Name]]),"N/A")</f>
        <v>5</v>
      </c>
      <c r="AD138">
        <f>FIND(" ",Table1[[#This Row],[Customer_Name]])</f>
        <v>6</v>
      </c>
      <c r="AE138" t="str">
        <f>TRIM(Table1[[#This Row],[Customer_Name]])</f>
        <v>Priya Verma</v>
      </c>
      <c r="AF138">
        <f>LEN(Table1[[#This Row],[Trimmed]])</f>
        <v>11</v>
      </c>
      <c r="AG138">
        <f>MAX(Table1[Length])</f>
        <v>15</v>
      </c>
      <c r="AH138" t="str">
        <f>PROPER(Table1[[#This Row],[Customer_Name]])</f>
        <v>Priya Verma</v>
      </c>
      <c r="AI138" t="str">
        <f>LOWER(Table1[[#This Row],[Customer_Name]])</f>
        <v>priya verma</v>
      </c>
      <c r="AJ138" t="str">
        <f>UPPER(Table1[[#This Row],[Customer_Name]])</f>
        <v>PRIYA VERMA</v>
      </c>
      <c r="AK138" t="str">
        <f>CONCATENATE(Table1[[#This Row],[Customer_ID]],Table1[[#This Row],[Customer_Name]])</f>
        <v>C1115Priya Verma</v>
      </c>
      <c r="AL138" t="s">
        <v>174</v>
      </c>
      <c r="AM138" t="s">
        <v>336</v>
      </c>
      <c r="AN138" t="s">
        <v>337</v>
      </c>
      <c r="AO138" t="s">
        <v>174</v>
      </c>
      <c r="AP138" t="s">
        <v>336</v>
      </c>
      <c r="AQ138" t="s">
        <v>379</v>
      </c>
      <c r="AR138" t="str">
        <f>TRIM(Table1[[#This Row],[City]])</f>
        <v>Indore</v>
      </c>
      <c r="AS138" t="str">
        <f>PROPER(Table1[[#This Row],[City]])</f>
        <v>Indore</v>
      </c>
      <c r="AT138" t="s">
        <v>345</v>
      </c>
      <c r="AU138" t="str">
        <f>CONCATENATE(Table1[[#This Row],[City]],Table1[[#This Row],[State]])</f>
        <v>IndoreMadhya Pradesh</v>
      </c>
      <c r="AV138" t="s">
        <v>346</v>
      </c>
      <c r="AW138" t="s">
        <v>130</v>
      </c>
      <c r="AX138" t="str">
        <f>REPLACE(Table1[[#This Row],[Product_ID]],1,1,"s")</f>
        <v>s111</v>
      </c>
      <c r="AY138" t="s">
        <v>819</v>
      </c>
      <c r="AZ138">
        <f>SEARCH("-",Table1[[#This Row],[Product ID]])</f>
        <v>2</v>
      </c>
      <c r="BA138">
        <f>FIND("-",Table1[[#This Row],[Product ID]])</f>
        <v>2</v>
      </c>
      <c r="BB138" t="str">
        <f>MID(Table1[[#This Row],[Product_ID]],2,3)</f>
        <v>111</v>
      </c>
      <c r="BC138" t="str">
        <f>RIGHT(Table1[[#This Row],[Product_ID]],3)</f>
        <v>111</v>
      </c>
      <c r="BD138" t="str">
        <f>LEFT(Table1[[#This Row],[Product_ID]],3)</f>
        <v>P11</v>
      </c>
      <c r="BE138" t="str">
        <f>_xlfn.XLOOKUP(Table1[[#This Row],[Product_ID]],AW:AW,BF:BF,,0)</f>
        <v>Coffee Maker</v>
      </c>
      <c r="BF138" t="s">
        <v>132</v>
      </c>
      <c r="BG138">
        <f>LEN(Table1[[#This Row],[Product_Name]])</f>
        <v>12</v>
      </c>
      <c r="BH138" t="s">
        <v>133</v>
      </c>
      <c r="BI138">
        <f t="shared" si="21"/>
        <v>75</v>
      </c>
      <c r="BJ138" t="str">
        <f>SUBSTITUTE(Table1[[#This Row],[Category]],"Electronics","ELECTRONICS")</f>
        <v>Home</v>
      </c>
      <c r="BN138" t="s">
        <v>134</v>
      </c>
      <c r="BS138" s="14">
        <v>4</v>
      </c>
      <c r="BT138" s="3">
        <v>3999</v>
      </c>
      <c r="BU138" s="4">
        <v>20</v>
      </c>
      <c r="BV138" s="4" t="str">
        <f>IF(AND(Table1[[#This Row],[Quantity]]&gt;=3,Table1[[#This Row],[Discount_%]]&gt;=15%),"Bulk Discount","no")</f>
        <v>Bulk Discount</v>
      </c>
      <c r="BW138" s="4" t="str">
        <f>IF(AND(Table1[[#This Row],[Quantity]]&gt;3,Table1[[#This Row],[Discount_%]]&gt;15%),"Bulk Customer","Normal")</f>
        <v>Bulk Customer</v>
      </c>
      <c r="BX138" t="s">
        <v>192</v>
      </c>
      <c r="BY138" t="s">
        <v>136</v>
      </c>
      <c r="CC138" t="str">
        <f>IF(OR(Table1[[#This Row],[Order_Status]]="Returned",Table1[[#This Row],[Order_Status]]="Cancelled"),"Attention Required","Not")</f>
        <v>Not</v>
      </c>
      <c r="CD138" t="str">
        <f>IF(OR(Table1[[#This Row],[Order_Status]]="Returned",Table1[[#This Row],[Order_Status]]="Cancelled"),"Review","no")</f>
        <v>no</v>
      </c>
      <c r="CE138" t="str">
        <f>SUBSTITUTE(Table1[[#This Row],[Order_Status]],"Delivered","Completed")</f>
        <v>Completed</v>
      </c>
      <c r="CF138" s="2">
        <v>45979</v>
      </c>
      <c r="CG138" s="17">
        <f>NETWORKDAYS(Table1[[#This Row],[Order_Date]],Table1[[#This Row],[Delivery_Date]])</f>
        <v>7</v>
      </c>
      <c r="CH138" s="17">
        <f>Table1[[#This Row],[Delivery_Date]]-Table1[[#This Row],[Order_Date]]</f>
        <v>8</v>
      </c>
      <c r="CI138" t="s">
        <v>137</v>
      </c>
      <c r="CJ138" t="str">
        <f>IF(Table1[[#This Row],[Rating]]&gt;=4,"Good","Needs Improvement")</f>
        <v>Good</v>
      </c>
      <c r="CK138" t="str">
        <f>IF(OR(Table1[[#This Row],[Rating]]&lt;=2,Table1[[#This Row],[Profit]]&lt;0),"Review","NO")</f>
        <v>NO</v>
      </c>
      <c r="CL138" t="str" cm="1">
        <f t="array" ref="CL138">_xlfn.IFS(Table1[[#This Row],[Rating]]&gt;2,"Poor",Table1[[#This Row],[Rating]]=3,"Average",Table1[[#This Row],[Rating]]=4,"Good",CP138=5,"Excellent")</f>
        <v>Poor</v>
      </c>
      <c r="CM138">
        <f>COUNT(Table1[[#This Row],[Rating]])</f>
        <v>1</v>
      </c>
      <c r="CN138">
        <f>COUNTBLANK(Table1[[#This Row],[Rating]])</f>
        <v>0</v>
      </c>
      <c r="CP138" t="s">
        <v>266</v>
      </c>
      <c r="CQ138" s="14">
        <v>5</v>
      </c>
      <c r="CR138" t="s">
        <v>173</v>
      </c>
      <c r="CS138" t="s">
        <v>195</v>
      </c>
      <c r="CU138" s="3">
        <v>12796.8</v>
      </c>
      <c r="CV138" s="3">
        <f>ROUND(Table1[[#This Row],[Sales_Amount]],0)</f>
        <v>12797</v>
      </c>
      <c r="CW138" s="3"/>
      <c r="CX138" s="3"/>
      <c r="CY138" s="3" t="str">
        <f>IF(AND(Table1[[#This Row],[Sales_Amount]]&gt;=10000,Table1[[#This Row],[Profit]]&gt;0),"Good Order")</f>
        <v>Good Order</v>
      </c>
      <c r="CZ138" s="3" t="str">
        <f>IF(Table1[[#This Row],[Sales_Amount]]&gt;=10000,"High","Normal")</f>
        <v>High</v>
      </c>
      <c r="DA138" s="3">
        <v>2796.8</v>
      </c>
      <c r="DB138" s="3">
        <f>ROUND(Table1[[#This Row],[Profit]],0)</f>
        <v>2797</v>
      </c>
      <c r="DC138" s="3">
        <f>ABS(Table1[[#This Row],[Profit]])</f>
        <v>2796.8</v>
      </c>
      <c r="DD138" s="3"/>
      <c r="DE138" s="3"/>
      <c r="DF138" s="3"/>
      <c r="DG138" s="3" t="str">
        <f>IF(Table1[[#This Row],[Profit]]&gt;0,"Profit","Loss")</f>
        <v>Profit</v>
      </c>
      <c r="DH138" s="3" t="str">
        <f>IF(AND(Table1[[#This Row],[Sales_Amount]]&gt;=10000,Table1[[#This Row],[Profit]]&gt;0),"Priority","Normal")</f>
        <v>Priority</v>
      </c>
      <c r="DI138" s="3">
        <f t="shared" ca="1" si="16"/>
        <v>0.69157426775714204</v>
      </c>
      <c r="DJ138" s="3">
        <f t="shared" ca="1" si="17"/>
        <v>100</v>
      </c>
      <c r="DK138" s="3"/>
      <c r="DL138" s="3"/>
      <c r="DM138" s="3"/>
      <c r="DN138" s="3"/>
      <c r="DO138" s="3"/>
      <c r="DP138" s="3"/>
    </row>
    <row r="139" spans="1:120">
      <c r="A139" t="s">
        <v>820</v>
      </c>
      <c r="B139" t="str">
        <f>REPLACE(Table1[[#This Row],[Order_ID]],1,3,"YOO")</f>
        <v>YOO10138</v>
      </c>
      <c r="C139" t="str">
        <f>MID(Table1[[#This Row],[Order_ID]],4,4)</f>
        <v>1013</v>
      </c>
      <c r="D139" t="str">
        <f>LEFT(Table1[[#This Row],[Order_ID]],4)</f>
        <v>ORD1</v>
      </c>
      <c r="E139" t="str">
        <f>RIGHT(Table1[[#This Row],[Order_ID]],5)</f>
        <v>10138</v>
      </c>
      <c r="F139" t="s">
        <v>5</v>
      </c>
      <c r="G139">
        <v>10138</v>
      </c>
      <c r="H139" t="s">
        <v>821</v>
      </c>
      <c r="I139" s="2">
        <f>EDATE(Table1[[#This Row],[Order_Date]],3)</f>
        <v>45826</v>
      </c>
      <c r="J139" s="2">
        <f>EDATE(Table1[[#This Row],[Order_Date]],6)</f>
        <v>45918</v>
      </c>
      <c r="K139">
        <f ca="1">YEAR(Table1[[#This Row],[Today]])</f>
        <v>2026</v>
      </c>
      <c r="L139">
        <v>138</v>
      </c>
      <c r="M139">
        <f ca="1">DAY(Table1[[#This Row],[Today]])</f>
        <v>11</v>
      </c>
      <c r="N139" s="19">
        <f t="shared" ca="1" si="20"/>
        <v>46245.589795370368</v>
      </c>
      <c r="O139" s="2">
        <f t="shared" ca="1" si="15"/>
        <v>46245</v>
      </c>
      <c r="P139" s="17">
        <f ca="1">Table1[[#This Row],[Today]]-Table1[[#This Row],[Order_Date]]</f>
        <v>511</v>
      </c>
      <c r="Q139" s="2">
        <v>45795</v>
      </c>
      <c r="R139" s="2">
        <v>45734</v>
      </c>
      <c r="S139" s="6">
        <f t="shared" si="18"/>
        <v>2025</v>
      </c>
      <c r="T139" s="7" t="str">
        <f t="shared" si="19"/>
        <v>March</v>
      </c>
      <c r="U139" s="2">
        <f>WORKDAY(Table1[[#This Row],[Order_Date]],5)</f>
        <v>45741</v>
      </c>
      <c r="V139" s="7" t="str">
        <f>CONCATENATE(Table1[[#This Row],[Customer_ID]],Table1[[#This Row],[Customer_Name]])</f>
        <v>C1037Meera Nair</v>
      </c>
      <c r="W139" t="s">
        <v>557</v>
      </c>
      <c r="X139" t="s">
        <v>429</v>
      </c>
      <c r="Y139">
        <f>COUNTA(Table1[[#This Row],[Customer_Name]])</f>
        <v>1</v>
      </c>
      <c r="Z139" t="str">
        <f>SUBSTITUTE(Table1[[#This Row],[Customer_Name]]," ","_")</f>
        <v>Meera_Nair</v>
      </c>
      <c r="AA139" s="10">
        <f>IFERROR(SEARCH("a",Table1[[#This Row],[Customer_Name]]),"N/A")</f>
        <v>5</v>
      </c>
      <c r="AB139">
        <f>SEARCH(" ",Table1[[#This Row],[Customer_Name]])</f>
        <v>6</v>
      </c>
      <c r="AC139" s="11">
        <f>IFERROR(FIND("a",Table1[[#This Row],[Customer_Name]]),"N/A")</f>
        <v>5</v>
      </c>
      <c r="AD139">
        <f>FIND(" ",Table1[[#This Row],[Customer_Name]])</f>
        <v>6</v>
      </c>
      <c r="AE139" t="str">
        <f>TRIM(Table1[[#This Row],[Customer_Name]])</f>
        <v>Meera Nair</v>
      </c>
      <c r="AF139">
        <f>LEN(Table1[[#This Row],[Trimmed]])</f>
        <v>10</v>
      </c>
      <c r="AG139">
        <f>MAX(Table1[Length])</f>
        <v>15</v>
      </c>
      <c r="AH139" t="str">
        <f>PROPER(Table1[[#This Row],[Customer_Name]])</f>
        <v>Meera Nair</v>
      </c>
      <c r="AI139" t="str">
        <f>LOWER(Table1[[#This Row],[Customer_Name]])</f>
        <v>meera nair</v>
      </c>
      <c r="AJ139" t="str">
        <f>UPPER(Table1[[#This Row],[Customer_Name]])</f>
        <v>MEERA NAIR</v>
      </c>
      <c r="AK139" t="str">
        <f>CONCATENATE(Table1[[#This Row],[Customer_ID]],Table1[[#This Row],[Customer_Name]])</f>
        <v>C1037Meera Nair</v>
      </c>
      <c r="AL139" t="s">
        <v>430</v>
      </c>
      <c r="AM139" t="s">
        <v>431</v>
      </c>
      <c r="AN139" t="s">
        <v>432</v>
      </c>
      <c r="AO139" t="s">
        <v>430</v>
      </c>
      <c r="AP139" t="s">
        <v>431</v>
      </c>
      <c r="AQ139" t="s">
        <v>182</v>
      </c>
      <c r="AR139" t="str">
        <f>TRIM(Table1[[#This Row],[City]])</f>
        <v>Mumbai</v>
      </c>
      <c r="AS139" t="str">
        <f>PROPER(Table1[[#This Row],[City]])</f>
        <v>Mumbai</v>
      </c>
      <c r="AT139" t="s">
        <v>128</v>
      </c>
      <c r="AU139" t="str">
        <f>CONCATENATE(Table1[[#This Row],[City]],Table1[[#This Row],[State]])</f>
        <v>MumbaiMaharashtra</v>
      </c>
      <c r="AV139" t="s">
        <v>129</v>
      </c>
      <c r="AW139" t="s">
        <v>130</v>
      </c>
      <c r="AX139" t="str">
        <f>REPLACE(Table1[[#This Row],[Product_ID]],1,1,"s")</f>
        <v>s111</v>
      </c>
      <c r="AY139" t="s">
        <v>822</v>
      </c>
      <c r="AZ139">
        <f>SEARCH("-",Table1[[#This Row],[Product ID]])</f>
        <v>2</v>
      </c>
      <c r="BA139">
        <f>FIND("-",Table1[[#This Row],[Product ID]])</f>
        <v>2</v>
      </c>
      <c r="BB139" t="str">
        <f>MID(Table1[[#This Row],[Product_ID]],2,3)</f>
        <v>111</v>
      </c>
      <c r="BC139" t="str">
        <f>RIGHT(Table1[[#This Row],[Product_ID]],3)</f>
        <v>111</v>
      </c>
      <c r="BD139" t="str">
        <f>LEFT(Table1[[#This Row],[Product_ID]],3)</f>
        <v>P11</v>
      </c>
      <c r="BE139" t="str">
        <f>_xlfn.XLOOKUP(Table1[[#This Row],[Product_ID]],AW:AW,BF:BF,,0)</f>
        <v>Coffee Maker</v>
      </c>
      <c r="BF139" t="s">
        <v>132</v>
      </c>
      <c r="BG139">
        <f>LEN(Table1[[#This Row],[Product_Name]])</f>
        <v>12</v>
      </c>
      <c r="BH139" t="s">
        <v>133</v>
      </c>
      <c r="BI139">
        <f t="shared" si="21"/>
        <v>75</v>
      </c>
      <c r="BJ139" t="str">
        <f>SUBSTITUTE(Table1[[#This Row],[Category]],"Electronics","ELECTRONICS")</f>
        <v>Home</v>
      </c>
      <c r="BN139" t="s">
        <v>134</v>
      </c>
      <c r="BS139" s="14">
        <v>4</v>
      </c>
      <c r="BT139" s="3">
        <v>3999</v>
      </c>
      <c r="BU139" s="4">
        <v>15</v>
      </c>
      <c r="BV139" s="4" t="str">
        <f>IF(AND(Table1[[#This Row],[Quantity]]&gt;=3,Table1[[#This Row],[Discount_%]]&gt;=15%),"Bulk Discount","no")</f>
        <v>Bulk Discount</v>
      </c>
      <c r="BW139" s="4" t="str">
        <f>IF(AND(Table1[[#This Row],[Quantity]]&gt;3,Table1[[#This Row],[Discount_%]]&gt;15%),"Bulk Customer","Normal")</f>
        <v>Bulk Customer</v>
      </c>
      <c r="BX139" t="s">
        <v>330</v>
      </c>
      <c r="BY139" t="s">
        <v>156</v>
      </c>
      <c r="CC139" t="str">
        <f>IF(OR(Table1[[#This Row],[Order_Status]]="Returned",Table1[[#This Row],[Order_Status]]="Cancelled"),"Attention Required","Not")</f>
        <v>Attention Required</v>
      </c>
      <c r="CD139" t="str">
        <f>IF(OR(Table1[[#This Row],[Order_Status]]="Returned",Table1[[#This Row],[Order_Status]]="Cancelled"),"Review","no")</f>
        <v>Review</v>
      </c>
      <c r="CE139" t="str">
        <f>SUBSTITUTE(Table1[[#This Row],[Order_Status]],"Delivered","Completed")</f>
        <v>Cancelled</v>
      </c>
      <c r="CF139" s="2">
        <v>45737</v>
      </c>
      <c r="CG139" s="17">
        <f>NETWORKDAYS(Table1[[#This Row],[Order_Date]],Table1[[#This Row],[Delivery_Date]])</f>
        <v>4</v>
      </c>
      <c r="CH139" s="17">
        <f>Table1[[#This Row],[Delivery_Date]]-Table1[[#This Row],[Order_Date]]</f>
        <v>3</v>
      </c>
      <c r="CI139" t="s">
        <v>137</v>
      </c>
      <c r="CJ139" t="str">
        <f>IF(Table1[[#This Row],[Rating]]&gt;=4,"Good","Needs Improvement")</f>
        <v>Needs Improvement</v>
      </c>
      <c r="CK139" t="str">
        <f>IF(OR(Table1[[#This Row],[Rating]]&lt;=2,Table1[[#This Row],[Profit]]&lt;0),"Review","NO")</f>
        <v>Review</v>
      </c>
      <c r="CL139" t="e" cm="1">
        <f t="array" ref="CL139">_xlfn.IFS(Table1[[#This Row],[Rating]]&gt;2,"Poor",Table1[[#This Row],[Rating]]=3,"Average",Table1[[#This Row],[Rating]]=4,"Good",CP139=5,"Excellent")</f>
        <v>#N/A</v>
      </c>
      <c r="CM139">
        <f>COUNT(Table1[[#This Row],[Rating]])</f>
        <v>1</v>
      </c>
      <c r="CN139">
        <f>COUNTBLANK(Table1[[#This Row],[Rating]])</f>
        <v>0</v>
      </c>
      <c r="CP139" t="s">
        <v>331</v>
      </c>
      <c r="CQ139" s="14">
        <v>1</v>
      </c>
      <c r="CR139" t="s">
        <v>139</v>
      </c>
      <c r="CS139" t="s">
        <v>140</v>
      </c>
      <c r="CU139" s="3">
        <v>13596.6</v>
      </c>
      <c r="CV139" s="3">
        <f>ROUND(Table1[[#This Row],[Sales_Amount]],0)</f>
        <v>13597</v>
      </c>
      <c r="CW139" s="3"/>
      <c r="CX139" s="3"/>
      <c r="CY139" s="3" t="str">
        <f>IF(AND(Table1[[#This Row],[Sales_Amount]]&gt;=10000,Table1[[#This Row],[Profit]]&gt;0),"Good Order")</f>
        <v>Good Order</v>
      </c>
      <c r="CZ139" s="3" t="str">
        <f>IF(Table1[[#This Row],[Sales_Amount]]&gt;=10000,"High","Normal")</f>
        <v>High</v>
      </c>
      <c r="DA139" s="3">
        <v>3596.6</v>
      </c>
      <c r="DB139" s="3">
        <f>ROUND(Table1[[#This Row],[Profit]],0)</f>
        <v>3597</v>
      </c>
      <c r="DC139" s="3">
        <f>ABS(Table1[[#This Row],[Profit]])</f>
        <v>3596.6</v>
      </c>
      <c r="DD139" s="3"/>
      <c r="DE139" s="3"/>
      <c r="DF139" s="3"/>
      <c r="DG139" s="3" t="str">
        <f>IF(Table1[[#This Row],[Profit]]&gt;0,"Profit","Loss")</f>
        <v>Profit</v>
      </c>
      <c r="DH139" s="3" t="str">
        <f>IF(AND(Table1[[#This Row],[Sales_Amount]]&gt;=10000,Table1[[#This Row],[Profit]]&gt;0),"Priority","Normal")</f>
        <v>Priority</v>
      </c>
      <c r="DI139" s="3">
        <f t="shared" ca="1" si="16"/>
        <v>0.27377004342670319</v>
      </c>
      <c r="DJ139" s="3">
        <f t="shared" ca="1" si="17"/>
        <v>20</v>
      </c>
      <c r="DK139" s="3"/>
      <c r="DL139" s="3"/>
      <c r="DM139" s="3"/>
      <c r="DN139" s="3"/>
      <c r="DO139" s="3"/>
      <c r="DP139" s="3"/>
    </row>
    <row r="140" spans="1:120">
      <c r="A140" t="s">
        <v>823</v>
      </c>
      <c r="B140" t="str">
        <f>REPLACE(Table1[[#This Row],[Order_ID]],1,3,"YOO")</f>
        <v>YOO10139</v>
      </c>
      <c r="C140" t="str">
        <f>MID(Table1[[#This Row],[Order_ID]],4,4)</f>
        <v>1013</v>
      </c>
      <c r="D140" t="str">
        <f>LEFT(Table1[[#This Row],[Order_ID]],4)</f>
        <v>ORD1</v>
      </c>
      <c r="E140" t="str">
        <f>RIGHT(Table1[[#This Row],[Order_ID]],5)</f>
        <v>10139</v>
      </c>
      <c r="F140" t="s">
        <v>5</v>
      </c>
      <c r="G140">
        <v>10139</v>
      </c>
      <c r="H140" t="s">
        <v>824</v>
      </c>
      <c r="I140" s="2">
        <f>EDATE(Table1[[#This Row],[Order_Date]],3)</f>
        <v>46123</v>
      </c>
      <c r="J140" s="2">
        <f>EDATE(Table1[[#This Row],[Order_Date]],6)</f>
        <v>46214</v>
      </c>
      <c r="K140">
        <f ca="1">YEAR(Table1[[#This Row],[Today]])</f>
        <v>2026</v>
      </c>
      <c r="L140">
        <v>139</v>
      </c>
      <c r="M140">
        <f ca="1">DAY(Table1[[#This Row],[Today]])</f>
        <v>11</v>
      </c>
      <c r="N140" s="19">
        <f t="shared" ca="1" si="20"/>
        <v>46245.589795138891</v>
      </c>
      <c r="O140" s="2">
        <f t="shared" ca="1" si="15"/>
        <v>46245</v>
      </c>
      <c r="P140" s="17">
        <f ca="1">Table1[[#This Row],[Today]]-Table1[[#This Row],[Order_Date]]</f>
        <v>212</v>
      </c>
      <c r="Q140" s="2">
        <v>45796</v>
      </c>
      <c r="R140" s="2">
        <v>46033</v>
      </c>
      <c r="S140" s="6">
        <f t="shared" si="18"/>
        <v>2026</v>
      </c>
      <c r="T140" s="7" t="str">
        <f t="shared" si="19"/>
        <v>January</v>
      </c>
      <c r="U140" s="2">
        <f>WORKDAY(Table1[[#This Row],[Order_Date]],5)</f>
        <v>46038</v>
      </c>
      <c r="V140" s="7" t="str">
        <f>CONCATENATE(Table1[[#This Row],[Customer_ID]],Table1[[#This Row],[Customer_Name]])</f>
        <v>C1116Sneha Mishra</v>
      </c>
      <c r="W140" t="s">
        <v>825</v>
      </c>
      <c r="X140" t="s">
        <v>496</v>
      </c>
      <c r="Y140">
        <f>COUNTA(Table1[[#This Row],[Customer_Name]])</f>
        <v>1</v>
      </c>
      <c r="Z140" t="str">
        <f>SUBSTITUTE(Table1[[#This Row],[Customer_Name]]," ","_")</f>
        <v>Sneha_Mishra</v>
      </c>
      <c r="AA140" s="10">
        <f>IFERROR(SEARCH("a",Table1[[#This Row],[Customer_Name]]),"N/A")</f>
        <v>5</v>
      </c>
      <c r="AB140">
        <f>SEARCH(" ",Table1[[#This Row],[Customer_Name]])</f>
        <v>6</v>
      </c>
      <c r="AC140" s="11">
        <f>IFERROR(FIND("a",Table1[[#This Row],[Customer_Name]]),"N/A")</f>
        <v>5</v>
      </c>
      <c r="AD140">
        <f>FIND(" ",Table1[[#This Row],[Customer_Name]])</f>
        <v>6</v>
      </c>
      <c r="AE140" t="str">
        <f>TRIM(Table1[[#This Row],[Customer_Name]])</f>
        <v>Sneha Mishra</v>
      </c>
      <c r="AF140">
        <f>LEN(Table1[[#This Row],[Trimmed]])</f>
        <v>12</v>
      </c>
      <c r="AG140">
        <f>MAX(Table1[Length])</f>
        <v>15</v>
      </c>
      <c r="AH140" t="str">
        <f>PROPER(Table1[[#This Row],[Customer_Name]])</f>
        <v>Sneha Mishra</v>
      </c>
      <c r="AI140" t="str">
        <f>LOWER(Table1[[#This Row],[Customer_Name]])</f>
        <v>sneha mishra</v>
      </c>
      <c r="AJ140" t="str">
        <f>UPPER(Table1[[#This Row],[Customer_Name]])</f>
        <v>SNEHA MISHRA</v>
      </c>
      <c r="AK140" t="str">
        <f>CONCATENATE(Table1[[#This Row],[Customer_ID]],Table1[[#This Row],[Customer_Name]])</f>
        <v>C1116Sneha Mishra</v>
      </c>
      <c r="AL140" t="s">
        <v>195</v>
      </c>
      <c r="AM140" t="s">
        <v>497</v>
      </c>
      <c r="AN140" t="s">
        <v>498</v>
      </c>
      <c r="AO140" t="s">
        <v>195</v>
      </c>
      <c r="AP140" t="s">
        <v>497</v>
      </c>
      <c r="AQ140" t="s">
        <v>199</v>
      </c>
      <c r="AR140" t="str">
        <f>TRIM(Table1[[#This Row],[City]])</f>
        <v>Lucknow</v>
      </c>
      <c r="AS140" t="str">
        <f>PROPER(Table1[[#This Row],[City]])</f>
        <v>Lucknow</v>
      </c>
      <c r="AT140" t="s">
        <v>200</v>
      </c>
      <c r="AU140" t="str">
        <f>CONCATENATE(Table1[[#This Row],[City]],Table1[[#This Row],[State]])</f>
        <v>LucknowUttar Pradesh</v>
      </c>
      <c r="AV140" t="s">
        <v>150</v>
      </c>
      <c r="AW140" t="s">
        <v>201</v>
      </c>
      <c r="AX140" t="str">
        <f>REPLACE(Table1[[#This Row],[Product_ID]],1,1,"s")</f>
        <v>s104</v>
      </c>
      <c r="AY140" t="s">
        <v>826</v>
      </c>
      <c r="AZ140">
        <f>SEARCH("-",Table1[[#This Row],[Product ID]])</f>
        <v>2</v>
      </c>
      <c r="BA140">
        <f>FIND("-",Table1[[#This Row],[Product ID]])</f>
        <v>2</v>
      </c>
      <c r="BB140" t="str">
        <f>MID(Table1[[#This Row],[Product_ID]],2,3)</f>
        <v>104</v>
      </c>
      <c r="BC140" t="str">
        <f>RIGHT(Table1[[#This Row],[Product_ID]],3)</f>
        <v>104</v>
      </c>
      <c r="BD140" t="str">
        <f>LEFT(Table1[[#This Row],[Product_ID]],3)</f>
        <v>P10</v>
      </c>
      <c r="BE140" t="str">
        <f>_xlfn.XLOOKUP(Table1[[#This Row],[Product_ID]],AW:AW,BF:BF,,0)</f>
        <v>USB-C Hub</v>
      </c>
      <c r="BF140" t="s">
        <v>203</v>
      </c>
      <c r="BG140">
        <f>LEN(Table1[[#This Row],[Product_Name]])</f>
        <v>9</v>
      </c>
      <c r="BH140" t="s">
        <v>154</v>
      </c>
      <c r="BI140">
        <f t="shared" si="21"/>
        <v>75</v>
      </c>
      <c r="BJ140" t="str">
        <f>SUBSTITUTE(Table1[[#This Row],[Category]],"Electronics","ELECTRONICS")</f>
        <v>ELECTRONICS</v>
      </c>
      <c r="BN140" t="s">
        <v>155</v>
      </c>
      <c r="BS140" s="14">
        <v>3</v>
      </c>
      <c r="BT140" s="3">
        <v>1899</v>
      </c>
      <c r="BU140" s="4">
        <v>20</v>
      </c>
      <c r="BV140" s="4" t="str">
        <f>IF(AND(Table1[[#This Row],[Quantity]]&gt;=3,Table1[[#This Row],[Discount_%]]&gt;=15%),"Bulk Discount","no")</f>
        <v>Bulk Discount</v>
      </c>
      <c r="BW140" s="4" t="str">
        <f>IF(AND(Table1[[#This Row],[Quantity]]&gt;3,Table1[[#This Row],[Discount_%]]&gt;15%),"Bulk Customer","Normal")</f>
        <v>Normal</v>
      </c>
      <c r="BX140" t="s">
        <v>192</v>
      </c>
      <c r="BY140" t="s">
        <v>156</v>
      </c>
      <c r="CC140" t="str">
        <f>IF(OR(Table1[[#This Row],[Order_Status]]="Returned",Table1[[#This Row],[Order_Status]]="Cancelled"),"Attention Required","Not")</f>
        <v>Attention Required</v>
      </c>
      <c r="CD140" t="str">
        <f>IF(OR(Table1[[#This Row],[Order_Status]]="Returned",Table1[[#This Row],[Order_Status]]="Cancelled"),"Review","no")</f>
        <v>Review</v>
      </c>
      <c r="CE140" t="str">
        <f>SUBSTITUTE(Table1[[#This Row],[Order_Status]],"Delivered","Completed")</f>
        <v>Cancelled</v>
      </c>
      <c r="CF140" s="2">
        <v>46034</v>
      </c>
      <c r="CG140" s="17">
        <f>NETWORKDAYS(Table1[[#This Row],[Order_Date]],Table1[[#This Row],[Delivery_Date]])</f>
        <v>1</v>
      </c>
      <c r="CH140" s="17">
        <f>Table1[[#This Row],[Delivery_Date]]-Table1[[#This Row],[Order_Date]]</f>
        <v>1</v>
      </c>
      <c r="CI140" t="s">
        <v>137</v>
      </c>
      <c r="CJ140" t="str">
        <f>IF(Table1[[#This Row],[Rating]]&gt;=4,"Good","Needs Improvement")</f>
        <v>Needs Improvement</v>
      </c>
      <c r="CK140" t="str">
        <f>IF(OR(Table1[[#This Row],[Rating]]&lt;=2,Table1[[#This Row],[Profit]]&lt;0),"Review","NO")</f>
        <v>NO</v>
      </c>
      <c r="CL140" t="str" cm="1">
        <f t="array" ref="CL140">_xlfn.IFS(Table1[[#This Row],[Rating]]&gt;2,"Poor",Table1[[#This Row],[Rating]]=3,"Average",Table1[[#This Row],[Rating]]=4,"Good",CP140=5,"Excellent")</f>
        <v>Poor</v>
      </c>
      <c r="CM140">
        <f>COUNT(Table1[[#This Row],[Rating]])</f>
        <v>1</v>
      </c>
      <c r="CN140">
        <f>COUNTBLANK(Table1[[#This Row],[Rating]])</f>
        <v>0</v>
      </c>
      <c r="CP140" t="s">
        <v>138</v>
      </c>
      <c r="CQ140" s="14">
        <v>3</v>
      </c>
      <c r="CR140" t="s">
        <v>139</v>
      </c>
      <c r="CS140" t="s">
        <v>174</v>
      </c>
      <c r="CU140" s="3">
        <v>4557.6000000000004</v>
      </c>
      <c r="CV140" s="3">
        <f>ROUND(Table1[[#This Row],[Sales_Amount]],0)</f>
        <v>4558</v>
      </c>
      <c r="CW140" s="3"/>
      <c r="CX140" s="3"/>
      <c r="CY140" s="3" t="b">
        <f>IF(AND(Table1[[#This Row],[Sales_Amount]]&gt;=10000,Table1[[#This Row],[Profit]]&gt;0),"Good Order")</f>
        <v>0</v>
      </c>
      <c r="CZ140" s="3" t="str">
        <f>IF(Table1[[#This Row],[Sales_Amount]]&gt;=10000,"High","Normal")</f>
        <v>Normal</v>
      </c>
      <c r="DA140" s="3">
        <v>1257.5999999999999</v>
      </c>
      <c r="DB140" s="3">
        <f>ROUND(Table1[[#This Row],[Profit]],0)</f>
        <v>1258</v>
      </c>
      <c r="DC140" s="3">
        <f>ABS(Table1[[#This Row],[Profit]])</f>
        <v>1257.5999999999999</v>
      </c>
      <c r="DD140" s="3"/>
      <c r="DE140" s="3"/>
      <c r="DF140" s="3"/>
      <c r="DG140" s="3" t="str">
        <f>IF(Table1[[#This Row],[Profit]]&gt;0,"Profit","Loss")</f>
        <v>Profit</v>
      </c>
      <c r="DH140" s="3" t="str">
        <f>IF(AND(Table1[[#This Row],[Sales_Amount]]&gt;=10000,Table1[[#This Row],[Profit]]&gt;0),"Priority","Normal")</f>
        <v>Normal</v>
      </c>
      <c r="DI140" s="3">
        <f t="shared" ca="1" si="16"/>
        <v>0.15457798631602326</v>
      </c>
      <c r="DJ140" s="3">
        <f t="shared" ca="1" si="17"/>
        <v>32</v>
      </c>
      <c r="DK140" s="3"/>
      <c r="DL140" s="3"/>
      <c r="DM140" s="3"/>
      <c r="DN140" s="3"/>
      <c r="DO140" s="3"/>
      <c r="DP140" s="3"/>
    </row>
    <row r="141" spans="1:120">
      <c r="A141" t="s">
        <v>827</v>
      </c>
      <c r="B141" t="str">
        <f>REPLACE(Table1[[#This Row],[Order_ID]],1,3,"YOO")</f>
        <v>YOO10140</v>
      </c>
      <c r="C141" t="str">
        <f>MID(Table1[[#This Row],[Order_ID]],4,4)</f>
        <v>1014</v>
      </c>
      <c r="D141" t="str">
        <f>LEFT(Table1[[#This Row],[Order_ID]],4)</f>
        <v>ORD1</v>
      </c>
      <c r="E141" t="str">
        <f>RIGHT(Table1[[#This Row],[Order_ID]],5)</f>
        <v>10140</v>
      </c>
      <c r="F141" t="s">
        <v>5</v>
      </c>
      <c r="G141">
        <v>10140</v>
      </c>
      <c r="H141" t="s">
        <v>828</v>
      </c>
      <c r="I141" s="2">
        <f>EDATE(Table1[[#This Row],[Order_Date]],3)</f>
        <v>46123</v>
      </c>
      <c r="J141" s="2">
        <f>EDATE(Table1[[#This Row],[Order_Date]],6)</f>
        <v>46214</v>
      </c>
      <c r="K141">
        <f ca="1">YEAR(Table1[[#This Row],[Today]])</f>
        <v>2026</v>
      </c>
      <c r="L141">
        <v>140</v>
      </c>
      <c r="M141">
        <f ca="1">DAY(Table1[[#This Row],[Today]])</f>
        <v>11</v>
      </c>
      <c r="N141" s="19">
        <f t="shared" ca="1" si="20"/>
        <v>46245.589795370368</v>
      </c>
      <c r="O141" s="2">
        <f t="shared" ca="1" si="15"/>
        <v>46245</v>
      </c>
      <c r="P141" s="17">
        <f ca="1">Table1[[#This Row],[Today]]-Table1[[#This Row],[Order_Date]]</f>
        <v>212</v>
      </c>
      <c r="Q141" s="2">
        <v>45797</v>
      </c>
      <c r="R141" s="2">
        <v>46033</v>
      </c>
      <c r="S141" s="6">
        <f t="shared" si="18"/>
        <v>2026</v>
      </c>
      <c r="T141" s="7" t="str">
        <f t="shared" si="19"/>
        <v>January</v>
      </c>
      <c r="U141" s="2">
        <f>WORKDAY(Table1[[#This Row],[Order_Date]],5)</f>
        <v>46038</v>
      </c>
      <c r="V141" s="7" t="str">
        <f>CONCATENATE(Table1[[#This Row],[Customer_ID]],Table1[[#This Row],[Customer_Name]])</f>
        <v>C1030Rahul Sharma</v>
      </c>
      <c r="W141" t="s">
        <v>645</v>
      </c>
      <c r="X141" t="s">
        <v>290</v>
      </c>
      <c r="Y141">
        <f>COUNTA(Table1[[#This Row],[Customer_Name]])</f>
        <v>1</v>
      </c>
      <c r="Z141" t="str">
        <f>SUBSTITUTE(Table1[[#This Row],[Customer_Name]]," ","_")</f>
        <v>Rahul_Sharma</v>
      </c>
      <c r="AA141" s="10">
        <f>IFERROR(SEARCH("a",Table1[[#This Row],[Customer_Name]]),"N/A")</f>
        <v>2</v>
      </c>
      <c r="AB141">
        <f>SEARCH(" ",Table1[[#This Row],[Customer_Name]])</f>
        <v>6</v>
      </c>
      <c r="AC141" s="11">
        <f>IFERROR(FIND("a",Table1[[#This Row],[Customer_Name]]),"N/A")</f>
        <v>2</v>
      </c>
      <c r="AD141">
        <f>FIND(" ",Table1[[#This Row],[Customer_Name]])</f>
        <v>6</v>
      </c>
      <c r="AE141" t="str">
        <f>TRIM(Table1[[#This Row],[Customer_Name]])</f>
        <v>Rahul Sharma</v>
      </c>
      <c r="AF141">
        <f>LEN(Table1[[#This Row],[Trimmed]])</f>
        <v>12</v>
      </c>
      <c r="AG141">
        <f>MAX(Table1[Length])</f>
        <v>15</v>
      </c>
      <c r="AH141" t="str">
        <f>PROPER(Table1[[#This Row],[Customer_Name]])</f>
        <v>Rahul Sharma</v>
      </c>
      <c r="AI141" t="str">
        <f>LOWER(Table1[[#This Row],[Customer_Name]])</f>
        <v>rahul sharma</v>
      </c>
      <c r="AJ141" t="str">
        <f>UPPER(Table1[[#This Row],[Customer_Name]])</f>
        <v>RAHUL SHARMA</v>
      </c>
      <c r="AK141" t="str">
        <f>CONCATENATE(Table1[[#This Row],[Customer_ID]],Table1[[#This Row],[Customer_Name]])</f>
        <v>C1030Rahul Sharma</v>
      </c>
      <c r="AL141" t="s">
        <v>291</v>
      </c>
      <c r="AM141" t="s">
        <v>292</v>
      </c>
      <c r="AN141" t="s">
        <v>245</v>
      </c>
      <c r="AO141" t="s">
        <v>291</v>
      </c>
      <c r="AP141" t="s">
        <v>292</v>
      </c>
      <c r="AQ141" t="s">
        <v>304</v>
      </c>
      <c r="AR141" t="str">
        <f>TRIM(Table1[[#This Row],[City]])</f>
        <v>Chennai</v>
      </c>
      <c r="AS141" t="str">
        <f>PROPER(Table1[[#This Row],[City]])</f>
        <v>Chennai</v>
      </c>
      <c r="AT141" t="s">
        <v>305</v>
      </c>
      <c r="AU141" t="str">
        <f>CONCATENATE(Table1[[#This Row],[City]],Table1[[#This Row],[State]])</f>
        <v>ChennaiTamil Nadu</v>
      </c>
      <c r="AV141" t="s">
        <v>168</v>
      </c>
      <c r="AW141" t="s">
        <v>319</v>
      </c>
      <c r="AX141" t="str">
        <f>REPLACE(Table1[[#This Row],[Product_ID]],1,1,"s")</f>
        <v>s103</v>
      </c>
      <c r="AY141" t="s">
        <v>829</v>
      </c>
      <c r="AZ141">
        <f>SEARCH("-",Table1[[#This Row],[Product ID]])</f>
        <v>2</v>
      </c>
      <c r="BA141">
        <f>FIND("-",Table1[[#This Row],[Product ID]])</f>
        <v>2</v>
      </c>
      <c r="BB141" t="str">
        <f>MID(Table1[[#This Row],[Product_ID]],2,3)</f>
        <v>103</v>
      </c>
      <c r="BC141" t="str">
        <f>RIGHT(Table1[[#This Row],[Product_ID]],3)</f>
        <v>103</v>
      </c>
      <c r="BD141" t="str">
        <f>LEFT(Table1[[#This Row],[Product_ID]],3)</f>
        <v>P10</v>
      </c>
      <c r="BE141" t="str">
        <f>_xlfn.XLOOKUP(Table1[[#This Row],[Product_ID]],AW:AW,BF:BF,,0)</f>
        <v>Laptop Stand</v>
      </c>
      <c r="BF141" t="s">
        <v>321</v>
      </c>
      <c r="BG141">
        <f>LEN(Table1[[#This Row],[Product_Name]])</f>
        <v>12</v>
      </c>
      <c r="BH141" t="s">
        <v>154</v>
      </c>
      <c r="BI141">
        <f t="shared" si="21"/>
        <v>75</v>
      </c>
      <c r="BJ141" t="str">
        <f>SUBSTITUTE(Table1[[#This Row],[Category]],"Electronics","ELECTRONICS")</f>
        <v>ELECTRONICS</v>
      </c>
      <c r="BN141" t="s">
        <v>155</v>
      </c>
      <c r="BS141" s="14">
        <v>4</v>
      </c>
      <c r="BT141" s="3">
        <v>1599</v>
      </c>
      <c r="BU141" s="4">
        <v>15</v>
      </c>
      <c r="BV141" s="4" t="str">
        <f>IF(AND(Table1[[#This Row],[Quantity]]&gt;=3,Table1[[#This Row],[Discount_%]]&gt;=15%),"Bulk Discount","no")</f>
        <v>Bulk Discount</v>
      </c>
      <c r="BW141" s="4" t="str">
        <f>IF(AND(Table1[[#This Row],[Quantity]]&gt;3,Table1[[#This Row],[Discount_%]]&gt;15%),"Bulk Customer","Normal")</f>
        <v>Bulk Customer</v>
      </c>
      <c r="BX141" t="s">
        <v>187</v>
      </c>
      <c r="BY141" t="s">
        <v>374</v>
      </c>
      <c r="CC141" t="str">
        <f>IF(OR(Table1[[#This Row],[Order_Status]]="Returned",Table1[[#This Row],[Order_Status]]="Cancelled"),"Attention Required","Not")</f>
        <v>Attention Required</v>
      </c>
      <c r="CD141" t="str">
        <f>IF(OR(Table1[[#This Row],[Order_Status]]="Returned",Table1[[#This Row],[Order_Status]]="Cancelled"),"Review","no")</f>
        <v>Review</v>
      </c>
      <c r="CE141" t="str">
        <f>SUBSTITUTE(Table1[[#This Row],[Order_Status]],"Delivered","Completed")</f>
        <v>Returned</v>
      </c>
      <c r="CF141" s="2">
        <v>46038</v>
      </c>
      <c r="CG141" s="17">
        <f>NETWORKDAYS(Table1[[#This Row],[Order_Date]],Table1[[#This Row],[Delivery_Date]])</f>
        <v>5</v>
      </c>
      <c r="CH141" s="17">
        <f>Table1[[#This Row],[Delivery_Date]]-Table1[[#This Row],[Order_Date]]</f>
        <v>5</v>
      </c>
      <c r="CI141" t="s">
        <v>375</v>
      </c>
      <c r="CJ141" t="str">
        <f>IF(Table1[[#This Row],[Rating]]&gt;=4,"Good","Needs Improvement")</f>
        <v>Good</v>
      </c>
      <c r="CK141" t="str">
        <f>IF(OR(Table1[[#This Row],[Rating]]&lt;=2,Table1[[#This Row],[Profit]]&lt;0),"Review","NO")</f>
        <v>NO</v>
      </c>
      <c r="CL141" t="str" cm="1">
        <f t="array" ref="CL141">_xlfn.IFS(Table1[[#This Row],[Rating]]&gt;2,"Poor",Table1[[#This Row],[Rating]]=3,"Average",Table1[[#This Row],[Rating]]=4,"Good",CP141=5,"Excellent")</f>
        <v>Poor</v>
      </c>
      <c r="CM141">
        <f>COUNT(Table1[[#This Row],[Rating]])</f>
        <v>1</v>
      </c>
      <c r="CN141">
        <f>COUNTBLANK(Table1[[#This Row],[Rating]])</f>
        <v>0</v>
      </c>
      <c r="CP141" t="s">
        <v>138</v>
      </c>
      <c r="CQ141" s="14">
        <v>4</v>
      </c>
      <c r="CR141" t="s">
        <v>204</v>
      </c>
      <c r="CS141" t="s">
        <v>267</v>
      </c>
      <c r="CU141" s="3">
        <v>5436.6</v>
      </c>
      <c r="CV141" s="3">
        <f>ROUND(Table1[[#This Row],[Sales_Amount]],0)</f>
        <v>5437</v>
      </c>
      <c r="CW141" s="3"/>
      <c r="CX141" s="3"/>
      <c r="CY141" s="3" t="b">
        <f>IF(AND(Table1[[#This Row],[Sales_Amount]]&gt;=10000,Table1[[#This Row],[Profit]]&gt;0),"Good Order")</f>
        <v>0</v>
      </c>
      <c r="CZ141" s="3" t="str">
        <f>IF(Table1[[#This Row],[Sales_Amount]]&gt;=10000,"High","Normal")</f>
        <v>Normal</v>
      </c>
      <c r="DA141" s="3">
        <v>1836.6</v>
      </c>
      <c r="DB141" s="3">
        <f>ROUND(Table1[[#This Row],[Profit]],0)</f>
        <v>1837</v>
      </c>
      <c r="DC141" s="3">
        <f>ABS(Table1[[#This Row],[Profit]])</f>
        <v>1836.6</v>
      </c>
      <c r="DD141" s="3"/>
      <c r="DE141" s="3"/>
      <c r="DF141" s="3"/>
      <c r="DG141" s="3" t="str">
        <f>IF(Table1[[#This Row],[Profit]]&gt;0,"Profit","Loss")</f>
        <v>Profit</v>
      </c>
      <c r="DH141" s="3" t="str">
        <f>IF(AND(Table1[[#This Row],[Sales_Amount]]&gt;=10000,Table1[[#This Row],[Profit]]&gt;0),"Priority","Normal")</f>
        <v>Normal</v>
      </c>
      <c r="DI141" s="3">
        <f t="shared" ca="1" si="16"/>
        <v>0.13599464533972916</v>
      </c>
      <c r="DJ141" s="3">
        <f t="shared" ca="1" si="17"/>
        <v>91</v>
      </c>
      <c r="DK141" s="3"/>
      <c r="DL141" s="3"/>
      <c r="DM141" s="3"/>
      <c r="DN141" s="3"/>
      <c r="DO141" s="3"/>
      <c r="DP141" s="3"/>
    </row>
    <row r="142" spans="1:120">
      <c r="A142" t="s">
        <v>830</v>
      </c>
      <c r="B142" t="str">
        <f>REPLACE(Table1[[#This Row],[Order_ID]],1,3,"YOO")</f>
        <v>YOO10141</v>
      </c>
      <c r="C142" t="str">
        <f>MID(Table1[[#This Row],[Order_ID]],4,4)</f>
        <v>1014</v>
      </c>
      <c r="D142" t="str">
        <f>LEFT(Table1[[#This Row],[Order_ID]],4)</f>
        <v>ORD1</v>
      </c>
      <c r="E142" t="str">
        <f>RIGHT(Table1[[#This Row],[Order_ID]],5)</f>
        <v>10141</v>
      </c>
      <c r="F142" t="s">
        <v>5</v>
      </c>
      <c r="G142">
        <v>10141</v>
      </c>
      <c r="H142" t="s">
        <v>831</v>
      </c>
      <c r="I142" s="2">
        <f>EDATE(Table1[[#This Row],[Order_Date]],3)</f>
        <v>45870</v>
      </c>
      <c r="J142" s="2">
        <f>EDATE(Table1[[#This Row],[Order_Date]],6)</f>
        <v>45962</v>
      </c>
      <c r="K142">
        <f ca="1">YEAR(Table1[[#This Row],[Today]])</f>
        <v>2026</v>
      </c>
      <c r="L142">
        <v>141</v>
      </c>
      <c r="M142">
        <f ca="1">DAY(Table1[[#This Row],[Today]])</f>
        <v>11</v>
      </c>
      <c r="N142" s="19">
        <f t="shared" ca="1" si="20"/>
        <v>46245.589795370368</v>
      </c>
      <c r="O142" s="2">
        <f t="shared" ca="1" si="15"/>
        <v>46245</v>
      </c>
      <c r="P142" s="17">
        <f ca="1">Table1[[#This Row],[Today]]-Table1[[#This Row],[Order_Date]]</f>
        <v>467</v>
      </c>
      <c r="Q142" s="2">
        <v>45798</v>
      </c>
      <c r="R142" s="2">
        <v>45778</v>
      </c>
      <c r="S142" s="6">
        <f t="shared" si="18"/>
        <v>2025</v>
      </c>
      <c r="T142" s="7" t="str">
        <f t="shared" si="19"/>
        <v>May</v>
      </c>
      <c r="U142" s="2">
        <f>WORKDAY(Table1[[#This Row],[Order_Date]],5)</f>
        <v>45785</v>
      </c>
      <c r="V142" s="7" t="str">
        <f>CONCATENATE(Table1[[#This Row],[Customer_ID]],Table1[[#This Row],[Customer_Name]])</f>
        <v>C1074Kavya Shah</v>
      </c>
      <c r="W142" t="s">
        <v>614</v>
      </c>
      <c r="X142" t="s">
        <v>271</v>
      </c>
      <c r="Y142">
        <f>COUNTA(Table1[[#This Row],[Customer_Name]])</f>
        <v>1</v>
      </c>
      <c r="Z142" t="str">
        <f>SUBSTITUTE(Table1[[#This Row],[Customer_Name]]," ","_")</f>
        <v>Kavya_Shah</v>
      </c>
      <c r="AA142" s="10">
        <f>IFERROR(SEARCH("a",Table1[[#This Row],[Customer_Name]]),"N/A")</f>
        <v>2</v>
      </c>
      <c r="AB142">
        <f>SEARCH(" ",Table1[[#This Row],[Customer_Name]])</f>
        <v>6</v>
      </c>
      <c r="AC142" s="11">
        <f>IFERROR(FIND("a",Table1[[#This Row],[Customer_Name]]),"N/A")</f>
        <v>2</v>
      </c>
      <c r="AD142">
        <f>FIND(" ",Table1[[#This Row],[Customer_Name]])</f>
        <v>6</v>
      </c>
      <c r="AE142" t="str">
        <f>TRIM(Table1[[#This Row],[Customer_Name]])</f>
        <v>Kavya Shah</v>
      </c>
      <c r="AF142">
        <f>LEN(Table1[[#This Row],[Trimmed]])</f>
        <v>10</v>
      </c>
      <c r="AG142">
        <f>MAX(Table1[Length])</f>
        <v>15</v>
      </c>
      <c r="AH142" t="str">
        <f>PROPER(Table1[[#This Row],[Customer_Name]])</f>
        <v>Kavya Shah</v>
      </c>
      <c r="AI142" t="str">
        <f>LOWER(Table1[[#This Row],[Customer_Name]])</f>
        <v>kavya shah</v>
      </c>
      <c r="AJ142" t="str">
        <f>UPPER(Table1[[#This Row],[Customer_Name]])</f>
        <v>KAVYA SHAH</v>
      </c>
      <c r="AK142" t="str">
        <f>CONCATENATE(Table1[[#This Row],[Customer_ID]],Table1[[#This Row],[Customer_Name]])</f>
        <v>C1074Kavya Shah</v>
      </c>
      <c r="AL142" t="s">
        <v>272</v>
      </c>
      <c r="AM142" t="s">
        <v>273</v>
      </c>
      <c r="AN142" t="s">
        <v>274</v>
      </c>
      <c r="AO142" t="s">
        <v>272</v>
      </c>
      <c r="AP142" t="s">
        <v>273</v>
      </c>
      <c r="AQ142" t="s">
        <v>304</v>
      </c>
      <c r="AR142" t="str">
        <f>TRIM(Table1[[#This Row],[City]])</f>
        <v>Chennai</v>
      </c>
      <c r="AS142" t="str">
        <f>PROPER(Table1[[#This Row],[City]])</f>
        <v>Chennai</v>
      </c>
      <c r="AT142" t="s">
        <v>305</v>
      </c>
      <c r="AU142" t="str">
        <f>CONCATENATE(Table1[[#This Row],[City]],Table1[[#This Row],[State]])</f>
        <v>ChennaiTamil Nadu</v>
      </c>
      <c r="AV142" t="s">
        <v>168</v>
      </c>
      <c r="AW142" t="s">
        <v>338</v>
      </c>
      <c r="AX142" t="str">
        <f>REPLACE(Table1[[#This Row],[Product_ID]],1,1,"s")</f>
        <v>s115</v>
      </c>
      <c r="AY142" t="s">
        <v>832</v>
      </c>
      <c r="AZ142">
        <f>SEARCH("-",Table1[[#This Row],[Product ID]])</f>
        <v>2</v>
      </c>
      <c r="BA142">
        <f>FIND("-",Table1[[#This Row],[Product ID]])</f>
        <v>2</v>
      </c>
      <c r="BB142" t="str">
        <f>MID(Table1[[#This Row],[Product_ID]],2,3)</f>
        <v>115</v>
      </c>
      <c r="BC142" t="str">
        <f>RIGHT(Table1[[#This Row],[Product_ID]],3)</f>
        <v>115</v>
      </c>
      <c r="BD142" t="str">
        <f>LEFT(Table1[[#This Row],[Product_ID]],3)</f>
        <v>P11</v>
      </c>
      <c r="BE142" t="str">
        <f>_xlfn.XLOOKUP(Table1[[#This Row],[Product_ID]],AW:AW,BF:BF,,0)</f>
        <v>Dumbbell Set</v>
      </c>
      <c r="BF142" t="s">
        <v>340</v>
      </c>
      <c r="BG142">
        <f>LEN(Table1[[#This Row],[Product_Name]])</f>
        <v>12</v>
      </c>
      <c r="BH142" t="s">
        <v>264</v>
      </c>
      <c r="BI142">
        <f t="shared" si="21"/>
        <v>75</v>
      </c>
      <c r="BJ142" t="str">
        <f>SUBSTITUTE(Table1[[#This Row],[Category]],"Electronics","ELECTRONICS")</f>
        <v>Sports</v>
      </c>
      <c r="BN142" t="s">
        <v>265</v>
      </c>
      <c r="BS142" s="14">
        <v>3</v>
      </c>
      <c r="BT142" s="3">
        <v>2499</v>
      </c>
      <c r="BU142" s="4">
        <v>10</v>
      </c>
      <c r="BV142" s="4" t="str">
        <f>IF(AND(Table1[[#This Row],[Quantity]]&gt;=3,Table1[[#This Row],[Discount_%]]&gt;=15%),"Bulk Discount","no")</f>
        <v>Bulk Discount</v>
      </c>
      <c r="BW142" s="4" t="str">
        <f>IF(AND(Table1[[#This Row],[Quantity]]&gt;3,Table1[[#This Row],[Discount_%]]&gt;15%),"Bulk Customer","Normal")</f>
        <v>Normal</v>
      </c>
      <c r="BX142" t="s">
        <v>187</v>
      </c>
      <c r="BY142" t="s">
        <v>374</v>
      </c>
      <c r="CC142" t="str">
        <f>IF(OR(Table1[[#This Row],[Order_Status]]="Returned",Table1[[#This Row],[Order_Status]]="Cancelled"),"Attention Required","Not")</f>
        <v>Attention Required</v>
      </c>
      <c r="CD142" t="str">
        <f>IF(OR(Table1[[#This Row],[Order_Status]]="Returned",Table1[[#This Row],[Order_Status]]="Cancelled"),"Review","no")</f>
        <v>Review</v>
      </c>
      <c r="CE142" t="str">
        <f>SUBSTITUTE(Table1[[#This Row],[Order_Status]],"Delivered","Completed")</f>
        <v>Returned</v>
      </c>
      <c r="CF142" s="2">
        <v>45786</v>
      </c>
      <c r="CG142" s="17">
        <f>NETWORKDAYS(Table1[[#This Row],[Order_Date]],Table1[[#This Row],[Delivery_Date]])</f>
        <v>7</v>
      </c>
      <c r="CH142" s="17">
        <f>Table1[[#This Row],[Delivery_Date]]-Table1[[#This Row],[Order_Date]]</f>
        <v>8</v>
      </c>
      <c r="CI142" t="s">
        <v>375</v>
      </c>
      <c r="CJ142" t="str">
        <f>IF(Table1[[#This Row],[Rating]]&gt;=4,"Good","Needs Improvement")</f>
        <v>Good</v>
      </c>
      <c r="CK142" t="str">
        <f>IF(OR(Table1[[#This Row],[Rating]]&lt;=2,Table1[[#This Row],[Profit]]&lt;0),"Review","NO")</f>
        <v>NO</v>
      </c>
      <c r="CL142" t="str" cm="1">
        <f t="array" ref="CL142">_xlfn.IFS(Table1[[#This Row],[Rating]]&gt;2,"Poor",Table1[[#This Row],[Rating]]=3,"Average",Table1[[#This Row],[Rating]]=4,"Good",CP142=5,"Excellent")</f>
        <v>Poor</v>
      </c>
      <c r="CM142">
        <f>COUNT(Table1[[#This Row],[Rating]])</f>
        <v>1</v>
      </c>
      <c r="CN142">
        <f>COUNTBLANK(Table1[[#This Row],[Rating]])</f>
        <v>0</v>
      </c>
      <c r="CP142" t="s">
        <v>331</v>
      </c>
      <c r="CQ142" s="14">
        <v>4</v>
      </c>
      <c r="CR142" t="s">
        <v>139</v>
      </c>
      <c r="CS142" t="s">
        <v>140</v>
      </c>
      <c r="CU142" s="3">
        <v>6747.3</v>
      </c>
      <c r="CV142" s="3">
        <f>ROUND(Table1[[#This Row],[Sales_Amount]],0)</f>
        <v>6747</v>
      </c>
      <c r="CW142" s="3"/>
      <c r="CX142" s="3"/>
      <c r="CY142" s="3" t="b">
        <f>IF(AND(Table1[[#This Row],[Sales_Amount]]&gt;=10000,Table1[[#This Row],[Profit]]&gt;0),"Good Order")</f>
        <v>0</v>
      </c>
      <c r="CZ142" s="3" t="str">
        <f>IF(Table1[[#This Row],[Sales_Amount]]&gt;=10000,"High","Normal")</f>
        <v>Normal</v>
      </c>
      <c r="DA142" s="3">
        <v>2397.3000000000002</v>
      </c>
      <c r="DB142" s="3">
        <f>ROUND(Table1[[#This Row],[Profit]],0)</f>
        <v>2397</v>
      </c>
      <c r="DC142" s="3">
        <f>ABS(Table1[[#This Row],[Profit]])</f>
        <v>2397.3000000000002</v>
      </c>
      <c r="DD142" s="3"/>
      <c r="DE142" s="3"/>
      <c r="DF142" s="3"/>
      <c r="DG142" s="3" t="str">
        <f>IF(Table1[[#This Row],[Profit]]&gt;0,"Profit","Loss")</f>
        <v>Profit</v>
      </c>
      <c r="DH142" s="3" t="str">
        <f>IF(AND(Table1[[#This Row],[Sales_Amount]]&gt;=10000,Table1[[#This Row],[Profit]]&gt;0),"Priority","Normal")</f>
        <v>Normal</v>
      </c>
      <c r="DI142" s="3">
        <f t="shared" ca="1" si="16"/>
        <v>0.70487349406390776</v>
      </c>
      <c r="DJ142" s="3">
        <f t="shared" ca="1" si="17"/>
        <v>61</v>
      </c>
      <c r="DK142" s="3"/>
      <c r="DL142" s="3"/>
      <c r="DM142" s="3"/>
      <c r="DN142" s="3"/>
      <c r="DO142" s="3"/>
      <c r="DP142" s="3"/>
    </row>
    <row r="143" spans="1:120">
      <c r="A143" t="s">
        <v>833</v>
      </c>
      <c r="B143" t="str">
        <f>REPLACE(Table1[[#This Row],[Order_ID]],1,3,"YOO")</f>
        <v>YOO10142</v>
      </c>
      <c r="C143" t="str">
        <f>MID(Table1[[#This Row],[Order_ID]],4,4)</f>
        <v>1014</v>
      </c>
      <c r="D143" t="str">
        <f>LEFT(Table1[[#This Row],[Order_ID]],4)</f>
        <v>ORD1</v>
      </c>
      <c r="E143" t="str">
        <f>RIGHT(Table1[[#This Row],[Order_ID]],5)</f>
        <v>10142</v>
      </c>
      <c r="F143" t="s">
        <v>5</v>
      </c>
      <c r="G143">
        <v>10142</v>
      </c>
      <c r="H143" t="s">
        <v>834</v>
      </c>
      <c r="I143" s="2">
        <f>EDATE(Table1[[#This Row],[Order_Date]],3)</f>
        <v>46204</v>
      </c>
      <c r="J143" s="2">
        <f>EDATE(Table1[[#This Row],[Order_Date]],6)</f>
        <v>46296</v>
      </c>
      <c r="K143">
        <f ca="1">YEAR(Table1[[#This Row],[Today]])</f>
        <v>2026</v>
      </c>
      <c r="L143">
        <v>142</v>
      </c>
      <c r="M143">
        <f ca="1">DAY(Table1[[#This Row],[Today]])</f>
        <v>11</v>
      </c>
      <c r="N143" s="19">
        <f t="shared" ca="1" si="20"/>
        <v>46245.589795138891</v>
      </c>
      <c r="O143" s="2">
        <f t="shared" ca="1" si="15"/>
        <v>46245</v>
      </c>
      <c r="P143" s="17">
        <f ca="1">Table1[[#This Row],[Today]]-Table1[[#This Row],[Order_Date]]</f>
        <v>132</v>
      </c>
      <c r="Q143" s="2">
        <v>45799</v>
      </c>
      <c r="R143" s="2">
        <v>46113</v>
      </c>
      <c r="S143" s="6">
        <f t="shared" si="18"/>
        <v>2026</v>
      </c>
      <c r="T143" s="7" t="str">
        <f t="shared" si="19"/>
        <v>April</v>
      </c>
      <c r="U143" s="2">
        <f>WORKDAY(Table1[[#This Row],[Order_Date]],5)</f>
        <v>46120</v>
      </c>
      <c r="V143" s="7" t="str">
        <f>CONCATENATE(Table1[[#This Row],[Customer_ID]],Table1[[#This Row],[Customer_Name]])</f>
        <v>C1141Riya Agarwal</v>
      </c>
      <c r="W143" t="s">
        <v>317</v>
      </c>
      <c r="X143" t="s">
        <v>217</v>
      </c>
      <c r="Y143">
        <f>COUNTA(Table1[[#This Row],[Customer_Name]])</f>
        <v>1</v>
      </c>
      <c r="Z143" t="str">
        <f>SUBSTITUTE(Table1[[#This Row],[Customer_Name]]," ","_")</f>
        <v>Riya_Agarwal</v>
      </c>
      <c r="AA143" s="10">
        <f>IFERROR(SEARCH("a",Table1[[#This Row],[Customer_Name]]),"N/A")</f>
        <v>4</v>
      </c>
      <c r="AB143">
        <f>SEARCH(" ",Table1[[#This Row],[Customer_Name]])</f>
        <v>5</v>
      </c>
      <c r="AC143" s="11">
        <f>IFERROR(FIND("a",Table1[[#This Row],[Customer_Name]]),"N/A")</f>
        <v>4</v>
      </c>
      <c r="AD143">
        <f>FIND(" ",Table1[[#This Row],[Customer_Name]])</f>
        <v>5</v>
      </c>
      <c r="AE143" t="str">
        <f>TRIM(Table1[[#This Row],[Customer_Name]])</f>
        <v>Riya Agarwal</v>
      </c>
      <c r="AF143">
        <f>LEN(Table1[[#This Row],[Trimmed]])</f>
        <v>12</v>
      </c>
      <c r="AG143">
        <f>MAX(Table1[Length])</f>
        <v>15</v>
      </c>
      <c r="AH143" t="str">
        <f>PROPER(Table1[[#This Row],[Customer_Name]])</f>
        <v>Riya Agarwal</v>
      </c>
      <c r="AI143" t="str">
        <f>LOWER(Table1[[#This Row],[Customer_Name]])</f>
        <v>riya agarwal</v>
      </c>
      <c r="AJ143" t="str">
        <f>UPPER(Table1[[#This Row],[Customer_Name]])</f>
        <v>RIYA AGARWAL</v>
      </c>
      <c r="AK143" t="str">
        <f>CONCATENATE(Table1[[#This Row],[Customer_ID]],Table1[[#This Row],[Customer_Name]])</f>
        <v>C1141Riya Agarwal</v>
      </c>
      <c r="AL143" t="s">
        <v>218</v>
      </c>
      <c r="AM143" t="s">
        <v>219</v>
      </c>
      <c r="AN143" t="s">
        <v>220</v>
      </c>
      <c r="AO143" t="s">
        <v>218</v>
      </c>
      <c r="AP143" t="s">
        <v>219</v>
      </c>
      <c r="AQ143" t="s">
        <v>569</v>
      </c>
      <c r="AR143" t="str">
        <f>TRIM(Table1[[#This Row],[City]])</f>
        <v>Delhi</v>
      </c>
      <c r="AS143" t="str">
        <f>PROPER(Table1[[#This Row],[City]])</f>
        <v>Delhi</v>
      </c>
      <c r="AT143" t="s">
        <v>569</v>
      </c>
      <c r="AU143" t="str">
        <f>CONCATENATE(Table1[[#This Row],[City]],Table1[[#This Row],[State]])</f>
        <v>DelhiDelhi</v>
      </c>
      <c r="AV143" t="s">
        <v>150</v>
      </c>
      <c r="AW143" t="s">
        <v>370</v>
      </c>
      <c r="AX143" t="str">
        <f>REPLACE(Table1[[#This Row],[Product_ID]],1,1,"s")</f>
        <v>s108</v>
      </c>
      <c r="AY143" t="s">
        <v>835</v>
      </c>
      <c r="AZ143">
        <f>SEARCH("-",Table1[[#This Row],[Product ID]])</f>
        <v>2</v>
      </c>
      <c r="BA143">
        <f>FIND("-",Table1[[#This Row],[Product ID]])</f>
        <v>2</v>
      </c>
      <c r="BB143" t="str">
        <f>MID(Table1[[#This Row],[Product_ID]],2,3)</f>
        <v>108</v>
      </c>
      <c r="BC143" t="str">
        <f>RIGHT(Table1[[#This Row],[Product_ID]],3)</f>
        <v>108</v>
      </c>
      <c r="BD143" t="str">
        <f>LEFT(Table1[[#This Row],[Product_ID]],3)</f>
        <v>P10</v>
      </c>
      <c r="BE143" t="str">
        <f>_xlfn.XLOOKUP(Table1[[#This Row],[Product_ID]],AW:AW,BF:BF,,0)</f>
        <v>Hoodie</v>
      </c>
      <c r="BF143" t="s">
        <v>372</v>
      </c>
      <c r="BG143">
        <f>LEN(Table1[[#This Row],[Product_Name]])</f>
        <v>6</v>
      </c>
      <c r="BH143" t="s">
        <v>224</v>
      </c>
      <c r="BI143">
        <f t="shared" si="21"/>
        <v>75</v>
      </c>
      <c r="BJ143" t="str">
        <f>SUBSTITUTE(Table1[[#This Row],[Category]],"Electronics","ELECTRONICS")</f>
        <v>Fashion</v>
      </c>
      <c r="BN143" t="s">
        <v>373</v>
      </c>
      <c r="BS143" s="14">
        <v>1</v>
      </c>
      <c r="BT143" s="3">
        <v>1999</v>
      </c>
      <c r="BU143" s="4">
        <v>15</v>
      </c>
      <c r="BV143" s="4" t="str">
        <f>IF(AND(Table1[[#This Row],[Quantity]]&gt;=3,Table1[[#This Row],[Discount_%]]&gt;=15%),"Bulk Discount","no")</f>
        <v>no</v>
      </c>
      <c r="BW143" s="4" t="str">
        <f>IF(AND(Table1[[#This Row],[Quantity]]&gt;3,Table1[[#This Row],[Discount_%]]&gt;15%),"Bulk Customer","Normal")</f>
        <v>Normal</v>
      </c>
      <c r="BX143" t="s">
        <v>192</v>
      </c>
      <c r="BY143" t="s">
        <v>374</v>
      </c>
      <c r="CC143" t="str">
        <f>IF(OR(Table1[[#This Row],[Order_Status]]="Returned",Table1[[#This Row],[Order_Status]]="Cancelled"),"Attention Required","Not")</f>
        <v>Attention Required</v>
      </c>
      <c r="CD143" t="str">
        <f>IF(OR(Table1[[#This Row],[Order_Status]]="Returned",Table1[[#This Row],[Order_Status]]="Cancelled"),"Review","no")</f>
        <v>Review</v>
      </c>
      <c r="CE143" t="str">
        <f>SUBSTITUTE(Table1[[#This Row],[Order_Status]],"Delivered","Completed")</f>
        <v>Returned</v>
      </c>
      <c r="CF143" s="2">
        <v>46119</v>
      </c>
      <c r="CG143" s="17">
        <f>NETWORKDAYS(Table1[[#This Row],[Order_Date]],Table1[[#This Row],[Delivery_Date]])</f>
        <v>5</v>
      </c>
      <c r="CH143" s="17">
        <f>Table1[[#This Row],[Delivery_Date]]-Table1[[#This Row],[Order_Date]]</f>
        <v>6</v>
      </c>
      <c r="CI143" t="s">
        <v>375</v>
      </c>
      <c r="CJ143" t="str">
        <f>IF(Table1[[#This Row],[Rating]]&gt;=4,"Good","Needs Improvement")</f>
        <v>Needs Improvement</v>
      </c>
      <c r="CK143" t="str">
        <f>IF(OR(Table1[[#This Row],[Rating]]&lt;=2,Table1[[#This Row],[Profit]]&lt;0),"Review","NO")</f>
        <v>Review</v>
      </c>
      <c r="CL143" t="e" cm="1">
        <f t="array" ref="CL143">_xlfn.IFS(Table1[[#This Row],[Rating]]&gt;2,"Poor",Table1[[#This Row],[Rating]]=3,"Average",Table1[[#This Row],[Rating]]=4,"Good",CP143=5,"Excellent")</f>
        <v>#N/A</v>
      </c>
      <c r="CM143">
        <f>COUNT(Table1[[#This Row],[Rating]])</f>
        <v>1</v>
      </c>
      <c r="CN143">
        <f>COUNTBLANK(Table1[[#This Row],[Rating]])</f>
        <v>0</v>
      </c>
      <c r="CP143" t="s">
        <v>157</v>
      </c>
      <c r="CQ143" s="14">
        <v>2</v>
      </c>
      <c r="CR143" t="s">
        <v>139</v>
      </c>
      <c r="CS143" t="s">
        <v>213</v>
      </c>
      <c r="CU143" s="3">
        <v>1699.15</v>
      </c>
      <c r="CV143" s="3">
        <f>ROUND(Table1[[#This Row],[Sales_Amount]],0)</f>
        <v>1699</v>
      </c>
      <c r="CW143" s="3"/>
      <c r="CX143" s="3"/>
      <c r="CY143" s="3" t="b">
        <f>IF(AND(Table1[[#This Row],[Sales_Amount]]&gt;=10000,Table1[[#This Row],[Profit]]&gt;0),"Good Order")</f>
        <v>0</v>
      </c>
      <c r="CZ143" s="3" t="str">
        <f>IF(Table1[[#This Row],[Sales_Amount]]&gt;=10000,"High","Normal")</f>
        <v>Normal</v>
      </c>
      <c r="DA143" s="3">
        <v>649.15</v>
      </c>
      <c r="DB143" s="3">
        <f>ROUND(Table1[[#This Row],[Profit]],0)</f>
        <v>649</v>
      </c>
      <c r="DC143" s="3">
        <f>ABS(Table1[[#This Row],[Profit]])</f>
        <v>649.15</v>
      </c>
      <c r="DD143" s="3"/>
      <c r="DE143" s="3"/>
      <c r="DF143" s="3"/>
      <c r="DG143" s="3" t="str">
        <f>IF(Table1[[#This Row],[Profit]]&gt;0,"Profit","Loss")</f>
        <v>Profit</v>
      </c>
      <c r="DH143" s="3" t="str">
        <f>IF(AND(Table1[[#This Row],[Sales_Amount]]&gt;=10000,Table1[[#This Row],[Profit]]&gt;0),"Priority","Normal")</f>
        <v>Normal</v>
      </c>
      <c r="DI143" s="3">
        <f t="shared" ca="1" si="16"/>
        <v>0.54552073593572836</v>
      </c>
      <c r="DJ143" s="3">
        <f t="shared" ca="1" si="17"/>
        <v>47</v>
      </c>
      <c r="DK143" s="3"/>
      <c r="DL143" s="3"/>
      <c r="DM143" s="3"/>
      <c r="DN143" s="3"/>
      <c r="DO143" s="3"/>
      <c r="DP143" s="3"/>
    </row>
    <row r="144" spans="1:120">
      <c r="A144" t="s">
        <v>836</v>
      </c>
      <c r="B144" t="str">
        <f>REPLACE(Table1[[#This Row],[Order_ID]],1,3,"YOO")</f>
        <v>YOO10143</v>
      </c>
      <c r="C144" t="str">
        <f>MID(Table1[[#This Row],[Order_ID]],4,4)</f>
        <v>1014</v>
      </c>
      <c r="D144" t="str">
        <f>LEFT(Table1[[#This Row],[Order_ID]],4)</f>
        <v>ORD1</v>
      </c>
      <c r="E144" t="str">
        <f>RIGHT(Table1[[#This Row],[Order_ID]],5)</f>
        <v>10143</v>
      </c>
      <c r="F144" t="s">
        <v>5</v>
      </c>
      <c r="G144">
        <v>10143</v>
      </c>
      <c r="H144" t="s">
        <v>837</v>
      </c>
      <c r="I144" s="2">
        <f>EDATE(Table1[[#This Row],[Order_Date]],3)</f>
        <v>45928</v>
      </c>
      <c r="J144" s="2">
        <f>EDATE(Table1[[#This Row],[Order_Date]],6)</f>
        <v>46019</v>
      </c>
      <c r="K144">
        <f ca="1">YEAR(Table1[[#This Row],[Today]])</f>
        <v>2026</v>
      </c>
      <c r="L144">
        <v>143</v>
      </c>
      <c r="M144">
        <f ca="1">DAY(Table1[[#This Row],[Today]])</f>
        <v>11</v>
      </c>
      <c r="N144" s="19">
        <f t="shared" ca="1" si="20"/>
        <v>46245.589795370368</v>
      </c>
      <c r="O144" s="2">
        <f t="shared" ca="1" si="15"/>
        <v>46245</v>
      </c>
      <c r="P144" s="17">
        <f ca="1">Table1[[#This Row],[Today]]-Table1[[#This Row],[Order_Date]]</f>
        <v>409</v>
      </c>
      <c r="Q144" s="2">
        <v>45800</v>
      </c>
      <c r="R144" s="2">
        <v>45836</v>
      </c>
      <c r="S144" s="6">
        <f t="shared" si="18"/>
        <v>2025</v>
      </c>
      <c r="T144" s="7" t="str">
        <f t="shared" si="19"/>
        <v>June</v>
      </c>
      <c r="U144" s="2">
        <f>WORKDAY(Table1[[#This Row],[Order_Date]],5)</f>
        <v>45842</v>
      </c>
      <c r="V144" s="7" t="str">
        <f>CONCATENATE(Table1[[#This Row],[Customer_ID]],Table1[[#This Row],[Customer_Name]])</f>
        <v>C1061Kavya Shah</v>
      </c>
      <c r="W144" t="s">
        <v>395</v>
      </c>
      <c r="X144" t="s">
        <v>271</v>
      </c>
      <c r="Y144">
        <f>COUNTA(Table1[[#This Row],[Customer_Name]])</f>
        <v>1</v>
      </c>
      <c r="Z144" t="str">
        <f>SUBSTITUTE(Table1[[#This Row],[Customer_Name]]," ","_")</f>
        <v>Kavya_Shah</v>
      </c>
      <c r="AA144" s="10">
        <f>IFERROR(SEARCH("a",Table1[[#This Row],[Customer_Name]]),"N/A")</f>
        <v>2</v>
      </c>
      <c r="AB144">
        <f>SEARCH(" ",Table1[[#This Row],[Customer_Name]])</f>
        <v>6</v>
      </c>
      <c r="AC144" s="11">
        <f>IFERROR(FIND("a",Table1[[#This Row],[Customer_Name]]),"N/A")</f>
        <v>2</v>
      </c>
      <c r="AD144">
        <f>FIND(" ",Table1[[#This Row],[Customer_Name]])</f>
        <v>6</v>
      </c>
      <c r="AE144" t="str">
        <f>TRIM(Table1[[#This Row],[Customer_Name]])</f>
        <v>Kavya Shah</v>
      </c>
      <c r="AF144">
        <f>LEN(Table1[[#This Row],[Trimmed]])</f>
        <v>10</v>
      </c>
      <c r="AG144">
        <f>MAX(Table1[Length])</f>
        <v>15</v>
      </c>
      <c r="AH144" t="str">
        <f>PROPER(Table1[[#This Row],[Customer_Name]])</f>
        <v>Kavya Shah</v>
      </c>
      <c r="AI144" t="str">
        <f>LOWER(Table1[[#This Row],[Customer_Name]])</f>
        <v>kavya shah</v>
      </c>
      <c r="AJ144" t="str">
        <f>UPPER(Table1[[#This Row],[Customer_Name]])</f>
        <v>KAVYA SHAH</v>
      </c>
      <c r="AK144" t="str">
        <f>CONCATENATE(Table1[[#This Row],[Customer_ID]],Table1[[#This Row],[Customer_Name]])</f>
        <v>C1061Kavya Shah</v>
      </c>
      <c r="AL144" t="s">
        <v>272</v>
      </c>
      <c r="AM144" t="s">
        <v>273</v>
      </c>
      <c r="AN144" t="s">
        <v>274</v>
      </c>
      <c r="AO144" t="s">
        <v>272</v>
      </c>
      <c r="AP144" t="s">
        <v>273</v>
      </c>
      <c r="AQ144" t="s">
        <v>423</v>
      </c>
      <c r="AR144" t="str">
        <f>TRIM(Table1[[#This Row],[City]])</f>
        <v>Ahmedabad</v>
      </c>
      <c r="AS144" t="str">
        <f>PROPER(Table1[[#This Row],[City]])</f>
        <v>Ahmedabad</v>
      </c>
      <c r="AT144" t="s">
        <v>424</v>
      </c>
      <c r="AU144" t="str">
        <f>CONCATENATE(Table1[[#This Row],[City]],Table1[[#This Row],[State]])</f>
        <v>AhmedabadGujarat</v>
      </c>
      <c r="AV144" t="s">
        <v>129</v>
      </c>
      <c r="AW144" t="s">
        <v>169</v>
      </c>
      <c r="AX144" t="str">
        <f>REPLACE(Table1[[#This Row],[Product_ID]],1,1,"s")</f>
        <v>s112</v>
      </c>
      <c r="AY144" t="s">
        <v>838</v>
      </c>
      <c r="AZ144">
        <f>SEARCH("-",Table1[[#This Row],[Product ID]])</f>
        <v>2</v>
      </c>
      <c r="BA144">
        <f>FIND("-",Table1[[#This Row],[Product ID]])</f>
        <v>2</v>
      </c>
      <c r="BB144" t="str">
        <f>MID(Table1[[#This Row],[Product_ID]],2,3)</f>
        <v>112</v>
      </c>
      <c r="BC144" t="str">
        <f>RIGHT(Table1[[#This Row],[Product_ID]],3)</f>
        <v>112</v>
      </c>
      <c r="BD144" t="str">
        <f>LEFT(Table1[[#This Row],[Product_ID]],3)</f>
        <v>P11</v>
      </c>
      <c r="BE144" t="str">
        <f>_xlfn.XLOOKUP(Table1[[#This Row],[Product_ID]],AW:AW,BF:BF,,0)</f>
        <v>Air Fryer</v>
      </c>
      <c r="BF144" t="s">
        <v>171</v>
      </c>
      <c r="BG144">
        <f>LEN(Table1[[#This Row],[Product_Name]])</f>
        <v>9</v>
      </c>
      <c r="BH144" t="s">
        <v>133</v>
      </c>
      <c r="BI144">
        <f t="shared" si="21"/>
        <v>75</v>
      </c>
      <c r="BJ144" t="str">
        <f>SUBSTITUTE(Table1[[#This Row],[Category]],"Electronics","ELECTRONICS")</f>
        <v>Home</v>
      </c>
      <c r="BN144" t="s">
        <v>134</v>
      </c>
      <c r="BS144" s="14">
        <v>3</v>
      </c>
      <c r="BT144" s="3">
        <v>6499</v>
      </c>
      <c r="BU144" s="4">
        <v>10</v>
      </c>
      <c r="BV144" s="4" t="str">
        <f>IF(AND(Table1[[#This Row],[Quantity]]&gt;=3,Table1[[#This Row],[Discount_%]]&gt;=15%),"Bulk Discount","no")</f>
        <v>Bulk Discount</v>
      </c>
      <c r="BW144" s="4" t="str">
        <f>IF(AND(Table1[[#This Row],[Quantity]]&gt;3,Table1[[#This Row],[Discount_%]]&gt;15%),"Bulk Customer","Normal")</f>
        <v>Normal</v>
      </c>
      <c r="BX144" t="s">
        <v>172</v>
      </c>
      <c r="BY144" t="s">
        <v>136</v>
      </c>
      <c r="CC144" t="str">
        <f>IF(OR(Table1[[#This Row],[Order_Status]]="Returned",Table1[[#This Row],[Order_Status]]="Cancelled"),"Attention Required","Not")</f>
        <v>Not</v>
      </c>
      <c r="CD144" t="str">
        <f>IF(OR(Table1[[#This Row],[Order_Status]]="Returned",Table1[[#This Row],[Order_Status]]="Cancelled"),"Review","no")</f>
        <v>no</v>
      </c>
      <c r="CE144" t="str">
        <f>SUBSTITUTE(Table1[[#This Row],[Order_Status]],"Delivered","Completed")</f>
        <v>Completed</v>
      </c>
      <c r="CF144" s="2">
        <v>45840</v>
      </c>
      <c r="CG144" s="17">
        <f>NETWORKDAYS(Table1[[#This Row],[Order_Date]],Table1[[#This Row],[Delivery_Date]])</f>
        <v>3</v>
      </c>
      <c r="CH144" s="17">
        <f>Table1[[#This Row],[Delivery_Date]]-Table1[[#This Row],[Order_Date]]</f>
        <v>4</v>
      </c>
      <c r="CI144" t="s">
        <v>137</v>
      </c>
      <c r="CJ144" t="str">
        <f>IF(Table1[[#This Row],[Rating]]&gt;=4,"Good","Needs Improvement")</f>
        <v>Needs Improvement</v>
      </c>
      <c r="CK144" t="str">
        <f>IF(OR(Table1[[#This Row],[Rating]]&lt;=2,Table1[[#This Row],[Profit]]&lt;0),"Review","NO")</f>
        <v>NO</v>
      </c>
      <c r="CL144" t="str" cm="1">
        <f t="array" ref="CL144">_xlfn.IFS(Table1[[#This Row],[Rating]]&gt;2,"Poor",Table1[[#This Row],[Rating]]=3,"Average",Table1[[#This Row],[Rating]]=4,"Good",CP144=5,"Excellent")</f>
        <v>Poor</v>
      </c>
      <c r="CM144">
        <f>COUNT(Table1[[#This Row],[Rating]])</f>
        <v>1</v>
      </c>
      <c r="CN144">
        <f>COUNTBLANK(Table1[[#This Row],[Rating]])</f>
        <v>0</v>
      </c>
      <c r="CP144" t="s">
        <v>157</v>
      </c>
      <c r="CQ144" s="14">
        <v>3</v>
      </c>
      <c r="CR144" t="s">
        <v>204</v>
      </c>
      <c r="CS144" t="s">
        <v>174</v>
      </c>
      <c r="CU144" s="3">
        <v>17547.3</v>
      </c>
      <c r="CV144" s="3">
        <f>ROUND(Table1[[#This Row],[Sales_Amount]],0)</f>
        <v>17547</v>
      </c>
      <c r="CW144" s="3"/>
      <c r="CX144" s="3"/>
      <c r="CY144" s="3" t="str">
        <f>IF(AND(Table1[[#This Row],[Sales_Amount]]&gt;=10000,Table1[[#This Row],[Profit]]&gt;0),"Good Order")</f>
        <v>Good Order</v>
      </c>
      <c r="CZ144" s="3" t="str">
        <f>IF(Table1[[#This Row],[Sales_Amount]]&gt;=10000,"High","Normal")</f>
        <v>High</v>
      </c>
      <c r="DA144" s="3">
        <v>4647.3</v>
      </c>
      <c r="DB144" s="3">
        <f>ROUND(Table1[[#This Row],[Profit]],0)</f>
        <v>4647</v>
      </c>
      <c r="DC144" s="3">
        <f>ABS(Table1[[#This Row],[Profit]])</f>
        <v>4647.3</v>
      </c>
      <c r="DD144" s="3"/>
      <c r="DE144" s="3"/>
      <c r="DF144" s="3"/>
      <c r="DG144" s="3" t="str">
        <f>IF(Table1[[#This Row],[Profit]]&gt;0,"Profit","Loss")</f>
        <v>Profit</v>
      </c>
      <c r="DH144" s="3" t="str">
        <f>IF(AND(Table1[[#This Row],[Sales_Amount]]&gt;=10000,Table1[[#This Row],[Profit]]&gt;0),"Priority","Normal")</f>
        <v>Priority</v>
      </c>
      <c r="DI144" s="3">
        <f t="shared" ca="1" si="16"/>
        <v>0.35102627911067474</v>
      </c>
      <c r="DJ144" s="3">
        <f t="shared" ca="1" si="17"/>
        <v>63</v>
      </c>
      <c r="DK144" s="3"/>
      <c r="DL144" s="3"/>
      <c r="DM144" s="3"/>
      <c r="DN144" s="3"/>
      <c r="DO144" s="3"/>
      <c r="DP144" s="3"/>
    </row>
    <row r="145" spans="1:120">
      <c r="A145" t="s">
        <v>839</v>
      </c>
      <c r="B145" t="str">
        <f>REPLACE(Table1[[#This Row],[Order_ID]],1,3,"YOO")</f>
        <v>YOO10144</v>
      </c>
      <c r="C145" t="str">
        <f>MID(Table1[[#This Row],[Order_ID]],4,4)</f>
        <v>1014</v>
      </c>
      <c r="D145" t="str">
        <f>LEFT(Table1[[#This Row],[Order_ID]],4)</f>
        <v>ORD1</v>
      </c>
      <c r="E145" t="str">
        <f>RIGHT(Table1[[#This Row],[Order_ID]],5)</f>
        <v>10144</v>
      </c>
      <c r="F145" t="s">
        <v>5</v>
      </c>
      <c r="G145">
        <v>10144</v>
      </c>
      <c r="H145" t="s">
        <v>840</v>
      </c>
      <c r="I145" s="2">
        <f>EDATE(Table1[[#This Row],[Order_Date]],3)</f>
        <v>46314</v>
      </c>
      <c r="J145" s="2">
        <f>EDATE(Table1[[#This Row],[Order_Date]],6)</f>
        <v>46406</v>
      </c>
      <c r="K145">
        <f ca="1">YEAR(Table1[[#This Row],[Today]])</f>
        <v>2026</v>
      </c>
      <c r="L145">
        <v>144</v>
      </c>
      <c r="M145">
        <f ca="1">DAY(Table1[[#This Row],[Today]])</f>
        <v>11</v>
      </c>
      <c r="N145" s="19">
        <f t="shared" ca="1" si="20"/>
        <v>46245.589795370368</v>
      </c>
      <c r="O145" s="2">
        <f t="shared" ca="1" si="15"/>
        <v>46245</v>
      </c>
      <c r="P145" s="17">
        <f ca="1">Table1[[#This Row],[Today]]-Table1[[#This Row],[Order_Date]]</f>
        <v>23</v>
      </c>
      <c r="Q145" s="2">
        <v>45801</v>
      </c>
      <c r="R145" s="2">
        <v>46222</v>
      </c>
      <c r="S145" s="6">
        <f t="shared" si="18"/>
        <v>2026</v>
      </c>
      <c r="T145" s="7" t="str">
        <f t="shared" si="19"/>
        <v>July</v>
      </c>
      <c r="U145" s="2">
        <f>WORKDAY(Table1[[#This Row],[Order_Date]],5)</f>
        <v>46227</v>
      </c>
      <c r="V145" s="7" t="str">
        <f>CONCATENATE(Table1[[#This Row],[Customer_ID]],Table1[[#This Row],[Customer_Name]])</f>
        <v xml:space="preserve">C1123  aditya malhotra  </v>
      </c>
      <c r="W145" t="s">
        <v>472</v>
      </c>
      <c r="X145" t="s">
        <v>297</v>
      </c>
      <c r="Y145">
        <f>COUNTA(Table1[[#This Row],[Customer_Name]])</f>
        <v>1</v>
      </c>
      <c r="Z145" t="str">
        <f>SUBSTITUTE(Table1[[#This Row],[Customer_Name]]," ","_")</f>
        <v>__aditya_malhotra__</v>
      </c>
      <c r="AA145" s="10">
        <f>IFERROR(SEARCH("a",Table1[[#This Row],[Customer_Name]]),"N/A")</f>
        <v>3</v>
      </c>
      <c r="AB145">
        <f>SEARCH(" ",Table1[[#This Row],[Customer_Name]])</f>
        <v>1</v>
      </c>
      <c r="AC145" s="11">
        <f>IFERROR(FIND("a",Table1[[#This Row],[Customer_Name]]),"N/A")</f>
        <v>3</v>
      </c>
      <c r="AD145">
        <f>FIND(" ",Table1[[#This Row],[Customer_Name]])</f>
        <v>1</v>
      </c>
      <c r="AE145" t="str">
        <f>TRIM(Table1[[#This Row],[Customer_Name]])</f>
        <v>aditya malhotra</v>
      </c>
      <c r="AF145">
        <f>LEN(Table1[[#This Row],[Trimmed]])</f>
        <v>15</v>
      </c>
      <c r="AG145">
        <f>MAX(Table1[Length])</f>
        <v>15</v>
      </c>
      <c r="AH145" t="str">
        <f>PROPER(Table1[[#This Row],[Customer_Name]])</f>
        <v xml:space="preserve">  Aditya Malhotra  </v>
      </c>
      <c r="AI145" t="str">
        <f>LOWER(Table1[[#This Row],[Customer_Name]])</f>
        <v xml:space="preserve">  aditya malhotra  </v>
      </c>
      <c r="AJ145" t="str">
        <f>UPPER(Table1[[#This Row],[Customer_Name]])</f>
        <v xml:space="preserve">  ADITYA MALHOTRA  </v>
      </c>
      <c r="AK145" t="str">
        <f>CONCATENATE(Table1[[#This Row],[Customer_ID]],Table1[[#This Row],[Customer_Name]])</f>
        <v xml:space="preserve">C1123  aditya malhotra  </v>
      </c>
      <c r="AL145" t="s">
        <v>298</v>
      </c>
      <c r="AM145" t="s">
        <v>299</v>
      </c>
      <c r="AN145" t="s">
        <v>260</v>
      </c>
      <c r="AO145" t="s">
        <v>298</v>
      </c>
      <c r="AP145" t="s">
        <v>299</v>
      </c>
      <c r="AQ145" t="s">
        <v>284</v>
      </c>
      <c r="AR145" t="str">
        <f>TRIM(Table1[[#This Row],[City]])</f>
        <v>Hyderabad</v>
      </c>
      <c r="AS145" t="str">
        <f>PROPER(Table1[[#This Row],[City]])</f>
        <v>Hyderabad</v>
      </c>
      <c r="AT145" t="s">
        <v>285</v>
      </c>
      <c r="AU145" t="str">
        <f>CONCATENATE(Table1[[#This Row],[City]],Table1[[#This Row],[State]])</f>
        <v>HyderabadTelangana</v>
      </c>
      <c r="AV145" t="s">
        <v>168</v>
      </c>
      <c r="AW145" t="s">
        <v>221</v>
      </c>
      <c r="AX145" t="str">
        <f>REPLACE(Table1[[#This Row],[Product_ID]],1,1,"s")</f>
        <v>s106</v>
      </c>
      <c r="AY145" t="s">
        <v>841</v>
      </c>
      <c r="AZ145">
        <f>SEARCH("-",Table1[[#This Row],[Product ID]])</f>
        <v>2</v>
      </c>
      <c r="BA145">
        <f>FIND("-",Table1[[#This Row],[Product ID]])</f>
        <v>2</v>
      </c>
      <c r="BB145" t="str">
        <f>MID(Table1[[#This Row],[Product_ID]],2,3)</f>
        <v>106</v>
      </c>
      <c r="BC145" t="str">
        <f>RIGHT(Table1[[#This Row],[Product_ID]],3)</f>
        <v>106</v>
      </c>
      <c r="BD145" t="str">
        <f>LEFT(Table1[[#This Row],[Product_ID]],3)</f>
        <v>P10</v>
      </c>
      <c r="BE145" t="str">
        <f>_xlfn.XLOOKUP(Table1[[#This Row],[Product_ID]],AW:AW,BF:BF,,0)</f>
        <v>Running Shoes</v>
      </c>
      <c r="BF145" t="s">
        <v>223</v>
      </c>
      <c r="BG145">
        <f>LEN(Table1[[#This Row],[Product_Name]])</f>
        <v>13</v>
      </c>
      <c r="BH145" t="s">
        <v>224</v>
      </c>
      <c r="BI145">
        <f t="shared" si="21"/>
        <v>75</v>
      </c>
      <c r="BJ145" t="str">
        <f>SUBSTITUTE(Table1[[#This Row],[Category]],"Electronics","ELECTRONICS")</f>
        <v>Fashion</v>
      </c>
      <c r="BN145" t="s">
        <v>225</v>
      </c>
      <c r="BS145" s="14">
        <v>2</v>
      </c>
      <c r="BT145" s="3">
        <v>3499</v>
      </c>
      <c r="BU145" s="4">
        <v>0</v>
      </c>
      <c r="BV145" s="4" t="str">
        <f>IF(AND(Table1[[#This Row],[Quantity]]&gt;=3,Table1[[#This Row],[Discount_%]]&gt;=15%),"Bulk Discount","no")</f>
        <v>no</v>
      </c>
      <c r="BW145" s="4" t="str">
        <f>IF(AND(Table1[[#This Row],[Quantity]]&gt;3,Table1[[#This Row],[Discount_%]]&gt;15%),"Bulk Customer","Normal")</f>
        <v>Normal</v>
      </c>
      <c r="BX145" t="s">
        <v>330</v>
      </c>
      <c r="BY145" t="s">
        <v>136</v>
      </c>
      <c r="CC145" t="str">
        <f>IF(OR(Table1[[#This Row],[Order_Status]]="Returned",Table1[[#This Row],[Order_Status]]="Cancelled"),"Attention Required","Not")</f>
        <v>Not</v>
      </c>
      <c r="CD145" t="str">
        <f>IF(OR(Table1[[#This Row],[Order_Status]]="Returned",Table1[[#This Row],[Order_Status]]="Cancelled"),"Review","no")</f>
        <v>no</v>
      </c>
      <c r="CE145" t="str">
        <f>SUBSTITUTE(Table1[[#This Row],[Order_Status]],"Delivered","Completed")</f>
        <v>Completed</v>
      </c>
      <c r="CF145" s="2">
        <v>46227</v>
      </c>
      <c r="CG145" s="17">
        <f>NETWORKDAYS(Table1[[#This Row],[Order_Date]],Table1[[#This Row],[Delivery_Date]])</f>
        <v>5</v>
      </c>
      <c r="CH145" s="17">
        <f>Table1[[#This Row],[Delivery_Date]]-Table1[[#This Row],[Order_Date]]</f>
        <v>5</v>
      </c>
      <c r="CI145" t="s">
        <v>137</v>
      </c>
      <c r="CJ145" t="str">
        <f>IF(Table1[[#This Row],[Rating]]&gt;=4,"Good","Needs Improvement")</f>
        <v>Good</v>
      </c>
      <c r="CK145" t="str">
        <f>IF(OR(Table1[[#This Row],[Rating]]&lt;=2,Table1[[#This Row],[Profit]]&lt;0),"Review","NO")</f>
        <v>NO</v>
      </c>
      <c r="CL145" t="str" cm="1">
        <f t="array" ref="CL145">_xlfn.IFS(Table1[[#This Row],[Rating]]&gt;2,"Poor",Table1[[#This Row],[Rating]]=3,"Average",Table1[[#This Row],[Rating]]=4,"Good",CP145=5,"Excellent")</f>
        <v>Poor</v>
      </c>
      <c r="CM145">
        <f>COUNT(Table1[[#This Row],[Rating]])</f>
        <v>1</v>
      </c>
      <c r="CN145">
        <f>COUNTBLANK(Table1[[#This Row],[Rating]])</f>
        <v>0</v>
      </c>
      <c r="CP145" t="s">
        <v>138</v>
      </c>
      <c r="CQ145" s="14">
        <v>5</v>
      </c>
      <c r="CR145" t="s">
        <v>204</v>
      </c>
      <c r="CS145" t="s">
        <v>140</v>
      </c>
      <c r="CU145" s="3">
        <v>6998</v>
      </c>
      <c r="CV145" s="3">
        <f>ROUND(Table1[[#This Row],[Sales_Amount]],0)</f>
        <v>6998</v>
      </c>
      <c r="CW145" s="3"/>
      <c r="CX145" s="3"/>
      <c r="CY145" s="3" t="b">
        <f>IF(AND(Table1[[#This Row],[Sales_Amount]]&gt;=10000,Table1[[#This Row],[Profit]]&gt;0),"Good Order")</f>
        <v>0</v>
      </c>
      <c r="CZ145" s="3" t="str">
        <f>IF(Table1[[#This Row],[Sales_Amount]]&gt;=10000,"High","Normal")</f>
        <v>Normal</v>
      </c>
      <c r="DA145" s="3">
        <v>3198</v>
      </c>
      <c r="DB145" s="3">
        <f>ROUND(Table1[[#This Row],[Profit]],0)</f>
        <v>3198</v>
      </c>
      <c r="DC145" s="3">
        <f>ABS(Table1[[#This Row],[Profit]])</f>
        <v>3198</v>
      </c>
      <c r="DD145" s="3"/>
      <c r="DE145" s="3"/>
      <c r="DF145" s="3"/>
      <c r="DG145" s="3" t="str">
        <f>IF(Table1[[#This Row],[Profit]]&gt;0,"Profit","Loss")</f>
        <v>Profit</v>
      </c>
      <c r="DH145" s="3" t="str">
        <f>IF(AND(Table1[[#This Row],[Sales_Amount]]&gt;=10000,Table1[[#This Row],[Profit]]&gt;0),"Priority","Normal")</f>
        <v>Normal</v>
      </c>
      <c r="DI145" s="3">
        <f t="shared" ca="1" si="16"/>
        <v>0.96459204367676898</v>
      </c>
      <c r="DJ145" s="3">
        <f t="shared" ca="1" si="17"/>
        <v>32</v>
      </c>
      <c r="DK145" s="3"/>
      <c r="DL145" s="3"/>
      <c r="DM145" s="3"/>
      <c r="DN145" s="3"/>
      <c r="DO145" s="3"/>
      <c r="DP145" s="3"/>
    </row>
    <row r="146" spans="1:120">
      <c r="A146" t="s">
        <v>842</v>
      </c>
      <c r="B146" t="str">
        <f>REPLACE(Table1[[#This Row],[Order_ID]],1,3,"YOO")</f>
        <v>YOO10145</v>
      </c>
      <c r="C146" t="str">
        <f>MID(Table1[[#This Row],[Order_ID]],4,4)</f>
        <v>1014</v>
      </c>
      <c r="D146" t="str">
        <f>LEFT(Table1[[#This Row],[Order_ID]],4)</f>
        <v>ORD1</v>
      </c>
      <c r="E146" t="str">
        <f>RIGHT(Table1[[#This Row],[Order_ID]],5)</f>
        <v>10145</v>
      </c>
      <c r="F146" t="s">
        <v>5</v>
      </c>
      <c r="G146">
        <v>10145</v>
      </c>
      <c r="H146" t="s">
        <v>843</v>
      </c>
      <c r="I146" s="2">
        <f>EDATE(Table1[[#This Row],[Order_Date]],3)</f>
        <v>45825</v>
      </c>
      <c r="J146" s="2">
        <f>EDATE(Table1[[#This Row],[Order_Date]],6)</f>
        <v>45917</v>
      </c>
      <c r="K146">
        <f ca="1">YEAR(Table1[[#This Row],[Today]])</f>
        <v>2026</v>
      </c>
      <c r="L146">
        <v>145</v>
      </c>
      <c r="M146">
        <f ca="1">DAY(Table1[[#This Row],[Today]])</f>
        <v>11</v>
      </c>
      <c r="N146" s="19">
        <f t="shared" ca="1" si="20"/>
        <v>46245.589795138891</v>
      </c>
      <c r="O146" s="2">
        <f t="shared" ca="1" si="15"/>
        <v>46245</v>
      </c>
      <c r="P146" s="17">
        <f ca="1">Table1[[#This Row],[Today]]-Table1[[#This Row],[Order_Date]]</f>
        <v>512</v>
      </c>
      <c r="Q146" s="2">
        <v>45802</v>
      </c>
      <c r="R146" s="2">
        <v>45733</v>
      </c>
      <c r="S146" s="6">
        <f t="shared" si="18"/>
        <v>2025</v>
      </c>
      <c r="T146" s="7" t="str">
        <f t="shared" si="19"/>
        <v>March</v>
      </c>
      <c r="U146" s="2">
        <f>WORKDAY(Table1[[#This Row],[Order_Date]],5)</f>
        <v>45740</v>
      </c>
      <c r="V146" s="7" t="str">
        <f>CONCATENATE(Table1[[#This Row],[Customer_ID]],Table1[[#This Row],[Customer_Name]])</f>
        <v>C1142Varun Tiwari</v>
      </c>
      <c r="W146" t="s">
        <v>241</v>
      </c>
      <c r="X146" t="s">
        <v>178</v>
      </c>
      <c r="Y146">
        <f>COUNTA(Table1[[#This Row],[Customer_Name]])</f>
        <v>1</v>
      </c>
      <c r="Z146" t="str">
        <f>SUBSTITUTE(Table1[[#This Row],[Customer_Name]]," ","_")</f>
        <v>Varun_Tiwari</v>
      </c>
      <c r="AA146" s="10">
        <f>IFERROR(SEARCH("a",Table1[[#This Row],[Customer_Name]]),"N/A")</f>
        <v>2</v>
      </c>
      <c r="AB146">
        <f>SEARCH(" ",Table1[[#This Row],[Customer_Name]])</f>
        <v>6</v>
      </c>
      <c r="AC146" s="11">
        <f>IFERROR(FIND("a",Table1[[#This Row],[Customer_Name]]),"N/A")</f>
        <v>2</v>
      </c>
      <c r="AD146">
        <f>FIND(" ",Table1[[#This Row],[Customer_Name]])</f>
        <v>6</v>
      </c>
      <c r="AE146" t="str">
        <f>TRIM(Table1[[#This Row],[Customer_Name]])</f>
        <v>Varun Tiwari</v>
      </c>
      <c r="AF146">
        <f>LEN(Table1[[#This Row],[Trimmed]])</f>
        <v>12</v>
      </c>
      <c r="AG146">
        <f>MAX(Table1[Length])</f>
        <v>15</v>
      </c>
      <c r="AH146" t="str">
        <f>PROPER(Table1[[#This Row],[Customer_Name]])</f>
        <v>Varun Tiwari</v>
      </c>
      <c r="AI146" t="str">
        <f>LOWER(Table1[[#This Row],[Customer_Name]])</f>
        <v>varun tiwari</v>
      </c>
      <c r="AJ146" t="str">
        <f>UPPER(Table1[[#This Row],[Customer_Name]])</f>
        <v>VARUN TIWARI</v>
      </c>
      <c r="AK146" t="str">
        <f>CONCATENATE(Table1[[#This Row],[Customer_ID]],Table1[[#This Row],[Customer_Name]])</f>
        <v>C1142Varun Tiwari</v>
      </c>
      <c r="AL146" t="s">
        <v>179</v>
      </c>
      <c r="AM146" t="s">
        <v>180</v>
      </c>
      <c r="AN146" t="s">
        <v>181</v>
      </c>
      <c r="AO146" t="s">
        <v>179</v>
      </c>
      <c r="AP146" t="s">
        <v>180</v>
      </c>
      <c r="AQ146" t="s">
        <v>344</v>
      </c>
      <c r="AR146" t="str">
        <f>TRIM(Table1[[#This Row],[City]])</f>
        <v>Bhopal</v>
      </c>
      <c r="AS146" t="str">
        <f>PROPER(Table1[[#This Row],[City]])</f>
        <v>Bhopal</v>
      </c>
      <c r="AT146" t="s">
        <v>345</v>
      </c>
      <c r="AU146" t="str">
        <f>CONCATENATE(Table1[[#This Row],[City]],Table1[[#This Row],[State]])</f>
        <v>BhopalMadhya Pradesh</v>
      </c>
      <c r="AV146" t="s">
        <v>346</v>
      </c>
      <c r="AW146" t="s">
        <v>319</v>
      </c>
      <c r="AX146" t="str">
        <f>REPLACE(Table1[[#This Row],[Product_ID]],1,1,"s")</f>
        <v>s103</v>
      </c>
      <c r="AY146" t="s">
        <v>844</v>
      </c>
      <c r="AZ146">
        <f>SEARCH("-",Table1[[#This Row],[Product ID]])</f>
        <v>2</v>
      </c>
      <c r="BA146">
        <f>FIND("-",Table1[[#This Row],[Product ID]])</f>
        <v>2</v>
      </c>
      <c r="BB146" t="str">
        <f>MID(Table1[[#This Row],[Product_ID]],2,3)</f>
        <v>103</v>
      </c>
      <c r="BC146" t="str">
        <f>RIGHT(Table1[[#This Row],[Product_ID]],3)</f>
        <v>103</v>
      </c>
      <c r="BD146" t="str">
        <f>LEFT(Table1[[#This Row],[Product_ID]],3)</f>
        <v>P10</v>
      </c>
      <c r="BE146" t="str">
        <f>_xlfn.XLOOKUP(Table1[[#This Row],[Product_ID]],AW:AW,BF:BF,,0)</f>
        <v>Laptop Stand</v>
      </c>
      <c r="BF146" t="s">
        <v>321</v>
      </c>
      <c r="BG146">
        <f>LEN(Table1[[#This Row],[Product_Name]])</f>
        <v>12</v>
      </c>
      <c r="BH146" t="s">
        <v>154</v>
      </c>
      <c r="BI146">
        <f t="shared" si="21"/>
        <v>75</v>
      </c>
      <c r="BJ146" t="str">
        <f>SUBSTITUTE(Table1[[#This Row],[Category]],"Electronics","ELECTRONICS")</f>
        <v>ELECTRONICS</v>
      </c>
      <c r="BN146" t="s">
        <v>155</v>
      </c>
      <c r="BS146" s="14">
        <v>4</v>
      </c>
      <c r="BT146" s="3">
        <v>1599</v>
      </c>
      <c r="BU146" s="4">
        <v>25</v>
      </c>
      <c r="BV146" s="4" t="str">
        <f>IF(AND(Table1[[#This Row],[Quantity]]&gt;=3,Table1[[#This Row],[Discount_%]]&gt;=15%),"Bulk Discount","no")</f>
        <v>Bulk Discount</v>
      </c>
      <c r="BW146" s="4" t="str">
        <f>IF(AND(Table1[[#This Row],[Quantity]]&gt;3,Table1[[#This Row],[Discount_%]]&gt;15%),"Bulk Customer","Normal")</f>
        <v>Bulk Customer</v>
      </c>
      <c r="BX146" t="s">
        <v>187</v>
      </c>
      <c r="BY146" t="s">
        <v>374</v>
      </c>
      <c r="CC146" t="str">
        <f>IF(OR(Table1[[#This Row],[Order_Status]]="Returned",Table1[[#This Row],[Order_Status]]="Cancelled"),"Attention Required","Not")</f>
        <v>Attention Required</v>
      </c>
      <c r="CD146" t="str">
        <f>IF(OR(Table1[[#This Row],[Order_Status]]="Returned",Table1[[#This Row],[Order_Status]]="Cancelled"),"Review","no")</f>
        <v>Review</v>
      </c>
      <c r="CE146" t="str">
        <f>SUBSTITUTE(Table1[[#This Row],[Order_Status]],"Delivered","Completed")</f>
        <v>Returned</v>
      </c>
      <c r="CF146" s="2">
        <v>45739</v>
      </c>
      <c r="CG146" s="17">
        <f>NETWORKDAYS(Table1[[#This Row],[Order_Date]],Table1[[#This Row],[Delivery_Date]])</f>
        <v>5</v>
      </c>
      <c r="CH146" s="17">
        <f>Table1[[#This Row],[Delivery_Date]]-Table1[[#This Row],[Order_Date]]</f>
        <v>6</v>
      </c>
      <c r="CI146" t="s">
        <v>375</v>
      </c>
      <c r="CJ146" t="str">
        <f>IF(Table1[[#This Row],[Rating]]&gt;=4,"Good","Needs Improvement")</f>
        <v>Needs Improvement</v>
      </c>
      <c r="CK146" t="str">
        <f>IF(OR(Table1[[#This Row],[Rating]]&lt;=2,Table1[[#This Row],[Profit]]&lt;0),"Review","NO")</f>
        <v>NO</v>
      </c>
      <c r="CL146" t="str" cm="1">
        <f t="array" ref="CL146">_xlfn.IFS(Table1[[#This Row],[Rating]]&gt;2,"Poor",Table1[[#This Row],[Rating]]=3,"Average",Table1[[#This Row],[Rating]]=4,"Good",CP146=5,"Excellent")</f>
        <v>Poor</v>
      </c>
      <c r="CM146">
        <f>COUNT(Table1[[#This Row],[Rating]])</f>
        <v>1</v>
      </c>
      <c r="CN146">
        <f>COUNTBLANK(Table1[[#This Row],[Rating]])</f>
        <v>0</v>
      </c>
      <c r="CP146" t="s">
        <v>194</v>
      </c>
      <c r="CQ146" s="14">
        <v>3</v>
      </c>
      <c r="CR146" t="s">
        <v>173</v>
      </c>
      <c r="CS146" t="s">
        <v>174</v>
      </c>
      <c r="CU146" s="3">
        <v>4797</v>
      </c>
      <c r="CV146" s="3">
        <f>ROUND(Table1[[#This Row],[Sales_Amount]],0)</f>
        <v>4797</v>
      </c>
      <c r="CW146" s="3"/>
      <c r="CX146" s="3"/>
      <c r="CY146" s="3" t="b">
        <f>IF(AND(Table1[[#This Row],[Sales_Amount]]&gt;=10000,Table1[[#This Row],[Profit]]&gt;0),"Good Order")</f>
        <v>0</v>
      </c>
      <c r="CZ146" s="3" t="str">
        <f>IF(Table1[[#This Row],[Sales_Amount]]&gt;=10000,"High","Normal")</f>
        <v>Normal</v>
      </c>
      <c r="DA146" s="3">
        <v>1197</v>
      </c>
      <c r="DB146" s="3">
        <f>ROUND(Table1[[#This Row],[Profit]],0)</f>
        <v>1197</v>
      </c>
      <c r="DC146" s="3">
        <f>ABS(Table1[[#This Row],[Profit]])</f>
        <v>1197</v>
      </c>
      <c r="DD146" s="3"/>
      <c r="DE146" s="3"/>
      <c r="DF146" s="3"/>
      <c r="DG146" s="3" t="str">
        <f>IF(Table1[[#This Row],[Profit]]&gt;0,"Profit","Loss")</f>
        <v>Profit</v>
      </c>
      <c r="DH146" s="3" t="str">
        <f>IF(AND(Table1[[#This Row],[Sales_Amount]]&gt;=10000,Table1[[#This Row],[Profit]]&gt;0),"Priority","Normal")</f>
        <v>Normal</v>
      </c>
      <c r="DI146" s="3">
        <f t="shared" ca="1" si="16"/>
        <v>0.39667795606610468</v>
      </c>
      <c r="DJ146" s="3">
        <f t="shared" ca="1" si="17"/>
        <v>59</v>
      </c>
      <c r="DK146" s="3"/>
      <c r="DL146" s="3"/>
      <c r="DM146" s="3"/>
      <c r="DN146" s="3"/>
      <c r="DO146" s="3"/>
      <c r="DP146" s="3"/>
    </row>
    <row r="147" spans="1:120">
      <c r="A147" t="s">
        <v>845</v>
      </c>
      <c r="B147" t="str">
        <f>REPLACE(Table1[[#This Row],[Order_ID]],1,3,"YOO")</f>
        <v>YOO10146</v>
      </c>
      <c r="C147" t="str">
        <f>MID(Table1[[#This Row],[Order_ID]],4,4)</f>
        <v>1014</v>
      </c>
      <c r="D147" t="str">
        <f>LEFT(Table1[[#This Row],[Order_ID]],4)</f>
        <v>ORD1</v>
      </c>
      <c r="E147" t="str">
        <f>RIGHT(Table1[[#This Row],[Order_ID]],5)</f>
        <v>10146</v>
      </c>
      <c r="F147" t="s">
        <v>5</v>
      </c>
      <c r="G147">
        <v>10146</v>
      </c>
      <c r="H147" t="s">
        <v>846</v>
      </c>
      <c r="I147" s="2">
        <f>EDATE(Table1[[#This Row],[Order_Date]],3)</f>
        <v>45877</v>
      </c>
      <c r="J147" s="2">
        <f>EDATE(Table1[[#This Row],[Order_Date]],6)</f>
        <v>45969</v>
      </c>
      <c r="K147">
        <f ca="1">YEAR(Table1[[#This Row],[Today]])</f>
        <v>2026</v>
      </c>
      <c r="L147">
        <v>146</v>
      </c>
      <c r="M147">
        <f ca="1">DAY(Table1[[#This Row],[Today]])</f>
        <v>11</v>
      </c>
      <c r="N147" s="19">
        <f t="shared" ca="1" si="20"/>
        <v>46245.589795370368</v>
      </c>
      <c r="O147" s="2">
        <f t="shared" ca="1" si="15"/>
        <v>46245</v>
      </c>
      <c r="P147" s="17">
        <f ca="1">Table1[[#This Row],[Today]]-Table1[[#This Row],[Order_Date]]</f>
        <v>460</v>
      </c>
      <c r="Q147" s="2">
        <v>45803</v>
      </c>
      <c r="R147" s="2">
        <v>45785</v>
      </c>
      <c r="S147" s="6">
        <f t="shared" si="18"/>
        <v>2025</v>
      </c>
      <c r="T147" s="7" t="str">
        <f t="shared" si="19"/>
        <v>May</v>
      </c>
      <c r="U147" s="2">
        <f>WORKDAY(Table1[[#This Row],[Order_Date]],5)</f>
        <v>45792</v>
      </c>
      <c r="V147" s="7" t="str">
        <f>CONCATENATE(Table1[[#This Row],[Customer_ID]],Table1[[#This Row],[Customer_Name]])</f>
        <v>C1083Anjali Joshi</v>
      </c>
      <c r="W147" t="s">
        <v>513</v>
      </c>
      <c r="X147" t="s">
        <v>310</v>
      </c>
      <c r="Y147">
        <f>COUNTA(Table1[[#This Row],[Customer_Name]])</f>
        <v>1</v>
      </c>
      <c r="Z147" t="str">
        <f>SUBSTITUTE(Table1[[#This Row],[Customer_Name]]," ","_")</f>
        <v>Anjali_Joshi</v>
      </c>
      <c r="AA147" s="10">
        <f>IFERROR(SEARCH("a",Table1[[#This Row],[Customer_Name]]),"N/A")</f>
        <v>1</v>
      </c>
      <c r="AB147">
        <f>SEARCH(" ",Table1[[#This Row],[Customer_Name]])</f>
        <v>7</v>
      </c>
      <c r="AC147" s="11">
        <f>IFERROR(FIND("a",Table1[[#This Row],[Customer_Name]]),"N/A")</f>
        <v>4</v>
      </c>
      <c r="AD147">
        <f>FIND(" ",Table1[[#This Row],[Customer_Name]])</f>
        <v>7</v>
      </c>
      <c r="AE147" t="str">
        <f>TRIM(Table1[[#This Row],[Customer_Name]])</f>
        <v>Anjali Joshi</v>
      </c>
      <c r="AF147">
        <f>LEN(Table1[[#This Row],[Trimmed]])</f>
        <v>12</v>
      </c>
      <c r="AG147">
        <f>MAX(Table1[Length])</f>
        <v>15</v>
      </c>
      <c r="AH147" t="str">
        <f>PROPER(Table1[[#This Row],[Customer_Name]])</f>
        <v>Anjali Joshi</v>
      </c>
      <c r="AI147" t="str">
        <f>LOWER(Table1[[#This Row],[Customer_Name]])</f>
        <v>anjali joshi</v>
      </c>
      <c r="AJ147" t="str">
        <f>UPPER(Table1[[#This Row],[Customer_Name]])</f>
        <v>ANJALI JOSHI</v>
      </c>
      <c r="AK147" t="str">
        <f>CONCATENATE(Table1[[#This Row],[Customer_ID]],Table1[[#This Row],[Customer_Name]])</f>
        <v>C1083Anjali Joshi</v>
      </c>
      <c r="AL147" t="s">
        <v>311</v>
      </c>
      <c r="AM147" t="s">
        <v>312</v>
      </c>
      <c r="AN147" t="s">
        <v>313</v>
      </c>
      <c r="AO147" t="s">
        <v>311</v>
      </c>
      <c r="AP147" t="s">
        <v>312</v>
      </c>
      <c r="AQ147" t="s">
        <v>182</v>
      </c>
      <c r="AR147" t="str">
        <f>TRIM(Table1[[#This Row],[City]])</f>
        <v>Mumbai</v>
      </c>
      <c r="AS147" t="str">
        <f>PROPER(Table1[[#This Row],[City]])</f>
        <v>Mumbai</v>
      </c>
      <c r="AT147" t="s">
        <v>128</v>
      </c>
      <c r="AU147" t="str">
        <f>CONCATENATE(Table1[[#This Row],[City]],Table1[[#This Row],[State]])</f>
        <v>MumbaiMaharashtra</v>
      </c>
      <c r="AV147" t="s">
        <v>129</v>
      </c>
      <c r="AW147" t="s">
        <v>338</v>
      </c>
      <c r="AX147" t="str">
        <f>REPLACE(Table1[[#This Row],[Product_ID]],1,1,"s")</f>
        <v>s115</v>
      </c>
      <c r="AY147" t="s">
        <v>847</v>
      </c>
      <c r="AZ147">
        <f>SEARCH("-",Table1[[#This Row],[Product ID]])</f>
        <v>2</v>
      </c>
      <c r="BA147">
        <f>FIND("-",Table1[[#This Row],[Product ID]])</f>
        <v>2</v>
      </c>
      <c r="BB147" t="str">
        <f>MID(Table1[[#This Row],[Product_ID]],2,3)</f>
        <v>115</v>
      </c>
      <c r="BC147" t="str">
        <f>RIGHT(Table1[[#This Row],[Product_ID]],3)</f>
        <v>115</v>
      </c>
      <c r="BD147" t="str">
        <f>LEFT(Table1[[#This Row],[Product_ID]],3)</f>
        <v>P11</v>
      </c>
      <c r="BE147" t="str">
        <f>_xlfn.XLOOKUP(Table1[[#This Row],[Product_ID]],AW:AW,BF:BF,,0)</f>
        <v>Dumbbell Set</v>
      </c>
      <c r="BF147" t="s">
        <v>340</v>
      </c>
      <c r="BG147">
        <f>LEN(Table1[[#This Row],[Product_Name]])</f>
        <v>12</v>
      </c>
      <c r="BH147" t="s">
        <v>264</v>
      </c>
      <c r="BI147">
        <f t="shared" si="21"/>
        <v>75</v>
      </c>
      <c r="BJ147" t="str">
        <f>SUBSTITUTE(Table1[[#This Row],[Category]],"Electronics","ELECTRONICS")</f>
        <v>Sports</v>
      </c>
      <c r="BN147" t="s">
        <v>265</v>
      </c>
      <c r="BS147" s="14">
        <v>5</v>
      </c>
      <c r="BT147" s="3">
        <v>2499</v>
      </c>
      <c r="BU147" s="4">
        <v>5</v>
      </c>
      <c r="BV147" s="4" t="str">
        <f>IF(AND(Table1[[#This Row],[Quantity]]&gt;=3,Table1[[#This Row],[Discount_%]]&gt;=15%),"Bulk Discount","no")</f>
        <v>Bulk Discount</v>
      </c>
      <c r="BW147" s="4" t="str">
        <f>IF(AND(Table1[[#This Row],[Quantity]]&gt;3,Table1[[#This Row],[Discount_%]]&gt;15%),"Bulk Customer","Normal")</f>
        <v>Bulk Customer</v>
      </c>
      <c r="BX147" t="s">
        <v>192</v>
      </c>
      <c r="BY147" t="s">
        <v>136</v>
      </c>
      <c r="CC147" t="str">
        <f>IF(OR(Table1[[#This Row],[Order_Status]]="Returned",Table1[[#This Row],[Order_Status]]="Cancelled"),"Attention Required","Not")</f>
        <v>Not</v>
      </c>
      <c r="CD147" t="str">
        <f>IF(OR(Table1[[#This Row],[Order_Status]]="Returned",Table1[[#This Row],[Order_Status]]="Cancelled"),"Review","no")</f>
        <v>no</v>
      </c>
      <c r="CE147" t="str">
        <f>SUBSTITUTE(Table1[[#This Row],[Order_Status]],"Delivered","Completed")</f>
        <v>Completed</v>
      </c>
      <c r="CF147" s="2">
        <v>45788</v>
      </c>
      <c r="CG147" s="17">
        <f>NETWORKDAYS(Table1[[#This Row],[Order_Date]],Table1[[#This Row],[Delivery_Date]])</f>
        <v>2</v>
      </c>
      <c r="CH147" s="17">
        <f>Table1[[#This Row],[Delivery_Date]]-Table1[[#This Row],[Order_Date]]</f>
        <v>3</v>
      </c>
      <c r="CI147" t="s">
        <v>137</v>
      </c>
      <c r="CJ147" t="str">
        <f>IF(Table1[[#This Row],[Rating]]&gt;=4,"Good","Needs Improvement")</f>
        <v>Needs Improvement</v>
      </c>
      <c r="CK147" t="str">
        <f>IF(OR(Table1[[#This Row],[Rating]]&lt;=2,Table1[[#This Row],[Profit]]&lt;0),"Review","NO")</f>
        <v>NO</v>
      </c>
      <c r="CL147" t="str" cm="1">
        <f t="array" ref="CL147">_xlfn.IFS(Table1[[#This Row],[Rating]]&gt;2,"Poor",Table1[[#This Row],[Rating]]=3,"Average",Table1[[#This Row],[Rating]]=4,"Good",CP147=5,"Excellent")</f>
        <v>Poor</v>
      </c>
      <c r="CM147">
        <f>COUNT(Table1[[#This Row],[Rating]])</f>
        <v>1</v>
      </c>
      <c r="CN147">
        <f>COUNTBLANK(Table1[[#This Row],[Rating]])</f>
        <v>0</v>
      </c>
      <c r="CP147" t="s">
        <v>266</v>
      </c>
      <c r="CQ147" s="14">
        <v>3</v>
      </c>
      <c r="CR147" t="s">
        <v>173</v>
      </c>
      <c r="CS147" t="s">
        <v>140</v>
      </c>
      <c r="CU147" s="3">
        <v>11870.25</v>
      </c>
      <c r="CV147" s="3">
        <f>ROUND(Table1[[#This Row],[Sales_Amount]],0)</f>
        <v>11870</v>
      </c>
      <c r="CW147" s="3"/>
      <c r="CX147" s="3"/>
      <c r="CY147" s="3" t="str">
        <f>IF(AND(Table1[[#This Row],[Sales_Amount]]&gt;=10000,Table1[[#This Row],[Profit]]&gt;0),"Good Order")</f>
        <v>Good Order</v>
      </c>
      <c r="CZ147" s="3" t="str">
        <f>IF(Table1[[#This Row],[Sales_Amount]]&gt;=10000,"High","Normal")</f>
        <v>High</v>
      </c>
      <c r="DA147" s="3">
        <v>4620.25</v>
      </c>
      <c r="DB147" s="3">
        <f>ROUND(Table1[[#This Row],[Profit]],0)</f>
        <v>4620</v>
      </c>
      <c r="DC147" s="3">
        <f>ABS(Table1[[#This Row],[Profit]])</f>
        <v>4620.25</v>
      </c>
      <c r="DD147" s="3"/>
      <c r="DE147" s="3"/>
      <c r="DF147" s="3"/>
      <c r="DG147" s="3" t="str">
        <f>IF(Table1[[#This Row],[Profit]]&gt;0,"Profit","Loss")</f>
        <v>Profit</v>
      </c>
      <c r="DH147" s="3" t="str">
        <f>IF(AND(Table1[[#This Row],[Sales_Amount]]&gt;=10000,Table1[[#This Row],[Profit]]&gt;0),"Priority","Normal")</f>
        <v>Priority</v>
      </c>
      <c r="DI147" s="3">
        <f t="shared" ca="1" si="16"/>
        <v>0.42444278824281911</v>
      </c>
      <c r="DJ147" s="3">
        <f t="shared" ca="1" si="17"/>
        <v>24</v>
      </c>
      <c r="DK147" s="3"/>
      <c r="DL147" s="3"/>
      <c r="DM147" s="3"/>
      <c r="DN147" s="3"/>
      <c r="DO147" s="3"/>
      <c r="DP147" s="3"/>
    </row>
    <row r="148" spans="1:120">
      <c r="A148" t="s">
        <v>848</v>
      </c>
      <c r="B148" t="str">
        <f>REPLACE(Table1[[#This Row],[Order_ID]],1,3,"YOO")</f>
        <v>YOO10147</v>
      </c>
      <c r="C148" t="str">
        <f>MID(Table1[[#This Row],[Order_ID]],4,4)</f>
        <v>1014</v>
      </c>
      <c r="D148" t="str">
        <f>LEFT(Table1[[#This Row],[Order_ID]],4)</f>
        <v>ORD1</v>
      </c>
      <c r="E148" t="str">
        <f>RIGHT(Table1[[#This Row],[Order_ID]],5)</f>
        <v>10147</v>
      </c>
      <c r="F148" t="s">
        <v>5</v>
      </c>
      <c r="G148">
        <v>10147</v>
      </c>
      <c r="H148" t="s">
        <v>849</v>
      </c>
      <c r="I148" s="2">
        <f>EDATE(Table1[[#This Row],[Order_Date]],3)</f>
        <v>46314</v>
      </c>
      <c r="J148" s="2">
        <f>EDATE(Table1[[#This Row],[Order_Date]],6)</f>
        <v>46406</v>
      </c>
      <c r="K148">
        <f ca="1">YEAR(Table1[[#This Row],[Today]])</f>
        <v>2026</v>
      </c>
      <c r="L148">
        <v>147</v>
      </c>
      <c r="M148">
        <f ca="1">DAY(Table1[[#This Row],[Today]])</f>
        <v>11</v>
      </c>
      <c r="N148" s="19">
        <f t="shared" ca="1" si="20"/>
        <v>46245.589795370368</v>
      </c>
      <c r="O148" s="2">
        <f t="shared" ca="1" si="15"/>
        <v>46245</v>
      </c>
      <c r="P148" s="17">
        <f ca="1">Table1[[#This Row],[Today]]-Table1[[#This Row],[Order_Date]]</f>
        <v>23</v>
      </c>
      <c r="Q148" s="2">
        <v>45804</v>
      </c>
      <c r="R148" s="2">
        <v>46222</v>
      </c>
      <c r="S148" s="6">
        <f t="shared" si="18"/>
        <v>2026</v>
      </c>
      <c r="T148" s="7" t="str">
        <f t="shared" si="19"/>
        <v>July</v>
      </c>
      <c r="U148" s="2">
        <f>WORKDAY(Table1[[#This Row],[Order_Date]],5)</f>
        <v>46227</v>
      </c>
      <c r="V148" s="7" t="str">
        <f>CONCATENATE(Table1[[#This Row],[Customer_ID]],Table1[[#This Row],[Customer_Name]])</f>
        <v>C1129Simran Kaur</v>
      </c>
      <c r="W148" t="s">
        <v>850</v>
      </c>
      <c r="X148" t="s">
        <v>325</v>
      </c>
      <c r="Y148">
        <f>COUNTA(Table1[[#This Row],[Customer_Name]])</f>
        <v>1</v>
      </c>
      <c r="Z148" t="str">
        <f>SUBSTITUTE(Table1[[#This Row],[Customer_Name]]," ","_")</f>
        <v>Simran_Kaur</v>
      </c>
      <c r="AA148" s="10">
        <f>IFERROR(SEARCH("a",Table1[[#This Row],[Customer_Name]]),"N/A")</f>
        <v>5</v>
      </c>
      <c r="AB148">
        <f>SEARCH(" ",Table1[[#This Row],[Customer_Name]])</f>
        <v>7</v>
      </c>
      <c r="AC148" s="11">
        <f>IFERROR(FIND("a",Table1[[#This Row],[Customer_Name]]),"N/A")</f>
        <v>5</v>
      </c>
      <c r="AD148">
        <f>FIND(" ",Table1[[#This Row],[Customer_Name]])</f>
        <v>7</v>
      </c>
      <c r="AE148" t="str">
        <f>TRIM(Table1[[#This Row],[Customer_Name]])</f>
        <v>Simran Kaur</v>
      </c>
      <c r="AF148">
        <f>LEN(Table1[[#This Row],[Trimmed]])</f>
        <v>11</v>
      </c>
      <c r="AG148">
        <f>MAX(Table1[Length])</f>
        <v>15</v>
      </c>
      <c r="AH148" t="str">
        <f>PROPER(Table1[[#This Row],[Customer_Name]])</f>
        <v>Simran Kaur</v>
      </c>
      <c r="AI148" t="str">
        <f>LOWER(Table1[[#This Row],[Customer_Name]])</f>
        <v>simran kaur</v>
      </c>
      <c r="AJ148" t="str">
        <f>UPPER(Table1[[#This Row],[Customer_Name]])</f>
        <v>SIMRAN KAUR</v>
      </c>
      <c r="AK148" t="str">
        <f>CONCATENATE(Table1[[#This Row],[Customer_ID]],Table1[[#This Row],[Customer_Name]])</f>
        <v>C1129Simran Kaur</v>
      </c>
      <c r="AL148" t="s">
        <v>326</v>
      </c>
      <c r="AM148" t="s">
        <v>327</v>
      </c>
      <c r="AN148" t="s">
        <v>328</v>
      </c>
      <c r="AO148" t="s">
        <v>326</v>
      </c>
      <c r="AP148" t="s">
        <v>327</v>
      </c>
      <c r="AQ148" t="s">
        <v>148</v>
      </c>
      <c r="AR148" t="str">
        <f>TRIM(Table1[[#This Row],[City]])</f>
        <v>Jaipur</v>
      </c>
      <c r="AS148" t="str">
        <f>PROPER(Table1[[#This Row],[City]])</f>
        <v>Jaipur</v>
      </c>
      <c r="AT148" t="s">
        <v>149</v>
      </c>
      <c r="AU148" t="str">
        <f>CONCATENATE(Table1[[#This Row],[City]],Table1[[#This Row],[State]])</f>
        <v>JaipurRajasthan</v>
      </c>
      <c r="AV148" t="s">
        <v>150</v>
      </c>
      <c r="AW148" t="s">
        <v>183</v>
      </c>
      <c r="AX148" t="str">
        <f>REPLACE(Table1[[#This Row],[Product_ID]],1,1,"s")</f>
        <v>s105</v>
      </c>
      <c r="AY148" t="s">
        <v>851</v>
      </c>
      <c r="AZ148">
        <f>SEARCH("-",Table1[[#This Row],[Product ID]])</f>
        <v>2</v>
      </c>
      <c r="BA148">
        <f>FIND("-",Table1[[#This Row],[Product ID]])</f>
        <v>2</v>
      </c>
      <c r="BB148" t="str">
        <f>MID(Table1[[#This Row],[Product_ID]],2,3)</f>
        <v>105</v>
      </c>
      <c r="BC148" t="str">
        <f>RIGHT(Table1[[#This Row],[Product_ID]],3)</f>
        <v>105</v>
      </c>
      <c r="BD148" t="str">
        <f>LEFT(Table1[[#This Row],[Product_ID]],3)</f>
        <v>P10</v>
      </c>
      <c r="BE148" t="str">
        <f>_xlfn.XLOOKUP(Table1[[#This Row],[Product_ID]],AW:AW,BF:BF,,0)</f>
        <v>Bluetooth Speaker</v>
      </c>
      <c r="BF148" t="s">
        <v>185</v>
      </c>
      <c r="BG148">
        <f>LEN(Table1[[#This Row],[Product_Name]])</f>
        <v>17</v>
      </c>
      <c r="BH148" t="s">
        <v>154</v>
      </c>
      <c r="BI148">
        <f t="shared" si="21"/>
        <v>75</v>
      </c>
      <c r="BJ148" t="str">
        <f>SUBSTITUTE(Table1[[#This Row],[Category]],"Electronics","ELECTRONICS")</f>
        <v>ELECTRONICS</v>
      </c>
      <c r="BN148" t="s">
        <v>186</v>
      </c>
      <c r="BS148" s="14">
        <v>3</v>
      </c>
      <c r="BT148" s="3">
        <v>2999</v>
      </c>
      <c r="BU148" s="4">
        <v>5</v>
      </c>
      <c r="BV148" s="4" t="str">
        <f>IF(AND(Table1[[#This Row],[Quantity]]&gt;=3,Table1[[#This Row],[Discount_%]]&gt;=15%),"Bulk Discount","no")</f>
        <v>Bulk Discount</v>
      </c>
      <c r="BW148" s="4" t="str">
        <f>IF(AND(Table1[[#This Row],[Quantity]]&gt;3,Table1[[#This Row],[Discount_%]]&gt;15%),"Bulk Customer","Normal")</f>
        <v>Normal</v>
      </c>
      <c r="BX148" t="s">
        <v>135</v>
      </c>
      <c r="BY148" t="s">
        <v>374</v>
      </c>
      <c r="CC148" t="str">
        <f>IF(OR(Table1[[#This Row],[Order_Status]]="Returned",Table1[[#This Row],[Order_Status]]="Cancelled"),"Attention Required","Not")</f>
        <v>Attention Required</v>
      </c>
      <c r="CD148" t="str">
        <f>IF(OR(Table1[[#This Row],[Order_Status]]="Returned",Table1[[#This Row],[Order_Status]]="Cancelled"),"Review","no")</f>
        <v>Review</v>
      </c>
      <c r="CE148" t="str">
        <f>SUBSTITUTE(Table1[[#This Row],[Order_Status]],"Delivered","Completed")</f>
        <v>Returned</v>
      </c>
      <c r="CF148" s="2">
        <v>46227</v>
      </c>
      <c r="CG148" s="17">
        <f>NETWORKDAYS(Table1[[#This Row],[Order_Date]],Table1[[#This Row],[Delivery_Date]])</f>
        <v>5</v>
      </c>
      <c r="CH148" s="17">
        <f>Table1[[#This Row],[Delivery_Date]]-Table1[[#This Row],[Order_Date]]</f>
        <v>5</v>
      </c>
      <c r="CI148" t="s">
        <v>375</v>
      </c>
      <c r="CJ148" t="str">
        <f>IF(Table1[[#This Row],[Rating]]&gt;=4,"Good","Needs Improvement")</f>
        <v>Needs Improvement</v>
      </c>
      <c r="CK148" t="str">
        <f>IF(OR(Table1[[#This Row],[Rating]]&lt;=2,Table1[[#This Row],[Profit]]&lt;0),"Review","NO")</f>
        <v>Review</v>
      </c>
      <c r="CL148" t="e" cm="1">
        <f t="array" ref="CL148">_xlfn.IFS(Table1[[#This Row],[Rating]]&gt;2,"Poor",Table1[[#This Row],[Rating]]=3,"Average",Table1[[#This Row],[Rating]]=4,"Good",CP148=5,"Excellent")</f>
        <v>#N/A</v>
      </c>
      <c r="CM148">
        <f>COUNT(Table1[[#This Row],[Rating]])</f>
        <v>1</v>
      </c>
      <c r="CN148">
        <f>COUNTBLANK(Table1[[#This Row],[Rating]])</f>
        <v>0</v>
      </c>
      <c r="CP148" t="s">
        <v>266</v>
      </c>
      <c r="CQ148" s="14">
        <v>2</v>
      </c>
      <c r="CR148" t="s">
        <v>139</v>
      </c>
      <c r="CS148" t="s">
        <v>158</v>
      </c>
      <c r="CU148" s="3">
        <v>8547.15</v>
      </c>
      <c r="CV148" s="3">
        <f>ROUND(Table1[[#This Row],[Sales_Amount]],0)</f>
        <v>8547</v>
      </c>
      <c r="CW148" s="3"/>
      <c r="CX148" s="3"/>
      <c r="CY148" s="3" t="b">
        <f>IF(AND(Table1[[#This Row],[Sales_Amount]]&gt;=10000,Table1[[#This Row],[Profit]]&gt;0),"Good Order")</f>
        <v>0</v>
      </c>
      <c r="CZ148" s="3" t="str">
        <f>IF(Table1[[#This Row],[Sales_Amount]]&gt;=10000,"High","Normal")</f>
        <v>Normal</v>
      </c>
      <c r="DA148" s="3">
        <v>3297.15</v>
      </c>
      <c r="DB148" s="3">
        <f>ROUND(Table1[[#This Row],[Profit]],0)</f>
        <v>3297</v>
      </c>
      <c r="DC148" s="3">
        <f>ABS(Table1[[#This Row],[Profit]])</f>
        <v>3297.15</v>
      </c>
      <c r="DD148" s="3"/>
      <c r="DE148" s="3"/>
      <c r="DF148" s="3"/>
      <c r="DG148" s="3" t="str">
        <f>IF(Table1[[#This Row],[Profit]]&gt;0,"Profit","Loss")</f>
        <v>Profit</v>
      </c>
      <c r="DH148" s="3" t="str">
        <f>IF(AND(Table1[[#This Row],[Sales_Amount]]&gt;=10000,Table1[[#This Row],[Profit]]&gt;0),"Priority","Normal")</f>
        <v>Normal</v>
      </c>
      <c r="DI148" s="3">
        <f t="shared" ca="1" si="16"/>
        <v>0.56549568651272886</v>
      </c>
      <c r="DJ148" s="3">
        <f t="shared" ca="1" si="17"/>
        <v>78</v>
      </c>
      <c r="DK148" s="3"/>
      <c r="DL148" s="3"/>
      <c r="DM148" s="3"/>
      <c r="DN148" s="3"/>
      <c r="DO148" s="3"/>
      <c r="DP148" s="3"/>
    </row>
    <row r="149" spans="1:120">
      <c r="A149" t="s">
        <v>852</v>
      </c>
      <c r="B149" t="str">
        <f>REPLACE(Table1[[#This Row],[Order_ID]],1,3,"YOO")</f>
        <v>YOO10148</v>
      </c>
      <c r="C149" t="str">
        <f>MID(Table1[[#This Row],[Order_ID]],4,4)</f>
        <v>1014</v>
      </c>
      <c r="D149" t="str">
        <f>LEFT(Table1[[#This Row],[Order_ID]],4)</f>
        <v>ORD1</v>
      </c>
      <c r="E149" t="str">
        <f>RIGHT(Table1[[#This Row],[Order_ID]],5)</f>
        <v>10148</v>
      </c>
      <c r="F149" t="s">
        <v>5</v>
      </c>
      <c r="G149">
        <v>10148</v>
      </c>
      <c r="H149" t="s">
        <v>853</v>
      </c>
      <c r="I149" s="2">
        <f>EDATE(Table1[[#This Row],[Order_Date]],3)</f>
        <v>46093</v>
      </c>
      <c r="J149" s="2">
        <f>EDATE(Table1[[#This Row],[Order_Date]],6)</f>
        <v>46185</v>
      </c>
      <c r="K149">
        <f ca="1">YEAR(Table1[[#This Row],[Today]])</f>
        <v>2026</v>
      </c>
      <c r="L149">
        <v>148</v>
      </c>
      <c r="M149">
        <f ca="1">DAY(Table1[[#This Row],[Today]])</f>
        <v>11</v>
      </c>
      <c r="N149" s="19">
        <f t="shared" ca="1" si="20"/>
        <v>46245.589795138891</v>
      </c>
      <c r="O149" s="2">
        <f t="shared" ca="1" si="15"/>
        <v>46245</v>
      </c>
      <c r="P149" s="17">
        <f ca="1">Table1[[#This Row],[Today]]-Table1[[#This Row],[Order_Date]]</f>
        <v>242</v>
      </c>
      <c r="Q149" s="2">
        <v>45805</v>
      </c>
      <c r="R149" s="2">
        <v>46003</v>
      </c>
      <c r="S149" s="6">
        <f t="shared" si="18"/>
        <v>2025</v>
      </c>
      <c r="T149" s="7" t="str">
        <f t="shared" si="19"/>
        <v>December</v>
      </c>
      <c r="U149" s="2">
        <f>WORKDAY(Table1[[#This Row],[Order_Date]],5)</f>
        <v>46010</v>
      </c>
      <c r="V149" s="7" t="str">
        <f>CONCATENATE(Table1[[#This Row],[Customer_ID]],Table1[[#This Row],[Customer_Name]])</f>
        <v>C1012Varun Tiwari</v>
      </c>
      <c r="W149" t="s">
        <v>410</v>
      </c>
      <c r="X149" t="s">
        <v>178</v>
      </c>
      <c r="Y149">
        <f>COUNTA(Table1[[#This Row],[Customer_Name]])</f>
        <v>1</v>
      </c>
      <c r="Z149" t="str">
        <f>SUBSTITUTE(Table1[[#This Row],[Customer_Name]]," ","_")</f>
        <v>Varun_Tiwari</v>
      </c>
      <c r="AA149" s="10">
        <f>IFERROR(SEARCH("a",Table1[[#This Row],[Customer_Name]]),"N/A")</f>
        <v>2</v>
      </c>
      <c r="AB149">
        <f>SEARCH(" ",Table1[[#This Row],[Customer_Name]])</f>
        <v>6</v>
      </c>
      <c r="AC149" s="11">
        <f>IFERROR(FIND("a",Table1[[#This Row],[Customer_Name]]),"N/A")</f>
        <v>2</v>
      </c>
      <c r="AD149">
        <f>FIND(" ",Table1[[#This Row],[Customer_Name]])</f>
        <v>6</v>
      </c>
      <c r="AE149" t="str">
        <f>TRIM(Table1[[#This Row],[Customer_Name]])</f>
        <v>Varun Tiwari</v>
      </c>
      <c r="AF149">
        <f>LEN(Table1[[#This Row],[Trimmed]])</f>
        <v>12</v>
      </c>
      <c r="AG149">
        <f>MAX(Table1[Length])</f>
        <v>15</v>
      </c>
      <c r="AH149" t="str">
        <f>PROPER(Table1[[#This Row],[Customer_Name]])</f>
        <v>Varun Tiwari</v>
      </c>
      <c r="AI149" t="str">
        <f>LOWER(Table1[[#This Row],[Customer_Name]])</f>
        <v>varun tiwari</v>
      </c>
      <c r="AJ149" t="str">
        <f>UPPER(Table1[[#This Row],[Customer_Name]])</f>
        <v>VARUN TIWARI</v>
      </c>
      <c r="AK149" t="str">
        <f>CONCATENATE(Table1[[#This Row],[Customer_ID]],Table1[[#This Row],[Customer_Name]])</f>
        <v>C1012Varun Tiwari</v>
      </c>
      <c r="AL149" t="s">
        <v>179</v>
      </c>
      <c r="AM149" t="s">
        <v>180</v>
      </c>
      <c r="AN149" t="s">
        <v>181</v>
      </c>
      <c r="AO149" t="s">
        <v>179</v>
      </c>
      <c r="AP149" t="s">
        <v>180</v>
      </c>
      <c r="AQ149" t="s">
        <v>233</v>
      </c>
      <c r="AR149" t="str">
        <f>TRIM(Table1[[#This Row],[City]])</f>
        <v>Kolkata</v>
      </c>
      <c r="AS149" t="str">
        <f>PROPER(Table1[[#This Row],[City]])</f>
        <v>Kolkata</v>
      </c>
      <c r="AT149" t="s">
        <v>234</v>
      </c>
      <c r="AU149" t="str">
        <f>CONCATENATE(Table1[[#This Row],[City]],Table1[[#This Row],[State]])</f>
        <v>KolkataWest Bengal</v>
      </c>
      <c r="AV149" t="s">
        <v>235</v>
      </c>
      <c r="AW149" t="s">
        <v>130</v>
      </c>
      <c r="AX149" t="str">
        <f>REPLACE(Table1[[#This Row],[Product_ID]],1,1,"s")</f>
        <v>s111</v>
      </c>
      <c r="AY149" t="s">
        <v>854</v>
      </c>
      <c r="AZ149">
        <f>SEARCH("-",Table1[[#This Row],[Product ID]])</f>
        <v>2</v>
      </c>
      <c r="BA149">
        <f>FIND("-",Table1[[#This Row],[Product ID]])</f>
        <v>2</v>
      </c>
      <c r="BB149" t="str">
        <f>MID(Table1[[#This Row],[Product_ID]],2,3)</f>
        <v>111</v>
      </c>
      <c r="BC149" t="str">
        <f>RIGHT(Table1[[#This Row],[Product_ID]],3)</f>
        <v>111</v>
      </c>
      <c r="BD149" t="str">
        <f>LEFT(Table1[[#This Row],[Product_ID]],3)</f>
        <v>P11</v>
      </c>
      <c r="BE149" t="str">
        <f>_xlfn.XLOOKUP(Table1[[#This Row],[Product_ID]],AW:AW,BF:BF,,0)</f>
        <v>Coffee Maker</v>
      </c>
      <c r="BF149" t="s">
        <v>132</v>
      </c>
      <c r="BG149">
        <f>LEN(Table1[[#This Row],[Product_Name]])</f>
        <v>12</v>
      </c>
      <c r="BH149" t="s">
        <v>133</v>
      </c>
      <c r="BI149">
        <f t="shared" si="21"/>
        <v>75</v>
      </c>
      <c r="BJ149" t="str">
        <f>SUBSTITUTE(Table1[[#This Row],[Category]],"Electronics","ELECTRONICS")</f>
        <v>Home</v>
      </c>
      <c r="BN149" t="s">
        <v>134</v>
      </c>
      <c r="BS149" s="14">
        <v>5</v>
      </c>
      <c r="BT149" s="3">
        <v>3999</v>
      </c>
      <c r="BU149" s="4">
        <v>0</v>
      </c>
      <c r="BV149" s="4" t="str">
        <f>IF(AND(Table1[[#This Row],[Quantity]]&gt;=3,Table1[[#This Row],[Discount_%]]&gt;=15%),"Bulk Discount","no")</f>
        <v>no</v>
      </c>
      <c r="BW149" s="4" t="str">
        <f>IF(AND(Table1[[#This Row],[Quantity]]&gt;3,Table1[[#This Row],[Discount_%]]&gt;15%),"Bulk Customer","Normal")</f>
        <v>Normal</v>
      </c>
      <c r="BX149" t="s">
        <v>192</v>
      </c>
      <c r="BY149" t="s">
        <v>193</v>
      </c>
      <c r="CC149" t="str">
        <f>IF(OR(Table1[[#This Row],[Order_Status]]="Returned",Table1[[#This Row],[Order_Status]]="Cancelled"),"Attention Required","Not")</f>
        <v>Not</v>
      </c>
      <c r="CD149" t="str">
        <f>IF(OR(Table1[[#This Row],[Order_Status]]="Returned",Table1[[#This Row],[Order_Status]]="Cancelled"),"Review","no")</f>
        <v>no</v>
      </c>
      <c r="CE149" t="str">
        <f>SUBSTITUTE(Table1[[#This Row],[Order_Status]],"Delivered","Completed")</f>
        <v>Shipped</v>
      </c>
      <c r="CF149" s="2">
        <v>46004</v>
      </c>
      <c r="CG149" s="17">
        <f>NETWORKDAYS(Table1[[#This Row],[Order_Date]],Table1[[#This Row],[Delivery_Date]])</f>
        <v>1</v>
      </c>
      <c r="CH149" s="17">
        <f>Table1[[#This Row],[Delivery_Date]]-Table1[[#This Row],[Order_Date]]</f>
        <v>1</v>
      </c>
      <c r="CI149" t="s">
        <v>137</v>
      </c>
      <c r="CJ149" t="str">
        <f>IF(Table1[[#This Row],[Rating]]&gt;=4,"Good","Needs Improvement")</f>
        <v>Needs Improvement</v>
      </c>
      <c r="CK149" t="str">
        <f>IF(OR(Table1[[#This Row],[Rating]]&lt;=2,Table1[[#This Row],[Profit]]&lt;0),"Review","NO")</f>
        <v>Review</v>
      </c>
      <c r="CL149" t="e" cm="1">
        <f t="array" ref="CL149">_xlfn.IFS(Table1[[#This Row],[Rating]]&gt;2,"Poor",Table1[[#This Row],[Rating]]=3,"Average",Table1[[#This Row],[Rating]]=4,"Good",CP149=5,"Excellent")</f>
        <v>#N/A</v>
      </c>
      <c r="CM149">
        <f>COUNT(Table1[[#This Row],[Rating]])</f>
        <v>1</v>
      </c>
      <c r="CN149">
        <f>COUNTBLANK(Table1[[#This Row],[Rating]])</f>
        <v>0</v>
      </c>
      <c r="CQ149" s="14">
        <v>2</v>
      </c>
      <c r="CR149" t="s">
        <v>139</v>
      </c>
      <c r="CS149" t="s">
        <v>174</v>
      </c>
      <c r="CU149" s="3">
        <v>19995</v>
      </c>
      <c r="CV149" s="3">
        <f>ROUND(Table1[[#This Row],[Sales_Amount]],0)</f>
        <v>19995</v>
      </c>
      <c r="CW149" s="3"/>
      <c r="CX149" s="3"/>
      <c r="CY149" s="3" t="str">
        <f>IF(AND(Table1[[#This Row],[Sales_Amount]]&gt;=10000,Table1[[#This Row],[Profit]]&gt;0),"Good Order")</f>
        <v>Good Order</v>
      </c>
      <c r="CZ149" s="3" t="str">
        <f>IF(Table1[[#This Row],[Sales_Amount]]&gt;=10000,"High","Normal")</f>
        <v>High</v>
      </c>
      <c r="DA149" s="3">
        <v>7495</v>
      </c>
      <c r="DB149" s="3">
        <f>ROUND(Table1[[#This Row],[Profit]],0)</f>
        <v>7495</v>
      </c>
      <c r="DC149" s="3">
        <f>ABS(Table1[[#This Row],[Profit]])</f>
        <v>7495</v>
      </c>
      <c r="DD149" s="3"/>
      <c r="DE149" s="3"/>
      <c r="DF149" s="3"/>
      <c r="DG149" s="3" t="str">
        <f>IF(Table1[[#This Row],[Profit]]&gt;0,"Profit","Loss")</f>
        <v>Profit</v>
      </c>
      <c r="DH149" s="3" t="str">
        <f>IF(AND(Table1[[#This Row],[Sales_Amount]]&gt;=10000,Table1[[#This Row],[Profit]]&gt;0),"Priority","Normal")</f>
        <v>Priority</v>
      </c>
      <c r="DI149" s="3">
        <f t="shared" ca="1" si="16"/>
        <v>0.19806222415810348</v>
      </c>
      <c r="DJ149" s="3">
        <f t="shared" ca="1" si="17"/>
        <v>84</v>
      </c>
      <c r="DK149" s="3"/>
      <c r="DL149" s="3"/>
      <c r="DM149" s="3"/>
      <c r="DN149" s="3"/>
      <c r="DO149" s="3"/>
      <c r="DP149" s="3"/>
    </row>
    <row r="150" spans="1:120">
      <c r="A150" t="s">
        <v>855</v>
      </c>
      <c r="B150" t="str">
        <f>REPLACE(Table1[[#This Row],[Order_ID]],1,3,"YOO")</f>
        <v>YOO10149</v>
      </c>
      <c r="C150" t="str">
        <f>MID(Table1[[#This Row],[Order_ID]],4,4)</f>
        <v>1014</v>
      </c>
      <c r="D150" t="str">
        <f>LEFT(Table1[[#This Row],[Order_ID]],4)</f>
        <v>ORD1</v>
      </c>
      <c r="E150" t="str">
        <f>RIGHT(Table1[[#This Row],[Order_ID]],5)</f>
        <v>10149</v>
      </c>
      <c r="F150" t="s">
        <v>5</v>
      </c>
      <c r="G150">
        <v>10149</v>
      </c>
      <c r="H150" t="s">
        <v>856</v>
      </c>
      <c r="I150" s="2">
        <f>EDATE(Table1[[#This Row],[Order_Date]],3)</f>
        <v>45778</v>
      </c>
      <c r="J150" s="2">
        <f>EDATE(Table1[[#This Row],[Order_Date]],6)</f>
        <v>45870</v>
      </c>
      <c r="K150">
        <f ca="1">YEAR(Table1[[#This Row],[Today]])</f>
        <v>2026</v>
      </c>
      <c r="L150">
        <v>149</v>
      </c>
      <c r="M150">
        <f ca="1">DAY(Table1[[#This Row],[Today]])</f>
        <v>11</v>
      </c>
      <c r="N150" s="19">
        <f t="shared" ca="1" si="20"/>
        <v>46245.589795370368</v>
      </c>
      <c r="O150" s="2">
        <f t="shared" ca="1" si="15"/>
        <v>46245</v>
      </c>
      <c r="P150" s="17">
        <f ca="1">Table1[[#This Row],[Today]]-Table1[[#This Row],[Order_Date]]</f>
        <v>556</v>
      </c>
      <c r="Q150" s="2">
        <v>45806</v>
      </c>
      <c r="R150" s="2">
        <v>45689</v>
      </c>
      <c r="S150" s="6">
        <f t="shared" si="18"/>
        <v>2025</v>
      </c>
      <c r="T150" s="7" t="str">
        <f t="shared" si="19"/>
        <v>February</v>
      </c>
      <c r="U150" s="2">
        <f>WORKDAY(Table1[[#This Row],[Order_Date]],5)</f>
        <v>45695</v>
      </c>
      <c r="V150" s="7" t="str">
        <f>CONCATENATE(Table1[[#This Row],[Customer_ID]],Table1[[#This Row],[Customer_Name]])</f>
        <v>C1063Mohit Khan</v>
      </c>
      <c r="W150" t="s">
        <v>589</v>
      </c>
      <c r="X150" t="s">
        <v>162</v>
      </c>
      <c r="Y150">
        <f>COUNTA(Table1[[#This Row],[Customer_Name]])</f>
        <v>1</v>
      </c>
      <c r="Z150" t="str">
        <f>SUBSTITUTE(Table1[[#This Row],[Customer_Name]]," ","_")</f>
        <v>Mohit_Khan</v>
      </c>
      <c r="AA150" s="10">
        <f>IFERROR(SEARCH("a",Table1[[#This Row],[Customer_Name]]),"N/A")</f>
        <v>9</v>
      </c>
      <c r="AB150">
        <f>SEARCH(" ",Table1[[#This Row],[Customer_Name]])</f>
        <v>6</v>
      </c>
      <c r="AC150" s="11">
        <f>IFERROR(FIND("a",Table1[[#This Row],[Customer_Name]]),"N/A")</f>
        <v>9</v>
      </c>
      <c r="AD150">
        <f>FIND(" ",Table1[[#This Row],[Customer_Name]])</f>
        <v>6</v>
      </c>
      <c r="AE150" t="str">
        <f>TRIM(Table1[[#This Row],[Customer_Name]])</f>
        <v>Mohit Khan</v>
      </c>
      <c r="AF150">
        <f>LEN(Table1[[#This Row],[Trimmed]])</f>
        <v>10</v>
      </c>
      <c r="AG150">
        <f>MAX(Table1[Length])</f>
        <v>15</v>
      </c>
      <c r="AH150" t="str">
        <f>PROPER(Table1[[#This Row],[Customer_Name]])</f>
        <v>Mohit Khan</v>
      </c>
      <c r="AI150" t="str">
        <f>LOWER(Table1[[#This Row],[Customer_Name]])</f>
        <v>mohit khan</v>
      </c>
      <c r="AJ150" t="str">
        <f>UPPER(Table1[[#This Row],[Customer_Name]])</f>
        <v>MOHIT KHAN</v>
      </c>
      <c r="AK150" t="str">
        <f>CONCATENATE(Table1[[#This Row],[Customer_ID]],Table1[[#This Row],[Customer_Name]])</f>
        <v>C1063Mohit Khan</v>
      </c>
      <c r="AL150" t="s">
        <v>163</v>
      </c>
      <c r="AM150" t="s">
        <v>164</v>
      </c>
      <c r="AN150" t="s">
        <v>165</v>
      </c>
      <c r="AO150" t="s">
        <v>163</v>
      </c>
      <c r="AP150" t="s">
        <v>164</v>
      </c>
      <c r="AQ150" t="s">
        <v>233</v>
      </c>
      <c r="AR150" t="str">
        <f>TRIM(Table1[[#This Row],[City]])</f>
        <v>Kolkata</v>
      </c>
      <c r="AS150" t="str">
        <f>PROPER(Table1[[#This Row],[City]])</f>
        <v>Kolkata</v>
      </c>
      <c r="AT150" t="s">
        <v>234</v>
      </c>
      <c r="AU150" t="str">
        <f>CONCATENATE(Table1[[#This Row],[City]],Table1[[#This Row],[State]])</f>
        <v>KolkataWest Bengal</v>
      </c>
      <c r="AV150" t="s">
        <v>235</v>
      </c>
      <c r="AW150" t="s">
        <v>236</v>
      </c>
      <c r="AX150" t="str">
        <f>REPLACE(Table1[[#This Row],[Product_ID]],1,1,"s")</f>
        <v>s107</v>
      </c>
      <c r="AY150" t="s">
        <v>857</v>
      </c>
      <c r="AZ150">
        <f>SEARCH("-",Table1[[#This Row],[Product ID]])</f>
        <v>2</v>
      </c>
      <c r="BA150">
        <f>FIND("-",Table1[[#This Row],[Product ID]])</f>
        <v>2</v>
      </c>
      <c r="BB150" t="str">
        <f>MID(Table1[[#This Row],[Product_ID]],2,3)</f>
        <v>107</v>
      </c>
      <c r="BC150" t="str">
        <f>RIGHT(Table1[[#This Row],[Product_ID]],3)</f>
        <v>107</v>
      </c>
      <c r="BD150" t="str">
        <f>LEFT(Table1[[#This Row],[Product_ID]],3)</f>
        <v>P10</v>
      </c>
      <c r="BE150" t="str">
        <f>_xlfn.XLOOKUP(Table1[[#This Row],[Product_ID]],AW:AW,BF:BF,,0)</f>
        <v>Casual Sneakers</v>
      </c>
      <c r="BF150" t="s">
        <v>238</v>
      </c>
      <c r="BG150">
        <f>LEN(Table1[[#This Row],[Product_Name]])</f>
        <v>15</v>
      </c>
      <c r="BH150" t="s">
        <v>224</v>
      </c>
      <c r="BI150">
        <f t="shared" si="21"/>
        <v>75</v>
      </c>
      <c r="BJ150" t="str">
        <f>SUBSTITUTE(Table1[[#This Row],[Category]],"Electronics","ELECTRONICS")</f>
        <v>Fashion</v>
      </c>
      <c r="BN150" t="s">
        <v>225</v>
      </c>
      <c r="BS150" s="14">
        <v>4</v>
      </c>
      <c r="BT150" s="3">
        <v>2799</v>
      </c>
      <c r="BU150" s="4">
        <v>10</v>
      </c>
      <c r="BV150" s="4" t="str">
        <f>IF(AND(Table1[[#This Row],[Quantity]]&gt;=3,Table1[[#This Row],[Discount_%]]&gt;=15%),"Bulk Discount","no")</f>
        <v>Bulk Discount</v>
      </c>
      <c r="BW150" s="4" t="str">
        <f>IF(AND(Table1[[#This Row],[Quantity]]&gt;3,Table1[[#This Row],[Discount_%]]&gt;15%),"Bulk Customer","Normal")</f>
        <v>Bulk Customer</v>
      </c>
      <c r="BX150" t="s">
        <v>192</v>
      </c>
      <c r="BY150" t="s">
        <v>374</v>
      </c>
      <c r="CC150" t="str">
        <f>IF(OR(Table1[[#This Row],[Order_Status]]="Returned",Table1[[#This Row],[Order_Status]]="Cancelled"),"Attention Required","Not")</f>
        <v>Attention Required</v>
      </c>
      <c r="CD150" t="str">
        <f>IF(OR(Table1[[#This Row],[Order_Status]]="Returned",Table1[[#This Row],[Order_Status]]="Cancelled"),"Review","no")</f>
        <v>Review</v>
      </c>
      <c r="CE150" t="str">
        <f>SUBSTITUTE(Table1[[#This Row],[Order_Status]],"Delivered","Completed")</f>
        <v>Returned</v>
      </c>
      <c r="CF150" s="2">
        <v>45694</v>
      </c>
      <c r="CG150" s="17">
        <f>NETWORKDAYS(Table1[[#This Row],[Order_Date]],Table1[[#This Row],[Delivery_Date]])</f>
        <v>4</v>
      </c>
      <c r="CH150" s="17">
        <f>Table1[[#This Row],[Delivery_Date]]-Table1[[#This Row],[Order_Date]]</f>
        <v>5</v>
      </c>
      <c r="CI150" t="s">
        <v>375</v>
      </c>
      <c r="CJ150" t="str">
        <f>IF(Table1[[#This Row],[Rating]]&gt;=4,"Good","Needs Improvement")</f>
        <v>Needs Improvement</v>
      </c>
      <c r="CK150" t="str">
        <f>IF(OR(Table1[[#This Row],[Rating]]&lt;=2,Table1[[#This Row],[Profit]]&lt;0),"Review","NO")</f>
        <v>Review</v>
      </c>
      <c r="CL150" t="e" cm="1">
        <f t="array" ref="CL150">_xlfn.IFS(Table1[[#This Row],[Rating]]&gt;2,"Poor",Table1[[#This Row],[Rating]]=3,"Average",Table1[[#This Row],[Rating]]=4,"Good",CP150=5,"Excellent")</f>
        <v>#N/A</v>
      </c>
      <c r="CM150">
        <f>COUNT(Table1[[#This Row],[Rating]])</f>
        <v>0</v>
      </c>
      <c r="CN150">
        <f>COUNTBLANK(Table1[[#This Row],[Rating]])</f>
        <v>1</v>
      </c>
      <c r="CP150" t="s">
        <v>138</v>
      </c>
      <c r="CR150" t="s">
        <v>139</v>
      </c>
      <c r="CS150" t="s">
        <v>213</v>
      </c>
      <c r="CU150" s="3">
        <v>10076.4</v>
      </c>
      <c r="CV150" s="3">
        <f>ROUND(Table1[[#This Row],[Sales_Amount]],0)</f>
        <v>10076</v>
      </c>
      <c r="CW150" s="3"/>
      <c r="CX150" s="3"/>
      <c r="CY150" s="3" t="str">
        <f>IF(AND(Table1[[#This Row],[Sales_Amount]]&gt;=10000,Table1[[#This Row],[Profit]]&gt;0),"Good Order")</f>
        <v>Good Order</v>
      </c>
      <c r="CZ150" s="3" t="str">
        <f>IF(Table1[[#This Row],[Sales_Amount]]&gt;=10000,"High","Normal")</f>
        <v>High</v>
      </c>
      <c r="DA150" s="3">
        <v>4076.4</v>
      </c>
      <c r="DB150" s="3">
        <f>ROUND(Table1[[#This Row],[Profit]],0)</f>
        <v>4076</v>
      </c>
      <c r="DC150" s="3">
        <f>ABS(Table1[[#This Row],[Profit]])</f>
        <v>4076.4</v>
      </c>
      <c r="DD150" s="3"/>
      <c r="DE150" s="3"/>
      <c r="DF150" s="3"/>
      <c r="DG150" s="3" t="str">
        <f>IF(Table1[[#This Row],[Profit]]&gt;0,"Profit","Loss")</f>
        <v>Profit</v>
      </c>
      <c r="DH150" s="3" t="str">
        <f>IF(AND(Table1[[#This Row],[Sales_Amount]]&gt;=10000,Table1[[#This Row],[Profit]]&gt;0),"Priority","Normal")</f>
        <v>Priority</v>
      </c>
      <c r="DI150" s="3">
        <f t="shared" ca="1" si="16"/>
        <v>0.51139000739175122</v>
      </c>
      <c r="DJ150" s="3">
        <f t="shared" ca="1" si="17"/>
        <v>30</v>
      </c>
      <c r="DK150" s="3"/>
      <c r="DL150" s="3"/>
      <c r="DM150" s="3"/>
      <c r="DN150" s="3"/>
      <c r="DO150" s="3"/>
      <c r="DP150" s="3"/>
    </row>
    <row r="151" spans="1:120">
      <c r="A151" t="s">
        <v>858</v>
      </c>
      <c r="B151" t="str">
        <f>REPLACE(Table1[[#This Row],[Order_ID]],1,3,"YOO")</f>
        <v>YOO10150</v>
      </c>
      <c r="C151" t="str">
        <f>MID(Table1[[#This Row],[Order_ID]],4,4)</f>
        <v>1015</v>
      </c>
      <c r="D151" t="str">
        <f>LEFT(Table1[[#This Row],[Order_ID]],4)</f>
        <v>ORD1</v>
      </c>
      <c r="E151" t="str">
        <f>RIGHT(Table1[[#This Row],[Order_ID]],5)</f>
        <v>10150</v>
      </c>
      <c r="F151" t="s">
        <v>5</v>
      </c>
      <c r="G151">
        <v>10150</v>
      </c>
      <c r="H151" t="s">
        <v>859</v>
      </c>
      <c r="I151" s="2">
        <f>EDATE(Table1[[#This Row],[Order_Date]],3)</f>
        <v>46200</v>
      </c>
      <c r="J151" s="2">
        <f>EDATE(Table1[[#This Row],[Order_Date]],6)</f>
        <v>46292</v>
      </c>
      <c r="K151">
        <f ca="1">YEAR(Table1[[#This Row],[Today]])</f>
        <v>2026</v>
      </c>
      <c r="L151">
        <v>150</v>
      </c>
      <c r="M151">
        <f ca="1">DAY(Table1[[#This Row],[Today]])</f>
        <v>11</v>
      </c>
      <c r="N151" s="19">
        <f t="shared" ca="1" si="20"/>
        <v>46245.589795370368</v>
      </c>
      <c r="O151" s="2">
        <f t="shared" ca="1" si="15"/>
        <v>46245</v>
      </c>
      <c r="P151" s="17">
        <f ca="1">Table1[[#This Row],[Today]]-Table1[[#This Row],[Order_Date]]</f>
        <v>137</v>
      </c>
      <c r="Q151" s="2">
        <v>45807</v>
      </c>
      <c r="R151" s="2">
        <v>46108</v>
      </c>
      <c r="S151" s="6">
        <f t="shared" si="18"/>
        <v>2026</v>
      </c>
      <c r="T151" s="7" t="str">
        <f t="shared" si="19"/>
        <v>March</v>
      </c>
      <c r="U151" s="2">
        <f>WORKDAY(Table1[[#This Row],[Order_Date]],5)</f>
        <v>46115</v>
      </c>
      <c r="V151" s="7" t="str">
        <f>CONCATENATE(Table1[[#This Row],[Customer_ID]],Table1[[#This Row],[Customer_Name]])</f>
        <v>C1037Arjun Rao</v>
      </c>
      <c r="W151" t="s">
        <v>557</v>
      </c>
      <c r="X151" t="s">
        <v>355</v>
      </c>
      <c r="Y151">
        <f>COUNTA(Table1[[#This Row],[Customer_Name]])</f>
        <v>1</v>
      </c>
      <c r="Z151" t="str">
        <f>SUBSTITUTE(Table1[[#This Row],[Customer_Name]]," ","_")</f>
        <v>Arjun_Rao</v>
      </c>
      <c r="AA151" s="10">
        <f>IFERROR(SEARCH("a",Table1[[#This Row],[Customer_Name]]),"N/A")</f>
        <v>1</v>
      </c>
      <c r="AB151">
        <f>SEARCH(" ",Table1[[#This Row],[Customer_Name]])</f>
        <v>6</v>
      </c>
      <c r="AC151" s="11">
        <f>IFERROR(FIND("a",Table1[[#This Row],[Customer_Name]]),"N/A")</f>
        <v>8</v>
      </c>
      <c r="AD151">
        <f>FIND(" ",Table1[[#This Row],[Customer_Name]])</f>
        <v>6</v>
      </c>
      <c r="AE151" t="str">
        <f>TRIM(Table1[[#This Row],[Customer_Name]])</f>
        <v>Arjun Rao</v>
      </c>
      <c r="AF151">
        <f>LEN(Table1[[#This Row],[Trimmed]])</f>
        <v>9</v>
      </c>
      <c r="AG151">
        <f>MAX(Table1[Length])</f>
        <v>15</v>
      </c>
      <c r="AH151" t="str">
        <f>PROPER(Table1[[#This Row],[Customer_Name]])</f>
        <v>Arjun Rao</v>
      </c>
      <c r="AI151" t="str">
        <f>LOWER(Table1[[#This Row],[Customer_Name]])</f>
        <v>arjun rao</v>
      </c>
      <c r="AJ151" t="str">
        <f>UPPER(Table1[[#This Row],[Customer_Name]])</f>
        <v>ARJUN RAO</v>
      </c>
      <c r="AK151" t="str">
        <f>CONCATENATE(Table1[[#This Row],[Customer_ID]],Table1[[#This Row],[Customer_Name]])</f>
        <v>C1037Arjun Rao</v>
      </c>
      <c r="AL151" t="s">
        <v>356</v>
      </c>
      <c r="AM151" t="s">
        <v>357</v>
      </c>
      <c r="AN151" t="s">
        <v>358</v>
      </c>
      <c r="AO151" t="s">
        <v>356</v>
      </c>
      <c r="AP151" t="s">
        <v>357</v>
      </c>
      <c r="AQ151" t="s">
        <v>569</v>
      </c>
      <c r="AR151" t="str">
        <f>TRIM(Table1[[#This Row],[City]])</f>
        <v>Delhi</v>
      </c>
      <c r="AS151" t="str">
        <f>PROPER(Table1[[#This Row],[City]])</f>
        <v>Delhi</v>
      </c>
      <c r="AT151" t="s">
        <v>569</v>
      </c>
      <c r="AU151" t="str">
        <f>CONCATENATE(Table1[[#This Row],[City]],Table1[[#This Row],[State]])</f>
        <v>DelhiDelhi</v>
      </c>
      <c r="AV151" t="s">
        <v>150</v>
      </c>
      <c r="AW151" t="s">
        <v>275</v>
      </c>
      <c r="AX151" t="str">
        <f>REPLACE(Table1[[#This Row],[Product_ID]],1,1,"s")</f>
        <v>s101</v>
      </c>
      <c r="AY151" t="s">
        <v>860</v>
      </c>
      <c r="AZ151">
        <f>SEARCH("-",Table1[[#This Row],[Product ID]])</f>
        <v>2</v>
      </c>
      <c r="BA151">
        <f>FIND("-",Table1[[#This Row],[Product ID]])</f>
        <v>2</v>
      </c>
      <c r="BB151" t="str">
        <f>MID(Table1[[#This Row],[Product_ID]],2,3)</f>
        <v>101</v>
      </c>
      <c r="BC151" t="str">
        <f>RIGHT(Table1[[#This Row],[Product_ID]],3)</f>
        <v>101</v>
      </c>
      <c r="BD151" t="str">
        <f>LEFT(Table1[[#This Row],[Product_ID]],3)</f>
        <v>P10</v>
      </c>
      <c r="BE151" t="str">
        <f>_xlfn.XLOOKUP(Table1[[#This Row],[Product_ID]],AW:AW,BF:BF,,0)</f>
        <v>Wireless Mouse</v>
      </c>
      <c r="BF151" t="s">
        <v>277</v>
      </c>
      <c r="BG151">
        <f>LEN(Table1[[#This Row],[Product_Name]])</f>
        <v>14</v>
      </c>
      <c r="BH151" t="s">
        <v>154</v>
      </c>
      <c r="BI151">
        <f t="shared" si="21"/>
        <v>75</v>
      </c>
      <c r="BJ151" t="str">
        <f>SUBSTITUTE(Table1[[#This Row],[Category]],"Electronics","ELECTRONICS")</f>
        <v>ELECTRONICS</v>
      </c>
      <c r="BN151" t="s">
        <v>155</v>
      </c>
      <c r="BS151" s="14">
        <v>4</v>
      </c>
      <c r="BT151" s="3">
        <v>799</v>
      </c>
      <c r="BU151" s="4">
        <v>25</v>
      </c>
      <c r="BV151" s="4" t="str">
        <f>IF(AND(Table1[[#This Row],[Quantity]]&gt;=3,Table1[[#This Row],[Discount_%]]&gt;=15%),"Bulk Discount","no")</f>
        <v>Bulk Discount</v>
      </c>
      <c r="BW151" s="4" t="str">
        <f>IF(AND(Table1[[#This Row],[Quantity]]&gt;3,Table1[[#This Row],[Discount_%]]&gt;15%),"Bulk Customer","Normal")</f>
        <v>Bulk Customer</v>
      </c>
      <c r="BX151" t="s">
        <v>192</v>
      </c>
      <c r="BY151" t="s">
        <v>136</v>
      </c>
      <c r="CC151" t="str">
        <f>IF(OR(Table1[[#This Row],[Order_Status]]="Returned",Table1[[#This Row],[Order_Status]]="Cancelled"),"Attention Required","Not")</f>
        <v>Not</v>
      </c>
      <c r="CD151" t="str">
        <f>IF(OR(Table1[[#This Row],[Order_Status]]="Returned",Table1[[#This Row],[Order_Status]]="Cancelled"),"Review","no")</f>
        <v>no</v>
      </c>
      <c r="CE151" t="str">
        <f>SUBSTITUTE(Table1[[#This Row],[Order_Status]],"Delivered","Completed")</f>
        <v>Completed</v>
      </c>
      <c r="CF151" s="2">
        <v>46112</v>
      </c>
      <c r="CG151" s="17">
        <f>NETWORKDAYS(Table1[[#This Row],[Order_Date]],Table1[[#This Row],[Delivery_Date]])</f>
        <v>3</v>
      </c>
      <c r="CH151" s="17">
        <f>Table1[[#This Row],[Delivery_Date]]-Table1[[#This Row],[Order_Date]]</f>
        <v>4</v>
      </c>
      <c r="CI151" t="s">
        <v>137</v>
      </c>
      <c r="CJ151" t="str">
        <f>IF(Table1[[#This Row],[Rating]]&gt;=4,"Good","Needs Improvement")</f>
        <v>Good</v>
      </c>
      <c r="CK151" t="str">
        <f>IF(OR(Table1[[#This Row],[Rating]]&lt;=2,Table1[[#This Row],[Profit]]&lt;0),"Review","NO")</f>
        <v>NO</v>
      </c>
      <c r="CL151" t="str" cm="1">
        <f t="array" ref="CL151">_xlfn.IFS(Table1[[#This Row],[Rating]]&gt;2,"Poor",Table1[[#This Row],[Rating]]=3,"Average",Table1[[#This Row],[Rating]]=4,"Good",CP151=5,"Excellent")</f>
        <v>Poor</v>
      </c>
      <c r="CM151">
        <f>COUNT(Table1[[#This Row],[Rating]])</f>
        <v>1</v>
      </c>
      <c r="CN151">
        <f>COUNTBLANK(Table1[[#This Row],[Rating]])</f>
        <v>0</v>
      </c>
      <c r="CQ151" s="14">
        <v>5</v>
      </c>
      <c r="CR151" t="s">
        <v>173</v>
      </c>
      <c r="CS151" t="s">
        <v>267</v>
      </c>
      <c r="CU151" s="3">
        <v>2397</v>
      </c>
      <c r="CV151" s="3">
        <f>ROUND(Table1[[#This Row],[Sales_Amount]],0)</f>
        <v>2397</v>
      </c>
      <c r="CW151" s="3"/>
      <c r="CX151" s="3"/>
      <c r="CY151" s="3" t="b">
        <f>IF(AND(Table1[[#This Row],[Sales_Amount]]&gt;=10000,Table1[[#This Row],[Profit]]&gt;0),"Good Order")</f>
        <v>0</v>
      </c>
      <c r="CZ151" s="3" t="str">
        <f>IF(Table1[[#This Row],[Sales_Amount]]&gt;=10000,"High","Normal")</f>
        <v>Normal</v>
      </c>
      <c r="DA151" s="3">
        <v>717</v>
      </c>
      <c r="DB151" s="3">
        <f>ROUND(Table1[[#This Row],[Profit]],0)</f>
        <v>717</v>
      </c>
      <c r="DC151" s="3">
        <f>ABS(Table1[[#This Row],[Profit]])</f>
        <v>717</v>
      </c>
      <c r="DD151" s="3"/>
      <c r="DE151" s="3"/>
      <c r="DF151" s="3"/>
      <c r="DG151" s="3" t="str">
        <f>IF(Table1[[#This Row],[Profit]]&gt;0,"Profit","Loss")</f>
        <v>Profit</v>
      </c>
      <c r="DH151" s="3" t="str">
        <f>IF(AND(Table1[[#This Row],[Sales_Amount]]&gt;=10000,Table1[[#This Row],[Profit]]&gt;0),"Priority","Normal")</f>
        <v>Normal</v>
      </c>
      <c r="DI151" s="3">
        <f t="shared" ca="1" si="16"/>
        <v>0.61314520097024805</v>
      </c>
      <c r="DJ151" s="3">
        <f t="shared" ca="1" si="17"/>
        <v>21</v>
      </c>
      <c r="DK151" s="3"/>
      <c r="DL151" s="3"/>
      <c r="DM151" s="3"/>
      <c r="DN151" s="3"/>
      <c r="DO151" s="3"/>
      <c r="DP151" s="3"/>
    </row>
    <row r="152" spans="1:120">
      <c r="A152" t="s">
        <v>861</v>
      </c>
      <c r="B152" t="str">
        <f>REPLACE(Table1[[#This Row],[Order_ID]],1,3,"YOO")</f>
        <v>YOO10151</v>
      </c>
      <c r="C152" t="str">
        <f>MID(Table1[[#This Row],[Order_ID]],4,4)</f>
        <v>1015</v>
      </c>
      <c r="D152" t="str">
        <f>LEFT(Table1[[#This Row],[Order_ID]],4)</f>
        <v>ORD1</v>
      </c>
      <c r="E152" t="str">
        <f>RIGHT(Table1[[#This Row],[Order_ID]],5)</f>
        <v>10151</v>
      </c>
      <c r="F152" t="s">
        <v>5</v>
      </c>
      <c r="G152">
        <v>10151</v>
      </c>
      <c r="H152" t="s">
        <v>862</v>
      </c>
      <c r="I152" s="2">
        <f>EDATE(Table1[[#This Row],[Order_Date]],3)</f>
        <v>46277</v>
      </c>
      <c r="J152" s="2">
        <f>EDATE(Table1[[#This Row],[Order_Date]],6)</f>
        <v>46368</v>
      </c>
      <c r="K152">
        <f ca="1">YEAR(Table1[[#This Row],[Today]])</f>
        <v>2026</v>
      </c>
      <c r="L152">
        <v>151</v>
      </c>
      <c r="M152">
        <f ca="1">DAY(Table1[[#This Row],[Today]])</f>
        <v>11</v>
      </c>
      <c r="N152" s="19">
        <f t="shared" ca="1" si="20"/>
        <v>46245.589795138891</v>
      </c>
      <c r="O152" s="2">
        <f t="shared" ca="1" si="15"/>
        <v>46245</v>
      </c>
      <c r="P152" s="17">
        <f ca="1">Table1[[#This Row],[Today]]-Table1[[#This Row],[Order_Date]]</f>
        <v>60</v>
      </c>
      <c r="Q152" s="2">
        <v>45808</v>
      </c>
      <c r="R152" s="2">
        <v>46185</v>
      </c>
      <c r="S152" s="6">
        <f t="shared" si="18"/>
        <v>2026</v>
      </c>
      <c r="T152" s="7" t="str">
        <f t="shared" si="19"/>
        <v>June</v>
      </c>
      <c r="U152" s="2">
        <f>WORKDAY(Table1[[#This Row],[Order_Date]],5)</f>
        <v>46192</v>
      </c>
      <c r="V152" s="7" t="str">
        <f>CONCATENATE(Table1[[#This Row],[Customer_ID]],Table1[[#This Row],[Customer_Name]])</f>
        <v>C1032Vikas Yadav</v>
      </c>
      <c r="W152" t="s">
        <v>418</v>
      </c>
      <c r="X152" t="s">
        <v>208</v>
      </c>
      <c r="Y152">
        <f>COUNTA(Table1[[#This Row],[Customer_Name]])</f>
        <v>1</v>
      </c>
      <c r="Z152" t="str">
        <f>SUBSTITUTE(Table1[[#This Row],[Customer_Name]]," ","_")</f>
        <v>Vikas_Yadav</v>
      </c>
      <c r="AA152" s="10">
        <f>IFERROR(SEARCH("a",Table1[[#This Row],[Customer_Name]]),"N/A")</f>
        <v>4</v>
      </c>
      <c r="AB152">
        <f>SEARCH(" ",Table1[[#This Row],[Customer_Name]])</f>
        <v>6</v>
      </c>
      <c r="AC152" s="11">
        <f>IFERROR(FIND("a",Table1[[#This Row],[Customer_Name]]),"N/A")</f>
        <v>4</v>
      </c>
      <c r="AD152">
        <f>FIND(" ",Table1[[#This Row],[Customer_Name]])</f>
        <v>6</v>
      </c>
      <c r="AE152" t="str">
        <f>TRIM(Table1[[#This Row],[Customer_Name]])</f>
        <v>Vikas Yadav</v>
      </c>
      <c r="AF152">
        <f>LEN(Table1[[#This Row],[Trimmed]])</f>
        <v>11</v>
      </c>
      <c r="AG152">
        <f>MAX(Table1[Length])</f>
        <v>15</v>
      </c>
      <c r="AH152" t="str">
        <f>PROPER(Table1[[#This Row],[Customer_Name]])</f>
        <v>Vikas Yadav</v>
      </c>
      <c r="AI152" t="str">
        <f>LOWER(Table1[[#This Row],[Customer_Name]])</f>
        <v>vikas yadav</v>
      </c>
      <c r="AJ152" t="str">
        <f>UPPER(Table1[[#This Row],[Customer_Name]])</f>
        <v>VIKAS YADAV</v>
      </c>
      <c r="AK152" t="str">
        <f>CONCATENATE(Table1[[#This Row],[Customer_ID]],Table1[[#This Row],[Customer_Name]])</f>
        <v>C1032Vikas Yadav</v>
      </c>
      <c r="AL152" t="s">
        <v>209</v>
      </c>
      <c r="AM152" t="s">
        <v>210</v>
      </c>
      <c r="AN152" t="s">
        <v>211</v>
      </c>
      <c r="AO152" t="s">
        <v>209</v>
      </c>
      <c r="AP152" t="s">
        <v>210</v>
      </c>
      <c r="AQ152" t="s">
        <v>344</v>
      </c>
      <c r="AR152" t="str">
        <f>TRIM(Table1[[#This Row],[City]])</f>
        <v>Bhopal</v>
      </c>
      <c r="AS152" t="str">
        <f>PROPER(Table1[[#This Row],[City]])</f>
        <v>Bhopal</v>
      </c>
      <c r="AT152" t="s">
        <v>345</v>
      </c>
      <c r="AU152" t="str">
        <f>CONCATENATE(Table1[[#This Row],[City]],Table1[[#This Row],[State]])</f>
        <v>BhopalMadhya Pradesh</v>
      </c>
      <c r="AV152" t="s">
        <v>346</v>
      </c>
      <c r="AW152" t="s">
        <v>319</v>
      </c>
      <c r="AX152" t="str">
        <f>REPLACE(Table1[[#This Row],[Product_ID]],1,1,"s")</f>
        <v>s103</v>
      </c>
      <c r="AY152" t="s">
        <v>863</v>
      </c>
      <c r="AZ152">
        <f>SEARCH("-",Table1[[#This Row],[Product ID]])</f>
        <v>2</v>
      </c>
      <c r="BA152">
        <f>FIND("-",Table1[[#This Row],[Product ID]])</f>
        <v>2</v>
      </c>
      <c r="BB152" t="str">
        <f>MID(Table1[[#This Row],[Product_ID]],2,3)</f>
        <v>103</v>
      </c>
      <c r="BC152" t="str">
        <f>RIGHT(Table1[[#This Row],[Product_ID]],3)</f>
        <v>103</v>
      </c>
      <c r="BD152" t="str">
        <f>LEFT(Table1[[#This Row],[Product_ID]],3)</f>
        <v>P10</v>
      </c>
      <c r="BE152" t="str">
        <f>_xlfn.XLOOKUP(Table1[[#This Row],[Product_ID]],AW:AW,BF:BF,,0)</f>
        <v>Laptop Stand</v>
      </c>
      <c r="BF152" t="s">
        <v>321</v>
      </c>
      <c r="BG152">
        <f>LEN(Table1[[#This Row],[Product_Name]])</f>
        <v>12</v>
      </c>
      <c r="BH152" t="s">
        <v>154</v>
      </c>
      <c r="BI152">
        <f t="shared" si="21"/>
        <v>75</v>
      </c>
      <c r="BJ152" t="str">
        <f>SUBSTITUTE(Table1[[#This Row],[Category]],"Electronics","ELECTRONICS")</f>
        <v>ELECTRONICS</v>
      </c>
      <c r="BN152" t="s">
        <v>155</v>
      </c>
      <c r="BS152" s="14">
        <v>5</v>
      </c>
      <c r="BT152" s="3">
        <v>1599</v>
      </c>
      <c r="BU152" s="4">
        <v>0</v>
      </c>
      <c r="BV152" s="4" t="str">
        <f>IF(AND(Table1[[#This Row],[Quantity]]&gt;=3,Table1[[#This Row],[Discount_%]]&gt;=15%),"Bulk Discount","no")</f>
        <v>no</v>
      </c>
      <c r="BW152" s="4" t="str">
        <f>IF(AND(Table1[[#This Row],[Quantity]]&gt;3,Table1[[#This Row],[Discount_%]]&gt;15%),"Bulk Customer","Normal")</f>
        <v>Normal</v>
      </c>
      <c r="BX152" t="s">
        <v>330</v>
      </c>
      <c r="BY152" t="s">
        <v>136</v>
      </c>
      <c r="CC152" t="str">
        <f>IF(OR(Table1[[#This Row],[Order_Status]]="Returned",Table1[[#This Row],[Order_Status]]="Cancelled"),"Attention Required","Not")</f>
        <v>Not</v>
      </c>
      <c r="CD152" t="str">
        <f>IF(OR(Table1[[#This Row],[Order_Status]]="Returned",Table1[[#This Row],[Order_Status]]="Cancelled"),"Review","no")</f>
        <v>no</v>
      </c>
      <c r="CE152" t="str">
        <f>SUBSTITUTE(Table1[[#This Row],[Order_Status]],"Delivered","Completed")</f>
        <v>Completed</v>
      </c>
      <c r="CF152" s="2">
        <v>46189</v>
      </c>
      <c r="CG152" s="17">
        <f>NETWORKDAYS(Table1[[#This Row],[Order_Date]],Table1[[#This Row],[Delivery_Date]])</f>
        <v>3</v>
      </c>
      <c r="CH152" s="17">
        <f>Table1[[#This Row],[Delivery_Date]]-Table1[[#This Row],[Order_Date]]</f>
        <v>4</v>
      </c>
      <c r="CI152" t="s">
        <v>137</v>
      </c>
      <c r="CJ152" t="str">
        <f>IF(Table1[[#This Row],[Rating]]&gt;=4,"Good","Needs Improvement")</f>
        <v>Needs Improvement</v>
      </c>
      <c r="CK152" t="str">
        <f>IF(OR(Table1[[#This Row],[Rating]]&lt;=2,Table1[[#This Row],[Profit]]&lt;0),"Review","NO")</f>
        <v>Review</v>
      </c>
      <c r="CL152" t="e" cm="1">
        <f t="array" ref="CL152">_xlfn.IFS(Table1[[#This Row],[Rating]]&gt;2,"Poor",Table1[[#This Row],[Rating]]=3,"Average",Table1[[#This Row],[Rating]]=4,"Good",CP152=5,"Excellent")</f>
        <v>#N/A</v>
      </c>
      <c r="CM152">
        <f>COUNT(Table1[[#This Row],[Rating]])</f>
        <v>0</v>
      </c>
      <c r="CN152">
        <f>COUNTBLANK(Table1[[#This Row],[Rating]])</f>
        <v>1</v>
      </c>
      <c r="CP152" t="s">
        <v>194</v>
      </c>
      <c r="CR152" t="s">
        <v>139</v>
      </c>
      <c r="CS152" t="s">
        <v>140</v>
      </c>
      <c r="CU152" s="3">
        <v>7995</v>
      </c>
      <c r="CV152" s="3">
        <f>ROUND(Table1[[#This Row],[Sales_Amount]],0)</f>
        <v>7995</v>
      </c>
      <c r="CW152" s="3"/>
      <c r="CX152" s="3"/>
      <c r="CY152" s="3" t="b">
        <f>IF(AND(Table1[[#This Row],[Sales_Amount]]&gt;=10000,Table1[[#This Row],[Profit]]&gt;0),"Good Order")</f>
        <v>0</v>
      </c>
      <c r="CZ152" s="3" t="str">
        <f>IF(Table1[[#This Row],[Sales_Amount]]&gt;=10000,"High","Normal")</f>
        <v>Normal</v>
      </c>
      <c r="DA152" s="3">
        <v>3495</v>
      </c>
      <c r="DB152" s="3">
        <f>ROUND(Table1[[#This Row],[Profit]],0)</f>
        <v>3495</v>
      </c>
      <c r="DC152" s="3">
        <f>ABS(Table1[[#This Row],[Profit]])</f>
        <v>3495</v>
      </c>
      <c r="DD152" s="3"/>
      <c r="DE152" s="3"/>
      <c r="DF152" s="3"/>
      <c r="DG152" s="3" t="str">
        <f>IF(Table1[[#This Row],[Profit]]&gt;0,"Profit","Loss")</f>
        <v>Profit</v>
      </c>
      <c r="DH152" s="3" t="str">
        <f>IF(AND(Table1[[#This Row],[Sales_Amount]]&gt;=10000,Table1[[#This Row],[Profit]]&gt;0),"Priority","Normal")</f>
        <v>Normal</v>
      </c>
      <c r="DI152" s="3">
        <f t="shared" ca="1" si="16"/>
        <v>0.39219669131416435</v>
      </c>
      <c r="DJ152" s="3">
        <f t="shared" ca="1" si="17"/>
        <v>11</v>
      </c>
      <c r="DK152" s="3"/>
      <c r="DL152" s="3"/>
      <c r="DM152" s="3"/>
      <c r="DN152" s="3"/>
      <c r="DO152" s="3"/>
      <c r="DP152" s="3"/>
    </row>
    <row r="153" spans="1:120">
      <c r="A153" t="s">
        <v>864</v>
      </c>
      <c r="B153" t="str">
        <f>REPLACE(Table1[[#This Row],[Order_ID]],1,3,"YOO")</f>
        <v>YOO10152</v>
      </c>
      <c r="C153" t="str">
        <f>MID(Table1[[#This Row],[Order_ID]],4,4)</f>
        <v>1015</v>
      </c>
      <c r="D153" t="str">
        <f>LEFT(Table1[[#This Row],[Order_ID]],4)</f>
        <v>ORD1</v>
      </c>
      <c r="E153" t="str">
        <f>RIGHT(Table1[[#This Row],[Order_ID]],5)</f>
        <v>10152</v>
      </c>
      <c r="F153" t="s">
        <v>5</v>
      </c>
      <c r="G153">
        <v>10152</v>
      </c>
      <c r="H153" t="s">
        <v>865</v>
      </c>
      <c r="I153" s="2">
        <f>EDATE(Table1[[#This Row],[Order_Date]],3)</f>
        <v>46141</v>
      </c>
      <c r="J153" s="2">
        <f>EDATE(Table1[[#This Row],[Order_Date]],6)</f>
        <v>46232</v>
      </c>
      <c r="K153">
        <f ca="1">YEAR(Table1[[#This Row],[Today]])</f>
        <v>2026</v>
      </c>
      <c r="L153">
        <v>152</v>
      </c>
      <c r="M153">
        <f ca="1">DAY(Table1[[#This Row],[Today]])</f>
        <v>11</v>
      </c>
      <c r="N153" s="19">
        <f t="shared" ca="1" si="20"/>
        <v>46245.589795370368</v>
      </c>
      <c r="O153" s="2">
        <f t="shared" ca="1" si="15"/>
        <v>46245</v>
      </c>
      <c r="P153" s="17">
        <f ca="1">Table1[[#This Row],[Today]]-Table1[[#This Row],[Order_Date]]</f>
        <v>194</v>
      </c>
      <c r="Q153" s="2">
        <v>45809</v>
      </c>
      <c r="R153" s="2">
        <v>46051</v>
      </c>
      <c r="S153" s="6">
        <f t="shared" si="18"/>
        <v>2026</v>
      </c>
      <c r="T153" s="7" t="str">
        <f t="shared" si="19"/>
        <v>January</v>
      </c>
      <c r="U153" s="2">
        <f>WORKDAY(Table1[[#This Row],[Order_Date]],5)</f>
        <v>46058</v>
      </c>
      <c r="V153" s="7" t="str">
        <f>CONCATENATE(Table1[[#This Row],[Customer_ID]],Table1[[#This Row],[Customer_Name]])</f>
        <v>C1148Arjun Rao</v>
      </c>
      <c r="W153" t="s">
        <v>502</v>
      </c>
      <c r="X153" t="s">
        <v>355</v>
      </c>
      <c r="Y153">
        <f>COUNTA(Table1[[#This Row],[Customer_Name]])</f>
        <v>1</v>
      </c>
      <c r="Z153" t="str">
        <f>SUBSTITUTE(Table1[[#This Row],[Customer_Name]]," ","_")</f>
        <v>Arjun_Rao</v>
      </c>
      <c r="AA153" s="10">
        <f>IFERROR(SEARCH("a",Table1[[#This Row],[Customer_Name]]),"N/A")</f>
        <v>1</v>
      </c>
      <c r="AB153">
        <f>SEARCH(" ",Table1[[#This Row],[Customer_Name]])</f>
        <v>6</v>
      </c>
      <c r="AC153" s="11">
        <f>IFERROR(FIND("a",Table1[[#This Row],[Customer_Name]]),"N/A")</f>
        <v>8</v>
      </c>
      <c r="AD153">
        <f>FIND(" ",Table1[[#This Row],[Customer_Name]])</f>
        <v>6</v>
      </c>
      <c r="AE153" t="str">
        <f>TRIM(Table1[[#This Row],[Customer_Name]])</f>
        <v>Arjun Rao</v>
      </c>
      <c r="AF153">
        <f>LEN(Table1[[#This Row],[Trimmed]])</f>
        <v>9</v>
      </c>
      <c r="AG153">
        <f>MAX(Table1[Length])</f>
        <v>15</v>
      </c>
      <c r="AH153" t="str">
        <f>PROPER(Table1[[#This Row],[Customer_Name]])</f>
        <v>Arjun Rao</v>
      </c>
      <c r="AI153" t="str">
        <f>LOWER(Table1[[#This Row],[Customer_Name]])</f>
        <v>arjun rao</v>
      </c>
      <c r="AJ153" t="str">
        <f>UPPER(Table1[[#This Row],[Customer_Name]])</f>
        <v>ARJUN RAO</v>
      </c>
      <c r="AK153" t="str">
        <f>CONCATENATE(Table1[[#This Row],[Customer_ID]],Table1[[#This Row],[Customer_Name]])</f>
        <v>C1148Arjun Rao</v>
      </c>
      <c r="AL153" t="s">
        <v>356</v>
      </c>
      <c r="AM153" t="s">
        <v>357</v>
      </c>
      <c r="AN153" t="s">
        <v>358</v>
      </c>
      <c r="AO153" t="s">
        <v>356</v>
      </c>
      <c r="AP153" t="s">
        <v>357</v>
      </c>
      <c r="AQ153" t="s">
        <v>379</v>
      </c>
      <c r="AR153" t="str">
        <f>TRIM(Table1[[#This Row],[City]])</f>
        <v>Indore</v>
      </c>
      <c r="AS153" t="str">
        <f>PROPER(Table1[[#This Row],[City]])</f>
        <v>Indore</v>
      </c>
      <c r="AT153" t="s">
        <v>345</v>
      </c>
      <c r="AU153" t="str">
        <f>CONCATENATE(Table1[[#This Row],[City]],Table1[[#This Row],[State]])</f>
        <v>IndoreMadhya Pradesh</v>
      </c>
      <c r="AV153" t="s">
        <v>346</v>
      </c>
      <c r="AW153" t="s">
        <v>275</v>
      </c>
      <c r="AX153" t="str">
        <f>REPLACE(Table1[[#This Row],[Product_ID]],1,1,"s")</f>
        <v>s101</v>
      </c>
      <c r="AY153" t="s">
        <v>866</v>
      </c>
      <c r="AZ153">
        <f>SEARCH("-",Table1[[#This Row],[Product ID]])</f>
        <v>2</v>
      </c>
      <c r="BA153">
        <f>FIND("-",Table1[[#This Row],[Product ID]])</f>
        <v>2</v>
      </c>
      <c r="BB153" t="str">
        <f>MID(Table1[[#This Row],[Product_ID]],2,3)</f>
        <v>101</v>
      </c>
      <c r="BC153" t="str">
        <f>RIGHT(Table1[[#This Row],[Product_ID]],3)</f>
        <v>101</v>
      </c>
      <c r="BD153" t="str">
        <f>LEFT(Table1[[#This Row],[Product_ID]],3)</f>
        <v>P10</v>
      </c>
      <c r="BE153" t="str">
        <f>_xlfn.XLOOKUP(Table1[[#This Row],[Product_ID]],AW:AW,BF:BF,,0)</f>
        <v>Wireless Mouse</v>
      </c>
      <c r="BF153" t="s">
        <v>277</v>
      </c>
      <c r="BG153">
        <f>LEN(Table1[[#This Row],[Product_Name]])</f>
        <v>14</v>
      </c>
      <c r="BH153" t="s">
        <v>154</v>
      </c>
      <c r="BI153">
        <f t="shared" si="21"/>
        <v>75</v>
      </c>
      <c r="BJ153" t="str">
        <f>SUBSTITUTE(Table1[[#This Row],[Category]],"Electronics","ELECTRONICS")</f>
        <v>ELECTRONICS</v>
      </c>
      <c r="BN153" t="s">
        <v>155</v>
      </c>
      <c r="BS153" s="14">
        <v>5</v>
      </c>
      <c r="BT153" s="3">
        <v>799</v>
      </c>
      <c r="BU153" s="4">
        <v>20</v>
      </c>
      <c r="BV153" s="4" t="str">
        <f>IF(AND(Table1[[#This Row],[Quantity]]&gt;=3,Table1[[#This Row],[Discount_%]]&gt;=15%),"Bulk Discount","no")</f>
        <v>Bulk Discount</v>
      </c>
      <c r="BW153" s="4" t="str">
        <f>IF(AND(Table1[[#This Row],[Quantity]]&gt;3,Table1[[#This Row],[Discount_%]]&gt;15%),"Bulk Customer","Normal")</f>
        <v>Bulk Customer</v>
      </c>
      <c r="BX153" t="s">
        <v>187</v>
      </c>
      <c r="BY153" t="s">
        <v>136</v>
      </c>
      <c r="CC153" t="str">
        <f>IF(OR(Table1[[#This Row],[Order_Status]]="Returned",Table1[[#This Row],[Order_Status]]="Cancelled"),"Attention Required","Not")</f>
        <v>Not</v>
      </c>
      <c r="CD153" t="str">
        <f>IF(OR(Table1[[#This Row],[Order_Status]]="Returned",Table1[[#This Row],[Order_Status]]="Cancelled"),"Review","no")</f>
        <v>no</v>
      </c>
      <c r="CE153" t="str">
        <f>SUBSTITUTE(Table1[[#This Row],[Order_Status]],"Delivered","Completed")</f>
        <v>Completed</v>
      </c>
      <c r="CF153" s="2">
        <v>46054</v>
      </c>
      <c r="CG153" s="17">
        <f>NETWORKDAYS(Table1[[#This Row],[Order_Date]],Table1[[#This Row],[Delivery_Date]])</f>
        <v>2</v>
      </c>
      <c r="CH153" s="17">
        <f>Table1[[#This Row],[Delivery_Date]]-Table1[[#This Row],[Order_Date]]</f>
        <v>3</v>
      </c>
      <c r="CI153" t="s">
        <v>137</v>
      </c>
      <c r="CJ153" t="str">
        <f>IF(Table1[[#This Row],[Rating]]&gt;=4,"Good","Needs Improvement")</f>
        <v>Good</v>
      </c>
      <c r="CK153" t="str">
        <f>IF(OR(Table1[[#This Row],[Rating]]&lt;=2,Table1[[#This Row],[Profit]]&lt;0),"Review","NO")</f>
        <v>NO</v>
      </c>
      <c r="CL153" t="str" cm="1">
        <f t="array" ref="CL153">_xlfn.IFS(Table1[[#This Row],[Rating]]&gt;2,"Poor",Table1[[#This Row],[Rating]]=3,"Average",Table1[[#This Row],[Rating]]=4,"Good",CP153=5,"Excellent")</f>
        <v>Poor</v>
      </c>
      <c r="CM153">
        <f>COUNT(Table1[[#This Row],[Rating]])</f>
        <v>1</v>
      </c>
      <c r="CN153">
        <f>COUNTBLANK(Table1[[#This Row],[Rating]])</f>
        <v>0</v>
      </c>
      <c r="CP153" t="s">
        <v>194</v>
      </c>
      <c r="CQ153" s="14">
        <v>5</v>
      </c>
      <c r="CR153" t="s">
        <v>173</v>
      </c>
      <c r="CS153" t="s">
        <v>174</v>
      </c>
      <c r="CU153" s="3">
        <v>3196</v>
      </c>
      <c r="CV153" s="3">
        <f>ROUND(Table1[[#This Row],[Sales_Amount]],0)</f>
        <v>3196</v>
      </c>
      <c r="CW153" s="3"/>
      <c r="CX153" s="3"/>
      <c r="CY153" s="3" t="b">
        <f>IF(AND(Table1[[#This Row],[Sales_Amount]]&gt;=10000,Table1[[#This Row],[Profit]]&gt;0),"Good Order")</f>
        <v>0</v>
      </c>
      <c r="CZ153" s="3" t="str">
        <f>IF(Table1[[#This Row],[Sales_Amount]]&gt;=10000,"High","Normal")</f>
        <v>Normal</v>
      </c>
      <c r="DA153" s="3">
        <v>1096</v>
      </c>
      <c r="DB153" s="3">
        <f>ROUND(Table1[[#This Row],[Profit]],0)</f>
        <v>1096</v>
      </c>
      <c r="DC153" s="3">
        <f>ABS(Table1[[#This Row],[Profit]])</f>
        <v>1096</v>
      </c>
      <c r="DD153" s="3"/>
      <c r="DE153" s="3"/>
      <c r="DF153" s="3"/>
      <c r="DG153" s="3" t="str">
        <f>IF(Table1[[#This Row],[Profit]]&gt;0,"Profit","Loss")</f>
        <v>Profit</v>
      </c>
      <c r="DH153" s="3" t="str">
        <f>IF(AND(Table1[[#This Row],[Sales_Amount]]&gt;=10000,Table1[[#This Row],[Profit]]&gt;0),"Priority","Normal")</f>
        <v>Normal</v>
      </c>
      <c r="DI153" s="3">
        <f t="shared" ca="1" si="16"/>
        <v>0.87292585454240468</v>
      </c>
      <c r="DJ153" s="3">
        <f t="shared" ca="1" si="17"/>
        <v>69</v>
      </c>
      <c r="DK153" s="3"/>
      <c r="DL153" s="3"/>
      <c r="DM153" s="3"/>
      <c r="DN153" s="3"/>
      <c r="DO153" s="3"/>
      <c r="DP153" s="3"/>
    </row>
    <row r="154" spans="1:120">
      <c r="A154" t="s">
        <v>867</v>
      </c>
      <c r="B154" t="str">
        <f>REPLACE(Table1[[#This Row],[Order_ID]],1,3,"YOO")</f>
        <v>YOO10153</v>
      </c>
      <c r="C154" t="str">
        <f>MID(Table1[[#This Row],[Order_ID]],4,4)</f>
        <v>1015</v>
      </c>
      <c r="D154" t="str">
        <f>LEFT(Table1[[#This Row],[Order_ID]],4)</f>
        <v>ORD1</v>
      </c>
      <c r="E154" t="str">
        <f>RIGHT(Table1[[#This Row],[Order_ID]],5)</f>
        <v>10153</v>
      </c>
      <c r="F154" t="s">
        <v>5</v>
      </c>
      <c r="G154">
        <v>10153</v>
      </c>
      <c r="H154" t="s">
        <v>868</v>
      </c>
      <c r="I154" s="2">
        <f>EDATE(Table1[[#This Row],[Order_Date]],3)</f>
        <v>46065</v>
      </c>
      <c r="J154" s="2">
        <f>EDATE(Table1[[#This Row],[Order_Date]],6)</f>
        <v>46154</v>
      </c>
      <c r="K154">
        <f ca="1">YEAR(Table1[[#This Row],[Today]])</f>
        <v>2026</v>
      </c>
      <c r="L154">
        <v>153</v>
      </c>
      <c r="M154">
        <f ca="1">DAY(Table1[[#This Row],[Today]])</f>
        <v>11</v>
      </c>
      <c r="N154" s="19">
        <f t="shared" ca="1" si="20"/>
        <v>46245.589795370368</v>
      </c>
      <c r="O154" s="2">
        <f t="shared" ca="1" si="15"/>
        <v>46245</v>
      </c>
      <c r="P154" s="17">
        <f ca="1">Table1[[#This Row],[Today]]-Table1[[#This Row],[Order_Date]]</f>
        <v>272</v>
      </c>
      <c r="Q154" s="2">
        <v>45810</v>
      </c>
      <c r="R154" s="2">
        <v>45973</v>
      </c>
      <c r="S154" s="6">
        <f t="shared" si="18"/>
        <v>2025</v>
      </c>
      <c r="T154" s="7" t="str">
        <f t="shared" si="19"/>
        <v>November</v>
      </c>
      <c r="U154" s="2">
        <f>WORKDAY(Table1[[#This Row],[Order_Date]],5)</f>
        <v>45980</v>
      </c>
      <c r="V154" s="7" t="str">
        <f>CONCATENATE(Table1[[#This Row],[Customer_ID]],Table1[[#This Row],[Customer_Name]])</f>
        <v>C1062Karan Patel</v>
      </c>
      <c r="W154" t="s">
        <v>521</v>
      </c>
      <c r="X154" t="s">
        <v>280</v>
      </c>
      <c r="Y154">
        <f>COUNTA(Table1[[#This Row],[Customer_Name]])</f>
        <v>1</v>
      </c>
      <c r="Z154" t="str">
        <f>SUBSTITUTE(Table1[[#This Row],[Customer_Name]]," ","_")</f>
        <v>Karan_Patel</v>
      </c>
      <c r="AA154" s="10">
        <f>IFERROR(SEARCH("a",Table1[[#This Row],[Customer_Name]]),"N/A")</f>
        <v>2</v>
      </c>
      <c r="AB154">
        <f>SEARCH(" ",Table1[[#This Row],[Customer_Name]])</f>
        <v>6</v>
      </c>
      <c r="AC154" s="11">
        <f>IFERROR(FIND("a",Table1[[#This Row],[Customer_Name]]),"N/A")</f>
        <v>2</v>
      </c>
      <c r="AD154">
        <f>FIND(" ",Table1[[#This Row],[Customer_Name]])</f>
        <v>6</v>
      </c>
      <c r="AE154" t="str">
        <f>TRIM(Table1[[#This Row],[Customer_Name]])</f>
        <v>Karan Patel</v>
      </c>
      <c r="AF154">
        <f>LEN(Table1[[#This Row],[Trimmed]])</f>
        <v>11</v>
      </c>
      <c r="AG154">
        <f>MAX(Table1[Length])</f>
        <v>15</v>
      </c>
      <c r="AH154" t="str">
        <f>PROPER(Table1[[#This Row],[Customer_Name]])</f>
        <v>Karan Patel</v>
      </c>
      <c r="AI154" t="str">
        <f>LOWER(Table1[[#This Row],[Customer_Name]])</f>
        <v>karan patel</v>
      </c>
      <c r="AJ154" t="str">
        <f>UPPER(Table1[[#This Row],[Customer_Name]])</f>
        <v>KARAN PATEL</v>
      </c>
      <c r="AK154" t="str">
        <f>CONCATENATE(Table1[[#This Row],[Customer_ID]],Table1[[#This Row],[Customer_Name]])</f>
        <v>C1062Karan Patel</v>
      </c>
      <c r="AL154" t="s">
        <v>281</v>
      </c>
      <c r="AM154" t="s">
        <v>282</v>
      </c>
      <c r="AN154" t="s">
        <v>283</v>
      </c>
      <c r="AO154" t="s">
        <v>281</v>
      </c>
      <c r="AP154" t="s">
        <v>282</v>
      </c>
      <c r="AQ154" t="s">
        <v>284</v>
      </c>
      <c r="AR154" t="str">
        <f>TRIM(Table1[[#This Row],[City]])</f>
        <v>Hyderabad</v>
      </c>
      <c r="AS154" t="str">
        <f>PROPER(Table1[[#This Row],[City]])</f>
        <v>Hyderabad</v>
      </c>
      <c r="AT154" t="s">
        <v>285</v>
      </c>
      <c r="AU154" t="str">
        <f>CONCATENATE(Table1[[#This Row],[City]],Table1[[#This Row],[State]])</f>
        <v>HyderabadTelangana</v>
      </c>
      <c r="AV154" t="s">
        <v>168</v>
      </c>
      <c r="AW154" t="s">
        <v>370</v>
      </c>
      <c r="AX154" t="str">
        <f>REPLACE(Table1[[#This Row],[Product_ID]],1,1,"s")</f>
        <v>s108</v>
      </c>
      <c r="AY154" t="s">
        <v>869</v>
      </c>
      <c r="AZ154">
        <f>SEARCH("-",Table1[[#This Row],[Product ID]])</f>
        <v>2</v>
      </c>
      <c r="BA154">
        <f>FIND("-",Table1[[#This Row],[Product ID]])</f>
        <v>2</v>
      </c>
      <c r="BB154" t="str">
        <f>MID(Table1[[#This Row],[Product_ID]],2,3)</f>
        <v>108</v>
      </c>
      <c r="BC154" t="str">
        <f>RIGHT(Table1[[#This Row],[Product_ID]],3)</f>
        <v>108</v>
      </c>
      <c r="BD154" t="str">
        <f>LEFT(Table1[[#This Row],[Product_ID]],3)</f>
        <v>P10</v>
      </c>
      <c r="BE154" t="str">
        <f>_xlfn.XLOOKUP(Table1[[#This Row],[Product_ID]],AW:AW,BF:BF,,0)</f>
        <v>Hoodie</v>
      </c>
      <c r="BF154" t="s">
        <v>372</v>
      </c>
      <c r="BG154">
        <f>LEN(Table1[[#This Row],[Product_Name]])</f>
        <v>6</v>
      </c>
      <c r="BH154" t="s">
        <v>224</v>
      </c>
      <c r="BI154">
        <f t="shared" si="21"/>
        <v>75</v>
      </c>
      <c r="BJ154" t="str">
        <f>SUBSTITUTE(Table1[[#This Row],[Category]],"Electronics","ELECTRONICS")</f>
        <v>Fashion</v>
      </c>
      <c r="BN154" t="s">
        <v>373</v>
      </c>
      <c r="BS154" s="14">
        <v>4</v>
      </c>
      <c r="BT154" s="3">
        <v>1999</v>
      </c>
      <c r="BU154" s="4">
        <v>0</v>
      </c>
      <c r="BV154" s="4" t="str">
        <f>IF(AND(Table1[[#This Row],[Quantity]]&gt;=3,Table1[[#This Row],[Discount_%]]&gt;=15%),"Bulk Discount","no")</f>
        <v>no</v>
      </c>
      <c r="BW154" s="4" t="str">
        <f>IF(AND(Table1[[#This Row],[Quantity]]&gt;3,Table1[[#This Row],[Discount_%]]&gt;15%),"Bulk Customer","Normal")</f>
        <v>Normal</v>
      </c>
      <c r="BX154" t="s">
        <v>135</v>
      </c>
      <c r="BY154" t="s">
        <v>136</v>
      </c>
      <c r="CC154" t="str">
        <f>IF(OR(Table1[[#This Row],[Order_Status]]="Returned",Table1[[#This Row],[Order_Status]]="Cancelled"),"Attention Required","Not")</f>
        <v>Not</v>
      </c>
      <c r="CD154" t="str">
        <f>IF(OR(Table1[[#This Row],[Order_Status]]="Returned",Table1[[#This Row],[Order_Status]]="Cancelled"),"Review","no")</f>
        <v>no</v>
      </c>
      <c r="CE154" t="str">
        <f>SUBSTITUTE(Table1[[#This Row],[Order_Status]],"Delivered","Completed")</f>
        <v>Completed</v>
      </c>
      <c r="CF154" s="2">
        <v>45980</v>
      </c>
      <c r="CG154" s="17">
        <f>NETWORKDAYS(Table1[[#This Row],[Order_Date]],Table1[[#This Row],[Delivery_Date]])</f>
        <v>6</v>
      </c>
      <c r="CH154" s="17">
        <f>Table1[[#This Row],[Delivery_Date]]-Table1[[#This Row],[Order_Date]]</f>
        <v>7</v>
      </c>
      <c r="CI154" t="s">
        <v>137</v>
      </c>
      <c r="CJ154" t="str">
        <f>IF(Table1[[#This Row],[Rating]]&gt;=4,"Good","Needs Improvement")</f>
        <v>Needs Improvement</v>
      </c>
      <c r="CK154" t="str">
        <f>IF(OR(Table1[[#This Row],[Rating]]&lt;=2,Table1[[#This Row],[Profit]]&lt;0),"Review","NO")</f>
        <v>Review</v>
      </c>
      <c r="CL154" t="e" cm="1">
        <f t="array" ref="CL154">_xlfn.IFS(Table1[[#This Row],[Rating]]&gt;2,"Poor",Table1[[#This Row],[Rating]]=3,"Average",Table1[[#This Row],[Rating]]=4,"Good",CP154=5,"Excellent")</f>
        <v>#N/A</v>
      </c>
      <c r="CM154">
        <f>COUNT(Table1[[#This Row],[Rating]])</f>
        <v>0</v>
      </c>
      <c r="CN154">
        <f>COUNTBLANK(Table1[[#This Row],[Rating]])</f>
        <v>1</v>
      </c>
      <c r="CP154" t="s">
        <v>157</v>
      </c>
      <c r="CR154" t="s">
        <v>139</v>
      </c>
      <c r="CS154" t="s">
        <v>140</v>
      </c>
      <c r="CU154" s="3">
        <v>7996</v>
      </c>
      <c r="CV154" s="3">
        <f>ROUND(Table1[[#This Row],[Sales_Amount]],0)</f>
        <v>7996</v>
      </c>
      <c r="CW154" s="3"/>
      <c r="CX154" s="3"/>
      <c r="CY154" s="3" t="b">
        <f>IF(AND(Table1[[#This Row],[Sales_Amount]]&gt;=10000,Table1[[#This Row],[Profit]]&gt;0),"Good Order")</f>
        <v>0</v>
      </c>
      <c r="CZ154" s="3" t="str">
        <f>IF(Table1[[#This Row],[Sales_Amount]]&gt;=10000,"High","Normal")</f>
        <v>Normal</v>
      </c>
      <c r="DA154" s="3">
        <v>3796</v>
      </c>
      <c r="DB154" s="3">
        <f>ROUND(Table1[[#This Row],[Profit]],0)</f>
        <v>3796</v>
      </c>
      <c r="DC154" s="3">
        <f>ABS(Table1[[#This Row],[Profit]])</f>
        <v>3796</v>
      </c>
      <c r="DD154" s="3"/>
      <c r="DE154" s="3"/>
      <c r="DF154" s="3"/>
      <c r="DG154" s="3" t="str">
        <f>IF(Table1[[#This Row],[Profit]]&gt;0,"Profit","Loss")</f>
        <v>Profit</v>
      </c>
      <c r="DH154" s="3" t="str">
        <f>IF(AND(Table1[[#This Row],[Sales_Amount]]&gt;=10000,Table1[[#This Row],[Profit]]&gt;0),"Priority","Normal")</f>
        <v>Normal</v>
      </c>
      <c r="DI154" s="3">
        <f t="shared" ca="1" si="16"/>
        <v>0.92696187221625226</v>
      </c>
      <c r="DJ154" s="3">
        <f t="shared" ca="1" si="17"/>
        <v>37</v>
      </c>
      <c r="DK154" s="3"/>
      <c r="DL154" s="3"/>
      <c r="DM154" s="3"/>
      <c r="DN154" s="3"/>
      <c r="DO154" s="3"/>
      <c r="DP154" s="3"/>
    </row>
    <row r="155" spans="1:120">
      <c r="A155" t="s">
        <v>870</v>
      </c>
      <c r="B155" t="str">
        <f>REPLACE(Table1[[#This Row],[Order_ID]],1,3,"YOO")</f>
        <v>YOO10154</v>
      </c>
      <c r="C155" t="str">
        <f>MID(Table1[[#This Row],[Order_ID]],4,4)</f>
        <v>1015</v>
      </c>
      <c r="D155" t="str">
        <f>LEFT(Table1[[#This Row],[Order_ID]],4)</f>
        <v>ORD1</v>
      </c>
      <c r="E155" t="str">
        <f>RIGHT(Table1[[#This Row],[Order_ID]],5)</f>
        <v>10154</v>
      </c>
      <c r="F155" t="s">
        <v>5</v>
      </c>
      <c r="G155">
        <v>10154</v>
      </c>
      <c r="H155" t="s">
        <v>871</v>
      </c>
      <c r="I155" s="2">
        <f>EDATE(Table1[[#This Row],[Order_Date]],3)</f>
        <v>46230</v>
      </c>
      <c r="J155" s="2">
        <f>EDATE(Table1[[#This Row],[Order_Date]],6)</f>
        <v>46322</v>
      </c>
      <c r="K155">
        <f ca="1">YEAR(Table1[[#This Row],[Today]])</f>
        <v>2026</v>
      </c>
      <c r="L155">
        <v>154</v>
      </c>
      <c r="M155">
        <f ca="1">DAY(Table1[[#This Row],[Today]])</f>
        <v>11</v>
      </c>
      <c r="N155" s="19">
        <f t="shared" ca="1" si="20"/>
        <v>46245.589795138891</v>
      </c>
      <c r="O155" s="2">
        <f t="shared" ca="1" si="15"/>
        <v>46245</v>
      </c>
      <c r="P155" s="17">
        <f ca="1">Table1[[#This Row],[Today]]-Table1[[#This Row],[Order_Date]]</f>
        <v>106</v>
      </c>
      <c r="Q155" s="2">
        <v>45811</v>
      </c>
      <c r="R155" s="2">
        <v>46139</v>
      </c>
      <c r="S155" s="6">
        <f t="shared" si="18"/>
        <v>2026</v>
      </c>
      <c r="T155" s="7" t="str">
        <f t="shared" si="19"/>
        <v>April</v>
      </c>
      <c r="U155" s="2">
        <f>WORKDAY(Table1[[#This Row],[Order_Date]],5)</f>
        <v>46146</v>
      </c>
      <c r="V155" s="7" t="str">
        <f>CONCATENATE(Table1[[#This Row],[Customer_ID]],Table1[[#This Row],[Customer_Name]])</f>
        <v>C1035Vikas Yadav</v>
      </c>
      <c r="W155" t="s">
        <v>369</v>
      </c>
      <c r="X155" t="s">
        <v>208</v>
      </c>
      <c r="Y155">
        <f>COUNTA(Table1[[#This Row],[Customer_Name]])</f>
        <v>1</v>
      </c>
      <c r="Z155" t="str">
        <f>SUBSTITUTE(Table1[[#This Row],[Customer_Name]]," ","_")</f>
        <v>Vikas_Yadav</v>
      </c>
      <c r="AA155" s="10">
        <f>IFERROR(SEARCH("a",Table1[[#This Row],[Customer_Name]]),"N/A")</f>
        <v>4</v>
      </c>
      <c r="AB155">
        <f>SEARCH(" ",Table1[[#This Row],[Customer_Name]])</f>
        <v>6</v>
      </c>
      <c r="AC155" s="11">
        <f>IFERROR(FIND("a",Table1[[#This Row],[Customer_Name]]),"N/A")</f>
        <v>4</v>
      </c>
      <c r="AD155">
        <f>FIND(" ",Table1[[#This Row],[Customer_Name]])</f>
        <v>6</v>
      </c>
      <c r="AE155" t="str">
        <f>TRIM(Table1[[#This Row],[Customer_Name]])</f>
        <v>Vikas Yadav</v>
      </c>
      <c r="AF155">
        <f>LEN(Table1[[#This Row],[Trimmed]])</f>
        <v>11</v>
      </c>
      <c r="AG155">
        <f>MAX(Table1[Length])</f>
        <v>15</v>
      </c>
      <c r="AH155" t="str">
        <f>PROPER(Table1[[#This Row],[Customer_Name]])</f>
        <v>Vikas Yadav</v>
      </c>
      <c r="AI155" t="str">
        <f>LOWER(Table1[[#This Row],[Customer_Name]])</f>
        <v>vikas yadav</v>
      </c>
      <c r="AJ155" t="str">
        <f>UPPER(Table1[[#This Row],[Customer_Name]])</f>
        <v>VIKAS YADAV</v>
      </c>
      <c r="AK155" t="str">
        <f>CONCATENATE(Table1[[#This Row],[Customer_ID]],Table1[[#This Row],[Customer_Name]])</f>
        <v>C1035Vikas Yadav</v>
      </c>
      <c r="AL155" t="s">
        <v>209</v>
      </c>
      <c r="AM155" t="s">
        <v>210</v>
      </c>
      <c r="AN155" t="s">
        <v>211</v>
      </c>
      <c r="AO155" t="s">
        <v>209</v>
      </c>
      <c r="AP155" t="s">
        <v>210</v>
      </c>
      <c r="AQ155" t="s">
        <v>284</v>
      </c>
      <c r="AR155" t="str">
        <f>TRIM(Table1[[#This Row],[City]])</f>
        <v>Hyderabad</v>
      </c>
      <c r="AS155" t="str">
        <f>PROPER(Table1[[#This Row],[City]])</f>
        <v>Hyderabad</v>
      </c>
      <c r="AT155" t="s">
        <v>285</v>
      </c>
      <c r="AU155" t="str">
        <f>CONCATENATE(Table1[[#This Row],[City]],Table1[[#This Row],[State]])</f>
        <v>HyderabadTelangana</v>
      </c>
      <c r="AV155" t="s">
        <v>168</v>
      </c>
      <c r="AW155" t="s">
        <v>183</v>
      </c>
      <c r="AX155" t="str">
        <f>REPLACE(Table1[[#This Row],[Product_ID]],1,1,"s")</f>
        <v>s105</v>
      </c>
      <c r="AY155" t="s">
        <v>872</v>
      </c>
      <c r="AZ155">
        <f>SEARCH("-",Table1[[#This Row],[Product ID]])</f>
        <v>2</v>
      </c>
      <c r="BA155">
        <f>FIND("-",Table1[[#This Row],[Product ID]])</f>
        <v>2</v>
      </c>
      <c r="BB155" t="str">
        <f>MID(Table1[[#This Row],[Product_ID]],2,3)</f>
        <v>105</v>
      </c>
      <c r="BC155" t="str">
        <f>RIGHT(Table1[[#This Row],[Product_ID]],3)</f>
        <v>105</v>
      </c>
      <c r="BD155" t="str">
        <f>LEFT(Table1[[#This Row],[Product_ID]],3)</f>
        <v>P10</v>
      </c>
      <c r="BE155" t="str">
        <f>_xlfn.XLOOKUP(Table1[[#This Row],[Product_ID]],AW:AW,BF:BF,,0)</f>
        <v>Bluetooth Speaker</v>
      </c>
      <c r="BF155" t="s">
        <v>185</v>
      </c>
      <c r="BG155">
        <f>LEN(Table1[[#This Row],[Product_Name]])</f>
        <v>17</v>
      </c>
      <c r="BH155" t="s">
        <v>154</v>
      </c>
      <c r="BI155">
        <f t="shared" si="21"/>
        <v>75</v>
      </c>
      <c r="BJ155" t="str">
        <f>SUBSTITUTE(Table1[[#This Row],[Category]],"Electronics","ELECTRONICS")</f>
        <v>ELECTRONICS</v>
      </c>
      <c r="BN155" t="s">
        <v>186</v>
      </c>
      <c r="BS155" s="14">
        <v>3</v>
      </c>
      <c r="BT155" s="3">
        <v>2999</v>
      </c>
      <c r="BU155" s="4">
        <v>0</v>
      </c>
      <c r="BV155" s="4" t="str">
        <f>IF(AND(Table1[[#This Row],[Quantity]]&gt;=3,Table1[[#This Row],[Discount_%]]&gt;=15%),"Bulk Discount","no")</f>
        <v>no</v>
      </c>
      <c r="BW155" s="4" t="str">
        <f>IF(AND(Table1[[#This Row],[Quantity]]&gt;3,Table1[[#This Row],[Discount_%]]&gt;15%),"Bulk Customer","Normal")</f>
        <v>Normal</v>
      </c>
      <c r="BX155" t="s">
        <v>192</v>
      </c>
      <c r="BY155" t="s">
        <v>193</v>
      </c>
      <c r="CC155" t="str">
        <f>IF(OR(Table1[[#This Row],[Order_Status]]="Returned",Table1[[#This Row],[Order_Status]]="Cancelled"),"Attention Required","Not")</f>
        <v>Not</v>
      </c>
      <c r="CD155" t="str">
        <f>IF(OR(Table1[[#This Row],[Order_Status]]="Returned",Table1[[#This Row],[Order_Status]]="Cancelled"),"Review","no")</f>
        <v>no</v>
      </c>
      <c r="CE155" t="str">
        <f>SUBSTITUTE(Table1[[#This Row],[Order_Status]],"Delivered","Completed")</f>
        <v>Shipped</v>
      </c>
      <c r="CF155" s="2">
        <v>46141</v>
      </c>
      <c r="CG155" s="17">
        <f>NETWORKDAYS(Table1[[#This Row],[Order_Date]],Table1[[#This Row],[Delivery_Date]])</f>
        <v>3</v>
      </c>
      <c r="CH155" s="17">
        <f>Table1[[#This Row],[Delivery_Date]]-Table1[[#This Row],[Order_Date]]</f>
        <v>2</v>
      </c>
      <c r="CI155" t="s">
        <v>137</v>
      </c>
      <c r="CJ155" t="str">
        <f>IF(Table1[[#This Row],[Rating]]&gt;=4,"Good","Needs Improvement")</f>
        <v>Good</v>
      </c>
      <c r="CK155" t="str">
        <f>IF(OR(Table1[[#This Row],[Rating]]&lt;=2,Table1[[#This Row],[Profit]]&lt;0),"Review","NO")</f>
        <v>NO</v>
      </c>
      <c r="CL155" t="str" cm="1">
        <f t="array" ref="CL155">_xlfn.IFS(Table1[[#This Row],[Rating]]&gt;2,"Poor",Table1[[#This Row],[Rating]]=3,"Average",Table1[[#This Row],[Rating]]=4,"Good",CP155=5,"Excellent")</f>
        <v>Poor</v>
      </c>
      <c r="CM155">
        <f>COUNT(Table1[[#This Row],[Rating]])</f>
        <v>1</v>
      </c>
      <c r="CN155">
        <f>COUNTBLANK(Table1[[#This Row],[Rating]])</f>
        <v>0</v>
      </c>
      <c r="CP155" t="s">
        <v>138</v>
      </c>
      <c r="CQ155" s="14">
        <v>5</v>
      </c>
      <c r="CR155" t="s">
        <v>173</v>
      </c>
      <c r="CS155" t="s">
        <v>140</v>
      </c>
      <c r="CU155" s="3">
        <v>8997</v>
      </c>
      <c r="CV155" s="3">
        <f>ROUND(Table1[[#This Row],[Sales_Amount]],0)</f>
        <v>8997</v>
      </c>
      <c r="CW155" s="3"/>
      <c r="CX155" s="3"/>
      <c r="CY155" s="3" t="b">
        <f>IF(AND(Table1[[#This Row],[Sales_Amount]]&gt;=10000,Table1[[#This Row],[Profit]]&gt;0),"Good Order")</f>
        <v>0</v>
      </c>
      <c r="CZ155" s="3" t="str">
        <f>IF(Table1[[#This Row],[Sales_Amount]]&gt;=10000,"High","Normal")</f>
        <v>Normal</v>
      </c>
      <c r="DA155" s="3">
        <v>3747</v>
      </c>
      <c r="DB155" s="3">
        <f>ROUND(Table1[[#This Row],[Profit]],0)</f>
        <v>3747</v>
      </c>
      <c r="DC155" s="3">
        <f>ABS(Table1[[#This Row],[Profit]])</f>
        <v>3747</v>
      </c>
      <c r="DD155" s="3"/>
      <c r="DE155" s="3"/>
      <c r="DF155" s="3"/>
      <c r="DG155" s="3" t="str">
        <f>IF(Table1[[#This Row],[Profit]]&gt;0,"Profit","Loss")</f>
        <v>Profit</v>
      </c>
      <c r="DH155" s="3" t="str">
        <f>IF(AND(Table1[[#This Row],[Sales_Amount]]&gt;=10000,Table1[[#This Row],[Profit]]&gt;0),"Priority","Normal")</f>
        <v>Normal</v>
      </c>
      <c r="DI155" s="3">
        <f t="shared" ca="1" si="16"/>
        <v>4.1119482978465349E-2</v>
      </c>
      <c r="DJ155" s="3">
        <f t="shared" ca="1" si="17"/>
        <v>51</v>
      </c>
      <c r="DK155" s="3"/>
      <c r="DL155" s="3"/>
      <c r="DM155" s="3"/>
      <c r="DN155" s="3"/>
      <c r="DO155" s="3"/>
      <c r="DP155" s="3"/>
    </row>
    <row r="156" spans="1:120">
      <c r="A156" t="s">
        <v>873</v>
      </c>
      <c r="B156" t="str">
        <f>REPLACE(Table1[[#This Row],[Order_ID]],1,3,"YOO")</f>
        <v>YOO10155</v>
      </c>
      <c r="C156" t="str">
        <f>MID(Table1[[#This Row],[Order_ID]],4,4)</f>
        <v>1015</v>
      </c>
      <c r="D156" t="str">
        <f>LEFT(Table1[[#This Row],[Order_ID]],4)</f>
        <v>ORD1</v>
      </c>
      <c r="E156" t="str">
        <f>RIGHT(Table1[[#This Row],[Order_ID]],5)</f>
        <v>10155</v>
      </c>
      <c r="F156" t="s">
        <v>5</v>
      </c>
      <c r="G156">
        <v>10155</v>
      </c>
      <c r="H156" t="s">
        <v>874</v>
      </c>
      <c r="I156" s="2">
        <f>EDATE(Table1[[#This Row],[Order_Date]],3)</f>
        <v>46325</v>
      </c>
      <c r="J156" s="2">
        <f>EDATE(Table1[[#This Row],[Order_Date]],6)</f>
        <v>46417</v>
      </c>
      <c r="K156">
        <f ca="1">YEAR(Table1[[#This Row],[Today]])</f>
        <v>2026</v>
      </c>
      <c r="L156">
        <v>155</v>
      </c>
      <c r="M156">
        <f ca="1">DAY(Table1[[#This Row],[Today]])</f>
        <v>11</v>
      </c>
      <c r="N156" s="19">
        <f t="shared" ca="1" si="20"/>
        <v>46245.589795370368</v>
      </c>
      <c r="O156" s="2">
        <f t="shared" ca="1" si="15"/>
        <v>46245</v>
      </c>
      <c r="P156" s="17">
        <f ca="1">Table1[[#This Row],[Today]]-Table1[[#This Row],[Order_Date]]</f>
        <v>12</v>
      </c>
      <c r="Q156" s="2">
        <v>45812</v>
      </c>
      <c r="R156" s="2">
        <v>46233</v>
      </c>
      <c r="S156" s="6">
        <f t="shared" si="18"/>
        <v>2026</v>
      </c>
      <c r="T156" s="7" t="str">
        <f t="shared" si="19"/>
        <v>July</v>
      </c>
      <c r="U156" s="2">
        <f>WORKDAY(Table1[[#This Row],[Order_Date]],5)</f>
        <v>46240</v>
      </c>
      <c r="V156" s="7" t="str">
        <f>CONCATENATE(Table1[[#This Row],[Customer_ID]],Table1[[#This Row],[Customer_Name]])</f>
        <v>C1099Aditya Malhotra</v>
      </c>
      <c r="W156" t="s">
        <v>629</v>
      </c>
      <c r="X156" t="s">
        <v>257</v>
      </c>
      <c r="Y156">
        <f>COUNTA(Table1[[#This Row],[Customer_Name]])</f>
        <v>1</v>
      </c>
      <c r="Z156" t="str">
        <f>SUBSTITUTE(Table1[[#This Row],[Customer_Name]]," ","_")</f>
        <v>Aditya_Malhotra</v>
      </c>
      <c r="AA156" s="10">
        <f>IFERROR(SEARCH("a",Table1[[#This Row],[Customer_Name]]),"N/A")</f>
        <v>1</v>
      </c>
      <c r="AB156">
        <f>SEARCH(" ",Table1[[#This Row],[Customer_Name]])</f>
        <v>7</v>
      </c>
      <c r="AC156" s="11">
        <f>IFERROR(FIND("a",Table1[[#This Row],[Customer_Name]]),"N/A")</f>
        <v>6</v>
      </c>
      <c r="AD156">
        <f>FIND(" ",Table1[[#This Row],[Customer_Name]])</f>
        <v>7</v>
      </c>
      <c r="AE156" t="str">
        <f>TRIM(Table1[[#This Row],[Customer_Name]])</f>
        <v>Aditya Malhotra</v>
      </c>
      <c r="AF156">
        <f>LEN(Table1[[#This Row],[Trimmed]])</f>
        <v>15</v>
      </c>
      <c r="AG156">
        <f>MAX(Table1[Length])</f>
        <v>15</v>
      </c>
      <c r="AH156" t="str">
        <f>PROPER(Table1[[#This Row],[Customer_Name]])</f>
        <v>Aditya Malhotra</v>
      </c>
      <c r="AI156" t="str">
        <f>LOWER(Table1[[#This Row],[Customer_Name]])</f>
        <v>aditya malhotra</v>
      </c>
      <c r="AJ156" t="str">
        <f>UPPER(Table1[[#This Row],[Customer_Name]])</f>
        <v>ADITYA MALHOTRA</v>
      </c>
      <c r="AK156" t="str">
        <f>CONCATENATE(Table1[[#This Row],[Customer_ID]],Table1[[#This Row],[Customer_Name]])</f>
        <v>C1099Aditya Malhotra</v>
      </c>
      <c r="AL156" t="s">
        <v>258</v>
      </c>
      <c r="AM156" t="s">
        <v>259</v>
      </c>
      <c r="AN156" t="s">
        <v>260</v>
      </c>
      <c r="AO156" t="s">
        <v>258</v>
      </c>
      <c r="AP156" t="s">
        <v>259</v>
      </c>
      <c r="AQ156" t="s">
        <v>182</v>
      </c>
      <c r="AR156" t="str">
        <f>TRIM(Table1[[#This Row],[City]])</f>
        <v>Mumbai</v>
      </c>
      <c r="AS156" t="str">
        <f>PROPER(Table1[[#This Row],[City]])</f>
        <v>Mumbai</v>
      </c>
      <c r="AT156" t="s">
        <v>128</v>
      </c>
      <c r="AU156" t="str">
        <f>CONCATENATE(Table1[[#This Row],[City]],Table1[[#This Row],[State]])</f>
        <v>MumbaiMaharashtra</v>
      </c>
      <c r="AV156" t="s">
        <v>129</v>
      </c>
      <c r="AW156" t="s">
        <v>236</v>
      </c>
      <c r="AX156" t="str">
        <f>REPLACE(Table1[[#This Row],[Product_ID]],1,1,"s")</f>
        <v>s107</v>
      </c>
      <c r="AY156" t="s">
        <v>875</v>
      </c>
      <c r="AZ156">
        <f>SEARCH("-",Table1[[#This Row],[Product ID]])</f>
        <v>2</v>
      </c>
      <c r="BA156">
        <f>FIND("-",Table1[[#This Row],[Product ID]])</f>
        <v>2</v>
      </c>
      <c r="BB156" t="str">
        <f>MID(Table1[[#This Row],[Product_ID]],2,3)</f>
        <v>107</v>
      </c>
      <c r="BC156" t="str">
        <f>RIGHT(Table1[[#This Row],[Product_ID]],3)</f>
        <v>107</v>
      </c>
      <c r="BD156" t="str">
        <f>LEFT(Table1[[#This Row],[Product_ID]],3)</f>
        <v>P10</v>
      </c>
      <c r="BE156" t="str">
        <f>_xlfn.XLOOKUP(Table1[[#This Row],[Product_ID]],AW:AW,BF:BF,,0)</f>
        <v>Casual Sneakers</v>
      </c>
      <c r="BF156" t="s">
        <v>238</v>
      </c>
      <c r="BG156">
        <f>LEN(Table1[[#This Row],[Product_Name]])</f>
        <v>15</v>
      </c>
      <c r="BH156" t="s">
        <v>224</v>
      </c>
      <c r="BI156">
        <f t="shared" si="21"/>
        <v>75</v>
      </c>
      <c r="BJ156" t="str">
        <f>SUBSTITUTE(Table1[[#This Row],[Category]],"Electronics","ELECTRONICS")</f>
        <v>Fashion</v>
      </c>
      <c r="BN156" t="s">
        <v>225</v>
      </c>
      <c r="BS156" s="14">
        <v>2</v>
      </c>
      <c r="BT156" s="3">
        <v>2799</v>
      </c>
      <c r="BU156" s="4">
        <v>15</v>
      </c>
      <c r="BV156" s="4" t="str">
        <f>IF(AND(Table1[[#This Row],[Quantity]]&gt;=3,Table1[[#This Row],[Discount_%]]&gt;=15%),"Bulk Discount","no")</f>
        <v>no</v>
      </c>
      <c r="BW156" s="4" t="str">
        <f>IF(AND(Table1[[#This Row],[Quantity]]&gt;3,Table1[[#This Row],[Discount_%]]&gt;15%),"Bulk Customer","Normal")</f>
        <v>Normal</v>
      </c>
      <c r="BX156" t="s">
        <v>330</v>
      </c>
      <c r="BY156" t="s">
        <v>156</v>
      </c>
      <c r="CC156" t="str">
        <f>IF(OR(Table1[[#This Row],[Order_Status]]="Returned",Table1[[#This Row],[Order_Status]]="Cancelled"),"Attention Required","Not")</f>
        <v>Attention Required</v>
      </c>
      <c r="CD156" t="str">
        <f>IF(OR(Table1[[#This Row],[Order_Status]]="Returned",Table1[[#This Row],[Order_Status]]="Cancelled"),"Review","no")</f>
        <v>Review</v>
      </c>
      <c r="CE156" t="str">
        <f>SUBSTITUTE(Table1[[#This Row],[Order_Status]],"Delivered","Completed")</f>
        <v>Cancelled</v>
      </c>
      <c r="CF156" s="2">
        <v>46238</v>
      </c>
      <c r="CG156" s="17">
        <f>NETWORKDAYS(Table1[[#This Row],[Order_Date]],Table1[[#This Row],[Delivery_Date]])</f>
        <v>4</v>
      </c>
      <c r="CH156" s="17">
        <f>Table1[[#This Row],[Delivery_Date]]-Table1[[#This Row],[Order_Date]]</f>
        <v>5</v>
      </c>
      <c r="CI156" t="s">
        <v>137</v>
      </c>
      <c r="CJ156" t="str">
        <f>IF(Table1[[#This Row],[Rating]]&gt;=4,"Good","Needs Improvement")</f>
        <v>Needs Improvement</v>
      </c>
      <c r="CK156" t="str">
        <f>IF(OR(Table1[[#This Row],[Rating]]&lt;=2,Table1[[#This Row],[Profit]]&lt;0),"Review","NO")</f>
        <v>Review</v>
      </c>
      <c r="CL156" t="e" cm="1">
        <f t="array" ref="CL156">_xlfn.IFS(Table1[[#This Row],[Rating]]&gt;2,"Poor",Table1[[#This Row],[Rating]]=3,"Average",Table1[[#This Row],[Rating]]=4,"Good",CP156=5,"Excellent")</f>
        <v>#N/A</v>
      </c>
      <c r="CM156">
        <f>COUNT(Table1[[#This Row],[Rating]])</f>
        <v>1</v>
      </c>
      <c r="CN156">
        <f>COUNTBLANK(Table1[[#This Row],[Rating]])</f>
        <v>0</v>
      </c>
      <c r="CP156" t="s">
        <v>266</v>
      </c>
      <c r="CQ156" s="14">
        <v>2</v>
      </c>
      <c r="CR156" t="s">
        <v>173</v>
      </c>
      <c r="CS156" t="s">
        <v>174</v>
      </c>
      <c r="CU156" s="3">
        <v>4758.3</v>
      </c>
      <c r="CV156" s="3">
        <f>ROUND(Table1[[#This Row],[Sales_Amount]],0)</f>
        <v>4758</v>
      </c>
      <c r="CW156" s="3"/>
      <c r="CX156" s="3"/>
      <c r="CY156" s="3" t="b">
        <f>IF(AND(Table1[[#This Row],[Sales_Amount]]&gt;=10000,Table1[[#This Row],[Profit]]&gt;0),"Good Order")</f>
        <v>0</v>
      </c>
      <c r="CZ156" s="3" t="str">
        <f>IF(Table1[[#This Row],[Sales_Amount]]&gt;=10000,"High","Normal")</f>
        <v>Normal</v>
      </c>
      <c r="DA156" s="3">
        <v>1758.3</v>
      </c>
      <c r="DB156" s="3">
        <f>ROUND(Table1[[#This Row],[Profit]],0)</f>
        <v>1758</v>
      </c>
      <c r="DC156" s="3">
        <f>ABS(Table1[[#This Row],[Profit]])</f>
        <v>1758.3</v>
      </c>
      <c r="DD156" s="3"/>
      <c r="DE156" s="3"/>
      <c r="DF156" s="3"/>
      <c r="DG156" s="3" t="str">
        <f>IF(Table1[[#This Row],[Profit]]&gt;0,"Profit","Loss")</f>
        <v>Profit</v>
      </c>
      <c r="DH156" s="3" t="str">
        <f>IF(AND(Table1[[#This Row],[Sales_Amount]]&gt;=10000,Table1[[#This Row],[Profit]]&gt;0),"Priority","Normal")</f>
        <v>Normal</v>
      </c>
      <c r="DI156" s="3">
        <f t="shared" ca="1" si="16"/>
        <v>0.93891629815664646</v>
      </c>
      <c r="DJ156" s="3">
        <f t="shared" ca="1" si="17"/>
        <v>99</v>
      </c>
      <c r="DK156" s="3"/>
      <c r="DL156" s="3"/>
      <c r="DM156" s="3"/>
      <c r="DN156" s="3"/>
      <c r="DO156" s="3"/>
      <c r="DP156" s="3"/>
    </row>
    <row r="157" spans="1:120">
      <c r="A157" t="s">
        <v>876</v>
      </c>
      <c r="B157" t="str">
        <f>REPLACE(Table1[[#This Row],[Order_ID]],1,3,"YOO")</f>
        <v>YOO10156</v>
      </c>
      <c r="C157" t="str">
        <f>MID(Table1[[#This Row],[Order_ID]],4,4)</f>
        <v>1015</v>
      </c>
      <c r="D157" t="str">
        <f>LEFT(Table1[[#This Row],[Order_ID]],4)</f>
        <v>ORD1</v>
      </c>
      <c r="E157" t="str">
        <f>RIGHT(Table1[[#This Row],[Order_ID]],5)</f>
        <v>10156</v>
      </c>
      <c r="F157" t="s">
        <v>5</v>
      </c>
      <c r="G157">
        <v>10156</v>
      </c>
      <c r="H157" t="s">
        <v>877</v>
      </c>
      <c r="I157" s="2">
        <f>EDATE(Table1[[#This Row],[Order_Date]],3)</f>
        <v>45871</v>
      </c>
      <c r="J157" s="2">
        <f>EDATE(Table1[[#This Row],[Order_Date]],6)</f>
        <v>45963</v>
      </c>
      <c r="K157">
        <f ca="1">YEAR(Table1[[#This Row],[Today]])</f>
        <v>2026</v>
      </c>
      <c r="L157">
        <v>156</v>
      </c>
      <c r="M157">
        <f ca="1">DAY(Table1[[#This Row],[Today]])</f>
        <v>11</v>
      </c>
      <c r="N157" s="19">
        <f t="shared" ca="1" si="20"/>
        <v>46245.589795370368</v>
      </c>
      <c r="O157" s="2">
        <f t="shared" ca="1" si="15"/>
        <v>46245</v>
      </c>
      <c r="P157" s="17">
        <f ca="1">Table1[[#This Row],[Today]]-Table1[[#This Row],[Order_Date]]</f>
        <v>466</v>
      </c>
      <c r="Q157" s="2">
        <v>45813</v>
      </c>
      <c r="R157" s="2">
        <v>45779</v>
      </c>
      <c r="S157" s="6">
        <f t="shared" si="18"/>
        <v>2025</v>
      </c>
      <c r="T157" s="7" t="str">
        <f t="shared" si="19"/>
        <v>May</v>
      </c>
      <c r="U157" s="2">
        <f>WORKDAY(Table1[[#This Row],[Order_Date]],5)</f>
        <v>45786</v>
      </c>
      <c r="V157" s="7" t="str">
        <f>CONCATENATE(Table1[[#This Row],[Customer_ID]],Table1[[#This Row],[Customer_Name]])</f>
        <v>C1143Sneha Mishra</v>
      </c>
      <c r="W157" t="s">
        <v>451</v>
      </c>
      <c r="X157" t="s">
        <v>496</v>
      </c>
      <c r="Y157">
        <f>COUNTA(Table1[[#This Row],[Customer_Name]])</f>
        <v>1</v>
      </c>
      <c r="Z157" t="str">
        <f>SUBSTITUTE(Table1[[#This Row],[Customer_Name]]," ","_")</f>
        <v>Sneha_Mishra</v>
      </c>
      <c r="AA157" s="10">
        <f>IFERROR(SEARCH("a",Table1[[#This Row],[Customer_Name]]),"N/A")</f>
        <v>5</v>
      </c>
      <c r="AB157">
        <f>SEARCH(" ",Table1[[#This Row],[Customer_Name]])</f>
        <v>6</v>
      </c>
      <c r="AC157" s="11">
        <f>IFERROR(FIND("a",Table1[[#This Row],[Customer_Name]]),"N/A")</f>
        <v>5</v>
      </c>
      <c r="AD157">
        <f>FIND(" ",Table1[[#This Row],[Customer_Name]])</f>
        <v>6</v>
      </c>
      <c r="AE157" t="str">
        <f>TRIM(Table1[[#This Row],[Customer_Name]])</f>
        <v>Sneha Mishra</v>
      </c>
      <c r="AF157">
        <f>LEN(Table1[[#This Row],[Trimmed]])</f>
        <v>12</v>
      </c>
      <c r="AG157">
        <f>MAX(Table1[Length])</f>
        <v>15</v>
      </c>
      <c r="AH157" t="str">
        <f>PROPER(Table1[[#This Row],[Customer_Name]])</f>
        <v>Sneha Mishra</v>
      </c>
      <c r="AI157" t="str">
        <f>LOWER(Table1[[#This Row],[Customer_Name]])</f>
        <v>sneha mishra</v>
      </c>
      <c r="AJ157" t="str">
        <f>UPPER(Table1[[#This Row],[Customer_Name]])</f>
        <v>SNEHA MISHRA</v>
      </c>
      <c r="AK157" t="str">
        <f>CONCATENATE(Table1[[#This Row],[Customer_ID]],Table1[[#This Row],[Customer_Name]])</f>
        <v>C1143Sneha Mishra</v>
      </c>
      <c r="AL157" t="s">
        <v>195</v>
      </c>
      <c r="AM157" t="s">
        <v>497</v>
      </c>
      <c r="AN157" t="s">
        <v>498</v>
      </c>
      <c r="AO157" t="s">
        <v>195</v>
      </c>
      <c r="AP157" t="s">
        <v>497</v>
      </c>
      <c r="AQ157" t="s">
        <v>233</v>
      </c>
      <c r="AR157" t="str">
        <f>TRIM(Table1[[#This Row],[City]])</f>
        <v>Kolkata</v>
      </c>
      <c r="AS157" t="str">
        <f>PROPER(Table1[[#This Row],[City]])</f>
        <v>Kolkata</v>
      </c>
      <c r="AT157" t="s">
        <v>234</v>
      </c>
      <c r="AU157" t="str">
        <f>CONCATENATE(Table1[[#This Row],[City]],Table1[[#This Row],[State]])</f>
        <v>KolkataWest Bengal</v>
      </c>
      <c r="AV157" t="s">
        <v>235</v>
      </c>
      <c r="AW157" t="s">
        <v>130</v>
      </c>
      <c r="AX157" t="str">
        <f>REPLACE(Table1[[#This Row],[Product_ID]],1,1,"s")</f>
        <v>s111</v>
      </c>
      <c r="AY157" t="s">
        <v>878</v>
      </c>
      <c r="AZ157">
        <f>SEARCH("-",Table1[[#This Row],[Product ID]])</f>
        <v>2</v>
      </c>
      <c r="BA157">
        <f>FIND("-",Table1[[#This Row],[Product ID]])</f>
        <v>2</v>
      </c>
      <c r="BB157" t="str">
        <f>MID(Table1[[#This Row],[Product_ID]],2,3)</f>
        <v>111</v>
      </c>
      <c r="BC157" t="str">
        <f>RIGHT(Table1[[#This Row],[Product_ID]],3)</f>
        <v>111</v>
      </c>
      <c r="BD157" t="str">
        <f>LEFT(Table1[[#This Row],[Product_ID]],3)</f>
        <v>P11</v>
      </c>
      <c r="BE157" t="str">
        <f>_xlfn.XLOOKUP(Table1[[#This Row],[Product_ID]],AW:AW,BF:BF,,0)</f>
        <v>Coffee Maker</v>
      </c>
      <c r="BF157" t="s">
        <v>132</v>
      </c>
      <c r="BG157">
        <f>LEN(Table1[[#This Row],[Product_Name]])</f>
        <v>12</v>
      </c>
      <c r="BH157" t="s">
        <v>133</v>
      </c>
      <c r="BI157">
        <f t="shared" si="21"/>
        <v>75</v>
      </c>
      <c r="BJ157" t="str">
        <f>SUBSTITUTE(Table1[[#This Row],[Category]],"Electronics","ELECTRONICS")</f>
        <v>Home</v>
      </c>
      <c r="BN157" t="s">
        <v>134</v>
      </c>
      <c r="BS157" s="14">
        <v>2</v>
      </c>
      <c r="BT157" s="3">
        <v>3999</v>
      </c>
      <c r="BU157" s="4">
        <v>0</v>
      </c>
      <c r="BV157" s="4" t="str">
        <f>IF(AND(Table1[[#This Row],[Quantity]]&gt;=3,Table1[[#This Row],[Discount_%]]&gt;=15%),"Bulk Discount","no")</f>
        <v>no</v>
      </c>
      <c r="BW157" s="4" t="str">
        <f>IF(AND(Table1[[#This Row],[Quantity]]&gt;3,Table1[[#This Row],[Discount_%]]&gt;15%),"Bulk Customer","Normal")</f>
        <v>Normal</v>
      </c>
      <c r="BX157" t="s">
        <v>187</v>
      </c>
      <c r="BY157" t="s">
        <v>136</v>
      </c>
      <c r="CC157" t="str">
        <f>IF(OR(Table1[[#This Row],[Order_Status]]="Returned",Table1[[#This Row],[Order_Status]]="Cancelled"),"Attention Required","Not")</f>
        <v>Not</v>
      </c>
      <c r="CD157" t="str">
        <f>IF(OR(Table1[[#This Row],[Order_Status]]="Returned",Table1[[#This Row],[Order_Status]]="Cancelled"),"Review","no")</f>
        <v>no</v>
      </c>
      <c r="CE157" t="str">
        <f>SUBSTITUTE(Table1[[#This Row],[Order_Status]],"Delivered","Completed")</f>
        <v>Completed</v>
      </c>
      <c r="CF157" s="2">
        <v>45785</v>
      </c>
      <c r="CG157" s="17">
        <f>NETWORKDAYS(Table1[[#This Row],[Order_Date]],Table1[[#This Row],[Delivery_Date]])</f>
        <v>5</v>
      </c>
      <c r="CH157" s="17">
        <f>Table1[[#This Row],[Delivery_Date]]-Table1[[#This Row],[Order_Date]]</f>
        <v>6</v>
      </c>
      <c r="CI157" t="s">
        <v>137</v>
      </c>
      <c r="CJ157" t="str">
        <f>IF(Table1[[#This Row],[Rating]]&gt;=4,"Good","Needs Improvement")</f>
        <v>Good</v>
      </c>
      <c r="CK157" t="str">
        <f>IF(OR(Table1[[#This Row],[Rating]]&lt;=2,Table1[[#This Row],[Profit]]&lt;0),"Review","NO")</f>
        <v>NO</v>
      </c>
      <c r="CL157" t="str" cm="1">
        <f t="array" ref="CL157">_xlfn.IFS(Table1[[#This Row],[Rating]]&gt;2,"Poor",Table1[[#This Row],[Rating]]=3,"Average",Table1[[#This Row],[Rating]]=4,"Good",CP157=5,"Excellent")</f>
        <v>Poor</v>
      </c>
      <c r="CM157">
        <f>COUNT(Table1[[#This Row],[Rating]])</f>
        <v>1</v>
      </c>
      <c r="CN157">
        <f>COUNTBLANK(Table1[[#This Row],[Rating]])</f>
        <v>0</v>
      </c>
      <c r="CP157" t="s">
        <v>194</v>
      </c>
      <c r="CQ157" s="14">
        <v>5</v>
      </c>
      <c r="CR157" t="s">
        <v>204</v>
      </c>
      <c r="CS157" t="s">
        <v>174</v>
      </c>
      <c r="CU157" s="3">
        <v>7998</v>
      </c>
      <c r="CV157" s="3">
        <f>ROUND(Table1[[#This Row],[Sales_Amount]],0)</f>
        <v>7998</v>
      </c>
      <c r="CW157" s="3"/>
      <c r="CX157" s="3"/>
      <c r="CY157" s="3" t="b">
        <f>IF(AND(Table1[[#This Row],[Sales_Amount]]&gt;=10000,Table1[[#This Row],[Profit]]&gt;0),"Good Order")</f>
        <v>0</v>
      </c>
      <c r="CZ157" s="3" t="str">
        <f>IF(Table1[[#This Row],[Sales_Amount]]&gt;=10000,"High","Normal")</f>
        <v>Normal</v>
      </c>
      <c r="DA157" s="3">
        <v>2998</v>
      </c>
      <c r="DB157" s="3">
        <f>ROUND(Table1[[#This Row],[Profit]],0)</f>
        <v>2998</v>
      </c>
      <c r="DC157" s="3">
        <f>ABS(Table1[[#This Row],[Profit]])</f>
        <v>2998</v>
      </c>
      <c r="DD157" s="3"/>
      <c r="DE157" s="3"/>
      <c r="DF157" s="3"/>
      <c r="DG157" s="3" t="str">
        <f>IF(Table1[[#This Row],[Profit]]&gt;0,"Profit","Loss")</f>
        <v>Profit</v>
      </c>
      <c r="DH157" s="3" t="str">
        <f>IF(AND(Table1[[#This Row],[Sales_Amount]]&gt;=10000,Table1[[#This Row],[Profit]]&gt;0),"Priority","Normal")</f>
        <v>Normal</v>
      </c>
      <c r="DI157" s="3">
        <f t="shared" ca="1" si="16"/>
        <v>0.68127414195087022</v>
      </c>
      <c r="DJ157" s="3">
        <f t="shared" ca="1" si="17"/>
        <v>57</v>
      </c>
      <c r="DK157" s="3"/>
      <c r="DL157" s="3"/>
      <c r="DM157" s="3"/>
      <c r="DN157" s="3"/>
      <c r="DO157" s="3"/>
      <c r="DP157" s="3"/>
    </row>
    <row r="158" spans="1:120">
      <c r="A158" t="s">
        <v>879</v>
      </c>
      <c r="B158" t="str">
        <f>REPLACE(Table1[[#This Row],[Order_ID]],1,3,"YOO")</f>
        <v>YOO10157</v>
      </c>
      <c r="C158" t="str">
        <f>MID(Table1[[#This Row],[Order_ID]],4,4)</f>
        <v>1015</v>
      </c>
      <c r="D158" t="str">
        <f>LEFT(Table1[[#This Row],[Order_ID]],4)</f>
        <v>ORD1</v>
      </c>
      <c r="E158" t="str">
        <f>RIGHT(Table1[[#This Row],[Order_ID]],5)</f>
        <v>10157</v>
      </c>
      <c r="F158" t="s">
        <v>5</v>
      </c>
      <c r="G158">
        <v>10157</v>
      </c>
      <c r="H158" t="s">
        <v>880</v>
      </c>
      <c r="I158" s="2">
        <f>EDATE(Table1[[#This Row],[Order_Date]],3)</f>
        <v>45788</v>
      </c>
      <c r="J158" s="2">
        <f>EDATE(Table1[[#This Row],[Order_Date]],6)</f>
        <v>45880</v>
      </c>
      <c r="K158">
        <f ca="1">YEAR(Table1[[#This Row],[Today]])</f>
        <v>2026</v>
      </c>
      <c r="L158">
        <v>157</v>
      </c>
      <c r="M158">
        <f ca="1">DAY(Table1[[#This Row],[Today]])</f>
        <v>11</v>
      </c>
      <c r="N158" s="19">
        <f t="shared" ca="1" si="20"/>
        <v>46245.589795138891</v>
      </c>
      <c r="O158" s="2">
        <f t="shared" ca="1" si="15"/>
        <v>46245</v>
      </c>
      <c r="P158" s="17">
        <f ca="1">Table1[[#This Row],[Today]]-Table1[[#This Row],[Order_Date]]</f>
        <v>546</v>
      </c>
      <c r="Q158" s="2">
        <v>45814</v>
      </c>
      <c r="R158" s="2">
        <v>45699</v>
      </c>
      <c r="S158" s="6">
        <f t="shared" si="18"/>
        <v>2025</v>
      </c>
      <c r="T158" s="7" t="str">
        <f t="shared" si="19"/>
        <v>February</v>
      </c>
      <c r="U158" s="2">
        <f>WORKDAY(Table1[[#This Row],[Order_Date]],5)</f>
        <v>45706</v>
      </c>
      <c r="V158" s="7" t="str">
        <f>CONCATENATE(Table1[[#This Row],[Customer_ID]],Table1[[#This Row],[Customer_Name]])</f>
        <v>C1133Nitin Soni</v>
      </c>
      <c r="W158" t="s">
        <v>881</v>
      </c>
      <c r="X158" t="s">
        <v>144</v>
      </c>
      <c r="Y158">
        <f>COUNTA(Table1[[#This Row],[Customer_Name]])</f>
        <v>1</v>
      </c>
      <c r="Z158" t="str">
        <f>SUBSTITUTE(Table1[[#This Row],[Customer_Name]]," ","_")</f>
        <v>Nitin_Soni</v>
      </c>
      <c r="AA158" s="10" t="str">
        <f>IFERROR(SEARCH("a",Table1[[#This Row],[Customer_Name]]),"N/A")</f>
        <v>N/A</v>
      </c>
      <c r="AB158">
        <f>SEARCH(" ",Table1[[#This Row],[Customer_Name]])</f>
        <v>6</v>
      </c>
      <c r="AC158" s="11" t="str">
        <f>IFERROR(FIND("a",Table1[[#This Row],[Customer_Name]]),"N/A")</f>
        <v>N/A</v>
      </c>
      <c r="AD158">
        <f>FIND(" ",Table1[[#This Row],[Customer_Name]])</f>
        <v>6</v>
      </c>
      <c r="AE158" t="str">
        <f>TRIM(Table1[[#This Row],[Customer_Name]])</f>
        <v>Nitin Soni</v>
      </c>
      <c r="AF158">
        <f>LEN(Table1[[#This Row],[Trimmed]])</f>
        <v>10</v>
      </c>
      <c r="AG158">
        <f>MAX(Table1[Length])</f>
        <v>15</v>
      </c>
      <c r="AH158" t="str">
        <f>PROPER(Table1[[#This Row],[Customer_Name]])</f>
        <v>Nitin Soni</v>
      </c>
      <c r="AI158" t="str">
        <f>LOWER(Table1[[#This Row],[Customer_Name]])</f>
        <v>nitin soni</v>
      </c>
      <c r="AJ158" t="str">
        <f>UPPER(Table1[[#This Row],[Customer_Name]])</f>
        <v>NITIN SONI</v>
      </c>
      <c r="AK158" t="str">
        <f>CONCATENATE(Table1[[#This Row],[Customer_ID]],Table1[[#This Row],[Customer_Name]])</f>
        <v>C1133Nitin Soni</v>
      </c>
      <c r="AL158" t="s">
        <v>145</v>
      </c>
      <c r="AM158" t="s">
        <v>146</v>
      </c>
      <c r="AN158" t="s">
        <v>147</v>
      </c>
      <c r="AO158" t="s">
        <v>145</v>
      </c>
      <c r="AP158" t="s">
        <v>146</v>
      </c>
      <c r="AQ158" t="s">
        <v>304</v>
      </c>
      <c r="AR158" t="str">
        <f>TRIM(Table1[[#This Row],[City]])</f>
        <v>Chennai</v>
      </c>
      <c r="AS158" t="str">
        <f>PROPER(Table1[[#This Row],[City]])</f>
        <v>Chennai</v>
      </c>
      <c r="AT158" t="s">
        <v>305</v>
      </c>
      <c r="AU158" t="str">
        <f>CONCATENATE(Table1[[#This Row],[City]],Table1[[#This Row],[State]])</f>
        <v>ChennaiTamil Nadu</v>
      </c>
      <c r="AV158" t="s">
        <v>168</v>
      </c>
      <c r="AW158" t="s">
        <v>236</v>
      </c>
      <c r="AX158" t="str">
        <f>REPLACE(Table1[[#This Row],[Product_ID]],1,1,"s")</f>
        <v>s107</v>
      </c>
      <c r="AY158" t="s">
        <v>882</v>
      </c>
      <c r="AZ158">
        <f>SEARCH("-",Table1[[#This Row],[Product ID]])</f>
        <v>2</v>
      </c>
      <c r="BA158">
        <f>FIND("-",Table1[[#This Row],[Product ID]])</f>
        <v>2</v>
      </c>
      <c r="BB158" t="str">
        <f>MID(Table1[[#This Row],[Product_ID]],2,3)</f>
        <v>107</v>
      </c>
      <c r="BC158" t="str">
        <f>RIGHT(Table1[[#This Row],[Product_ID]],3)</f>
        <v>107</v>
      </c>
      <c r="BD158" t="str">
        <f>LEFT(Table1[[#This Row],[Product_ID]],3)</f>
        <v>P10</v>
      </c>
      <c r="BE158" t="str">
        <f>_xlfn.XLOOKUP(Table1[[#This Row],[Product_ID]],AW:AW,BF:BF,,0)</f>
        <v>Casual Sneakers</v>
      </c>
      <c r="BF158" t="s">
        <v>238</v>
      </c>
      <c r="BG158">
        <f>LEN(Table1[[#This Row],[Product_Name]])</f>
        <v>15</v>
      </c>
      <c r="BH158" t="s">
        <v>224</v>
      </c>
      <c r="BI158">
        <f t="shared" si="21"/>
        <v>75</v>
      </c>
      <c r="BJ158" t="str">
        <f>SUBSTITUTE(Table1[[#This Row],[Category]],"Electronics","ELECTRONICS")</f>
        <v>Fashion</v>
      </c>
      <c r="BN158" t="s">
        <v>225</v>
      </c>
      <c r="BS158" s="14">
        <v>1</v>
      </c>
      <c r="BT158" s="3">
        <v>2799</v>
      </c>
      <c r="BU158" s="4">
        <v>0</v>
      </c>
      <c r="BV158" s="4" t="str">
        <f>IF(AND(Table1[[#This Row],[Quantity]]&gt;=3,Table1[[#This Row],[Discount_%]]&gt;=15%),"Bulk Discount","no")</f>
        <v>no</v>
      </c>
      <c r="BW158" s="4" t="str">
        <f>IF(AND(Table1[[#This Row],[Quantity]]&gt;3,Table1[[#This Row],[Discount_%]]&gt;15%),"Bulk Customer","Normal")</f>
        <v>Normal</v>
      </c>
      <c r="BX158" t="s">
        <v>187</v>
      </c>
      <c r="BY158" t="s">
        <v>136</v>
      </c>
      <c r="CC158" t="str">
        <f>IF(OR(Table1[[#This Row],[Order_Status]]="Returned",Table1[[#This Row],[Order_Status]]="Cancelled"),"Attention Required","Not")</f>
        <v>Not</v>
      </c>
      <c r="CD158" t="str">
        <f>IF(OR(Table1[[#This Row],[Order_Status]]="Returned",Table1[[#This Row],[Order_Status]]="Cancelled"),"Review","no")</f>
        <v>no</v>
      </c>
      <c r="CE158" t="str">
        <f>SUBSTITUTE(Table1[[#This Row],[Order_Status]],"Delivered","Completed")</f>
        <v>Completed</v>
      </c>
      <c r="CF158" s="2">
        <v>45705</v>
      </c>
      <c r="CG158" s="17">
        <f>NETWORKDAYS(Table1[[#This Row],[Order_Date]],Table1[[#This Row],[Delivery_Date]])</f>
        <v>5</v>
      </c>
      <c r="CH158" s="17">
        <f>Table1[[#This Row],[Delivery_Date]]-Table1[[#This Row],[Order_Date]]</f>
        <v>6</v>
      </c>
      <c r="CI158" t="s">
        <v>137</v>
      </c>
      <c r="CJ158" t="str">
        <f>IF(Table1[[#This Row],[Rating]]&gt;=4,"Good","Needs Improvement")</f>
        <v>Needs Improvement</v>
      </c>
      <c r="CK158" t="str">
        <f>IF(OR(Table1[[#This Row],[Rating]]&lt;=2,Table1[[#This Row],[Profit]]&lt;0),"Review","NO")</f>
        <v>Review</v>
      </c>
      <c r="CL158" t="e" cm="1">
        <f t="array" ref="CL158">_xlfn.IFS(Table1[[#This Row],[Rating]]&gt;2,"Poor",Table1[[#This Row],[Rating]]=3,"Average",Table1[[#This Row],[Rating]]=4,"Good",CP158=5,"Excellent")</f>
        <v>#N/A</v>
      </c>
      <c r="CM158">
        <f>COUNT(Table1[[#This Row],[Rating]])</f>
        <v>0</v>
      </c>
      <c r="CN158">
        <f>COUNTBLANK(Table1[[#This Row],[Rating]])</f>
        <v>1</v>
      </c>
      <c r="CP158" t="s">
        <v>266</v>
      </c>
      <c r="CR158" t="s">
        <v>204</v>
      </c>
      <c r="CS158" t="s">
        <v>158</v>
      </c>
      <c r="CU158" s="3">
        <v>2799</v>
      </c>
      <c r="CV158" s="3">
        <f>ROUND(Table1[[#This Row],[Sales_Amount]],0)</f>
        <v>2799</v>
      </c>
      <c r="CW158" s="3"/>
      <c r="CX158" s="3"/>
      <c r="CY158" s="3" t="b">
        <f>IF(AND(Table1[[#This Row],[Sales_Amount]]&gt;=10000,Table1[[#This Row],[Profit]]&gt;0),"Good Order")</f>
        <v>0</v>
      </c>
      <c r="CZ158" s="3" t="str">
        <f>IF(Table1[[#This Row],[Sales_Amount]]&gt;=10000,"High","Normal")</f>
        <v>Normal</v>
      </c>
      <c r="DA158" s="3">
        <v>1299</v>
      </c>
      <c r="DB158" s="3">
        <f>ROUND(Table1[[#This Row],[Profit]],0)</f>
        <v>1299</v>
      </c>
      <c r="DC158" s="3">
        <f>ABS(Table1[[#This Row],[Profit]])</f>
        <v>1299</v>
      </c>
      <c r="DD158" s="3"/>
      <c r="DE158" s="3"/>
      <c r="DF158" s="3"/>
      <c r="DG158" s="3" t="str">
        <f>IF(Table1[[#This Row],[Profit]]&gt;0,"Profit","Loss")</f>
        <v>Profit</v>
      </c>
      <c r="DH158" s="3" t="str">
        <f>IF(AND(Table1[[#This Row],[Sales_Amount]]&gt;=10000,Table1[[#This Row],[Profit]]&gt;0),"Priority","Normal")</f>
        <v>Normal</v>
      </c>
      <c r="DI158" s="3">
        <f t="shared" ca="1" si="16"/>
        <v>8.3723718191620833E-2</v>
      </c>
      <c r="DJ158" s="3">
        <f t="shared" ca="1" si="17"/>
        <v>64</v>
      </c>
      <c r="DK158" s="3"/>
      <c r="DL158" s="3"/>
      <c r="DM158" s="3"/>
      <c r="DN158" s="3"/>
      <c r="DO158" s="3"/>
      <c r="DP158" s="3"/>
    </row>
    <row r="159" spans="1:120">
      <c r="A159" t="s">
        <v>883</v>
      </c>
      <c r="B159" t="str">
        <f>REPLACE(Table1[[#This Row],[Order_ID]],1,3,"YOO")</f>
        <v>YOO10158</v>
      </c>
      <c r="C159" t="str">
        <f>MID(Table1[[#This Row],[Order_ID]],4,4)</f>
        <v>1015</v>
      </c>
      <c r="D159" t="str">
        <f>LEFT(Table1[[#This Row],[Order_ID]],4)</f>
        <v>ORD1</v>
      </c>
      <c r="E159" t="str">
        <f>RIGHT(Table1[[#This Row],[Order_ID]],5)</f>
        <v>10158</v>
      </c>
      <c r="F159" t="s">
        <v>5</v>
      </c>
      <c r="G159">
        <v>10158</v>
      </c>
      <c r="H159" t="s">
        <v>884</v>
      </c>
      <c r="I159" s="2">
        <f>EDATE(Table1[[#This Row],[Order_Date]],3)</f>
        <v>46076</v>
      </c>
      <c r="J159" s="2">
        <f>EDATE(Table1[[#This Row],[Order_Date]],6)</f>
        <v>46165</v>
      </c>
      <c r="K159">
        <f ca="1">YEAR(Table1[[#This Row],[Today]])</f>
        <v>2026</v>
      </c>
      <c r="L159">
        <v>158</v>
      </c>
      <c r="M159">
        <f ca="1">DAY(Table1[[#This Row],[Today]])</f>
        <v>11</v>
      </c>
      <c r="N159" s="19">
        <f t="shared" ca="1" si="20"/>
        <v>46245.589795370368</v>
      </c>
      <c r="O159" s="2">
        <f t="shared" ca="1" si="15"/>
        <v>46245</v>
      </c>
      <c r="P159" s="17">
        <f ca="1">Table1[[#This Row],[Today]]-Table1[[#This Row],[Order_Date]]</f>
        <v>261</v>
      </c>
      <c r="Q159" s="2">
        <v>45815</v>
      </c>
      <c r="R159" s="2">
        <v>45984</v>
      </c>
      <c r="S159" s="6">
        <f t="shared" si="18"/>
        <v>2025</v>
      </c>
      <c r="T159" s="7" t="str">
        <f t="shared" si="19"/>
        <v>November</v>
      </c>
      <c r="U159" s="2">
        <f>WORKDAY(Table1[[#This Row],[Order_Date]],5)</f>
        <v>45989</v>
      </c>
      <c r="V159" s="7" t="str">
        <f>CONCATENATE(Table1[[#This Row],[Customer_ID]],Table1[[#This Row],[Customer_Name]])</f>
        <v>C1130Aditya Malhotra</v>
      </c>
      <c r="W159" t="s">
        <v>593</v>
      </c>
      <c r="X159" t="s">
        <v>257</v>
      </c>
      <c r="Y159">
        <f>COUNTA(Table1[[#This Row],[Customer_Name]])</f>
        <v>1</v>
      </c>
      <c r="Z159" t="str">
        <f>SUBSTITUTE(Table1[[#This Row],[Customer_Name]]," ","_")</f>
        <v>Aditya_Malhotra</v>
      </c>
      <c r="AA159" s="10">
        <f>IFERROR(SEARCH("a",Table1[[#This Row],[Customer_Name]]),"N/A")</f>
        <v>1</v>
      </c>
      <c r="AB159">
        <f>SEARCH(" ",Table1[[#This Row],[Customer_Name]])</f>
        <v>7</v>
      </c>
      <c r="AC159" s="11">
        <f>IFERROR(FIND("a",Table1[[#This Row],[Customer_Name]]),"N/A")</f>
        <v>6</v>
      </c>
      <c r="AD159">
        <f>FIND(" ",Table1[[#This Row],[Customer_Name]])</f>
        <v>7</v>
      </c>
      <c r="AE159" t="str">
        <f>TRIM(Table1[[#This Row],[Customer_Name]])</f>
        <v>Aditya Malhotra</v>
      </c>
      <c r="AF159">
        <f>LEN(Table1[[#This Row],[Trimmed]])</f>
        <v>15</v>
      </c>
      <c r="AG159">
        <f>MAX(Table1[Length])</f>
        <v>15</v>
      </c>
      <c r="AH159" t="str">
        <f>PROPER(Table1[[#This Row],[Customer_Name]])</f>
        <v>Aditya Malhotra</v>
      </c>
      <c r="AI159" t="str">
        <f>LOWER(Table1[[#This Row],[Customer_Name]])</f>
        <v>aditya malhotra</v>
      </c>
      <c r="AJ159" t="str">
        <f>UPPER(Table1[[#This Row],[Customer_Name]])</f>
        <v>ADITYA MALHOTRA</v>
      </c>
      <c r="AK159" t="str">
        <f>CONCATENATE(Table1[[#This Row],[Customer_ID]],Table1[[#This Row],[Customer_Name]])</f>
        <v>C1130Aditya Malhotra</v>
      </c>
      <c r="AL159" t="s">
        <v>258</v>
      </c>
      <c r="AM159" t="s">
        <v>259</v>
      </c>
      <c r="AN159" t="s">
        <v>260</v>
      </c>
      <c r="AO159" t="s">
        <v>258</v>
      </c>
      <c r="AP159" t="s">
        <v>259</v>
      </c>
      <c r="AQ159" t="s">
        <v>233</v>
      </c>
      <c r="AR159" t="str">
        <f>TRIM(Table1[[#This Row],[City]])</f>
        <v>Kolkata</v>
      </c>
      <c r="AS159" t="str">
        <f>PROPER(Table1[[#This Row],[City]])</f>
        <v>Kolkata</v>
      </c>
      <c r="AT159" t="s">
        <v>234</v>
      </c>
      <c r="AU159" t="str">
        <f>CONCATENATE(Table1[[#This Row],[City]],Table1[[#This Row],[State]])</f>
        <v>KolkataWest Bengal</v>
      </c>
      <c r="AV159" t="s">
        <v>235</v>
      </c>
      <c r="AW159" t="s">
        <v>221</v>
      </c>
      <c r="AX159" t="str">
        <f>REPLACE(Table1[[#This Row],[Product_ID]],1,1,"s")</f>
        <v>s106</v>
      </c>
      <c r="AY159" t="s">
        <v>885</v>
      </c>
      <c r="AZ159">
        <f>SEARCH("-",Table1[[#This Row],[Product ID]])</f>
        <v>2</v>
      </c>
      <c r="BA159">
        <f>FIND("-",Table1[[#This Row],[Product ID]])</f>
        <v>2</v>
      </c>
      <c r="BB159" t="str">
        <f>MID(Table1[[#This Row],[Product_ID]],2,3)</f>
        <v>106</v>
      </c>
      <c r="BC159" t="str">
        <f>RIGHT(Table1[[#This Row],[Product_ID]],3)</f>
        <v>106</v>
      </c>
      <c r="BD159" t="str">
        <f>LEFT(Table1[[#This Row],[Product_ID]],3)</f>
        <v>P10</v>
      </c>
      <c r="BE159" t="str">
        <f>_xlfn.XLOOKUP(Table1[[#This Row],[Product_ID]],AW:AW,BF:BF,,0)</f>
        <v>Running Shoes</v>
      </c>
      <c r="BF159" t="s">
        <v>223</v>
      </c>
      <c r="BG159">
        <f>LEN(Table1[[#This Row],[Product_Name]])</f>
        <v>13</v>
      </c>
      <c r="BH159" t="s">
        <v>224</v>
      </c>
      <c r="BI159">
        <f t="shared" si="21"/>
        <v>75</v>
      </c>
      <c r="BJ159" t="str">
        <f>SUBSTITUTE(Table1[[#This Row],[Category]],"Electronics","ELECTRONICS")</f>
        <v>Fashion</v>
      </c>
      <c r="BN159" t="s">
        <v>225</v>
      </c>
      <c r="BS159" s="14">
        <v>2</v>
      </c>
      <c r="BT159" s="3">
        <v>3499</v>
      </c>
      <c r="BU159" s="4">
        <v>20</v>
      </c>
      <c r="BV159" s="4" t="str">
        <f>IF(AND(Table1[[#This Row],[Quantity]]&gt;=3,Table1[[#This Row],[Discount_%]]&gt;=15%),"Bulk Discount","no")</f>
        <v>no</v>
      </c>
      <c r="BW159" s="4" t="str">
        <f>IF(AND(Table1[[#This Row],[Quantity]]&gt;3,Table1[[#This Row],[Discount_%]]&gt;15%),"Bulk Customer","Normal")</f>
        <v>Normal</v>
      </c>
      <c r="BX159" t="s">
        <v>135</v>
      </c>
      <c r="BY159" t="s">
        <v>156</v>
      </c>
      <c r="CC159" t="str">
        <f>IF(OR(Table1[[#This Row],[Order_Status]]="Returned",Table1[[#This Row],[Order_Status]]="Cancelled"),"Attention Required","Not")</f>
        <v>Attention Required</v>
      </c>
      <c r="CD159" t="str">
        <f>IF(OR(Table1[[#This Row],[Order_Status]]="Returned",Table1[[#This Row],[Order_Status]]="Cancelled"),"Review","no")</f>
        <v>Review</v>
      </c>
      <c r="CE159" t="str">
        <f>SUBSTITUTE(Table1[[#This Row],[Order_Status]],"Delivered","Completed")</f>
        <v>Cancelled</v>
      </c>
      <c r="CF159" s="2">
        <v>45989</v>
      </c>
      <c r="CG159" s="17">
        <f>NETWORKDAYS(Table1[[#This Row],[Order_Date]],Table1[[#This Row],[Delivery_Date]])</f>
        <v>5</v>
      </c>
      <c r="CH159" s="17">
        <f>Table1[[#This Row],[Delivery_Date]]-Table1[[#This Row],[Order_Date]]</f>
        <v>5</v>
      </c>
      <c r="CI159" t="s">
        <v>137</v>
      </c>
      <c r="CJ159" t="str">
        <f>IF(Table1[[#This Row],[Rating]]&gt;=4,"Good","Needs Improvement")</f>
        <v>Good</v>
      </c>
      <c r="CK159" t="str">
        <f>IF(OR(Table1[[#This Row],[Rating]]&lt;=2,Table1[[#This Row],[Profit]]&lt;0),"Review","NO")</f>
        <v>NO</v>
      </c>
      <c r="CL159" t="str" cm="1">
        <f t="array" ref="CL159">_xlfn.IFS(Table1[[#This Row],[Rating]]&gt;2,"Poor",Table1[[#This Row],[Rating]]=3,"Average",Table1[[#This Row],[Rating]]=4,"Good",CP159=5,"Excellent")</f>
        <v>Poor</v>
      </c>
      <c r="CM159">
        <f>COUNT(Table1[[#This Row],[Rating]])</f>
        <v>1</v>
      </c>
      <c r="CN159">
        <f>COUNTBLANK(Table1[[#This Row],[Rating]])</f>
        <v>0</v>
      </c>
      <c r="CP159" t="s">
        <v>138</v>
      </c>
      <c r="CQ159" s="14">
        <v>5</v>
      </c>
      <c r="CR159" t="s">
        <v>204</v>
      </c>
      <c r="CS159" t="s">
        <v>174</v>
      </c>
      <c r="CU159" s="3">
        <v>5598.4</v>
      </c>
      <c r="CV159" s="3">
        <f>ROUND(Table1[[#This Row],[Sales_Amount]],0)</f>
        <v>5598</v>
      </c>
      <c r="CW159" s="3"/>
      <c r="CX159" s="3"/>
      <c r="CY159" s="3" t="b">
        <f>IF(AND(Table1[[#This Row],[Sales_Amount]]&gt;=10000,Table1[[#This Row],[Profit]]&gt;0),"Good Order")</f>
        <v>0</v>
      </c>
      <c r="CZ159" s="3" t="str">
        <f>IF(Table1[[#This Row],[Sales_Amount]]&gt;=10000,"High","Normal")</f>
        <v>Normal</v>
      </c>
      <c r="DA159" s="3">
        <v>1798.4</v>
      </c>
      <c r="DB159" s="3">
        <f>ROUND(Table1[[#This Row],[Profit]],0)</f>
        <v>1798</v>
      </c>
      <c r="DC159" s="3">
        <f>ABS(Table1[[#This Row],[Profit]])</f>
        <v>1798.4</v>
      </c>
      <c r="DD159" s="3"/>
      <c r="DE159" s="3"/>
      <c r="DF159" s="3"/>
      <c r="DG159" s="3" t="str">
        <f>IF(Table1[[#This Row],[Profit]]&gt;0,"Profit","Loss")</f>
        <v>Profit</v>
      </c>
      <c r="DH159" s="3" t="str">
        <f>IF(AND(Table1[[#This Row],[Sales_Amount]]&gt;=10000,Table1[[#This Row],[Profit]]&gt;0),"Priority","Normal")</f>
        <v>Normal</v>
      </c>
      <c r="DI159" s="3">
        <f t="shared" ca="1" si="16"/>
        <v>0.93497680956637252</v>
      </c>
      <c r="DJ159" s="3">
        <f t="shared" ca="1" si="17"/>
        <v>9</v>
      </c>
      <c r="DK159" s="3"/>
      <c r="DL159" s="3"/>
      <c r="DM159" s="3"/>
      <c r="DN159" s="3"/>
      <c r="DO159" s="3"/>
      <c r="DP159" s="3"/>
    </row>
    <row r="160" spans="1:120">
      <c r="A160" t="s">
        <v>886</v>
      </c>
      <c r="B160" t="str">
        <f>REPLACE(Table1[[#This Row],[Order_ID]],1,3,"YOO")</f>
        <v>YOO10159</v>
      </c>
      <c r="C160" t="str">
        <f>MID(Table1[[#This Row],[Order_ID]],4,4)</f>
        <v>1015</v>
      </c>
      <c r="D160" t="str">
        <f>LEFT(Table1[[#This Row],[Order_ID]],4)</f>
        <v>ORD1</v>
      </c>
      <c r="E160" t="str">
        <f>RIGHT(Table1[[#This Row],[Order_ID]],5)</f>
        <v>10159</v>
      </c>
      <c r="F160" t="s">
        <v>5</v>
      </c>
      <c r="G160">
        <v>10159</v>
      </c>
      <c r="H160" t="s">
        <v>887</v>
      </c>
      <c r="I160" s="2">
        <f>EDATE(Table1[[#This Row],[Order_Date]],3)</f>
        <v>45765</v>
      </c>
      <c r="J160" s="2">
        <f>EDATE(Table1[[#This Row],[Order_Date]],6)</f>
        <v>45856</v>
      </c>
      <c r="K160">
        <f ca="1">YEAR(Table1[[#This Row],[Today]])</f>
        <v>2026</v>
      </c>
      <c r="L160">
        <v>159</v>
      </c>
      <c r="M160">
        <f ca="1">DAY(Table1[[#This Row],[Today]])</f>
        <v>11</v>
      </c>
      <c r="N160" s="19">
        <f t="shared" ca="1" si="20"/>
        <v>46245.589795370368</v>
      </c>
      <c r="O160" s="2">
        <f t="shared" ca="1" si="15"/>
        <v>46245</v>
      </c>
      <c r="P160" s="17">
        <f ca="1">Table1[[#This Row],[Today]]-Table1[[#This Row],[Order_Date]]</f>
        <v>570</v>
      </c>
      <c r="Q160" s="2">
        <v>45816</v>
      </c>
      <c r="R160" s="2">
        <v>45675</v>
      </c>
      <c r="S160" s="6">
        <f t="shared" si="18"/>
        <v>2025</v>
      </c>
      <c r="T160" s="7" t="str">
        <f t="shared" si="19"/>
        <v>January</v>
      </c>
      <c r="U160" s="2">
        <f>WORKDAY(Table1[[#This Row],[Order_Date]],5)</f>
        <v>45681</v>
      </c>
      <c r="V160" s="7" t="str">
        <f>CONCATENATE(Table1[[#This Row],[Customer_ID]],Table1[[#This Row],[Customer_Name]])</f>
        <v>C1150Pooja Jain</v>
      </c>
      <c r="W160" t="s">
        <v>888</v>
      </c>
      <c r="X160" t="s">
        <v>419</v>
      </c>
      <c r="Y160">
        <f>COUNTA(Table1[[#This Row],[Customer_Name]])</f>
        <v>1</v>
      </c>
      <c r="Z160" t="str">
        <f>SUBSTITUTE(Table1[[#This Row],[Customer_Name]]," ","_")</f>
        <v>Pooja_Jain</v>
      </c>
      <c r="AA160" s="10">
        <f>IFERROR(SEARCH("a",Table1[[#This Row],[Customer_Name]]),"N/A")</f>
        <v>5</v>
      </c>
      <c r="AB160">
        <f>SEARCH(" ",Table1[[#This Row],[Customer_Name]])</f>
        <v>6</v>
      </c>
      <c r="AC160" s="11">
        <f>IFERROR(FIND("a",Table1[[#This Row],[Customer_Name]]),"N/A")</f>
        <v>5</v>
      </c>
      <c r="AD160">
        <f>FIND(" ",Table1[[#This Row],[Customer_Name]])</f>
        <v>6</v>
      </c>
      <c r="AE160" t="str">
        <f>TRIM(Table1[[#This Row],[Customer_Name]])</f>
        <v>Pooja Jain</v>
      </c>
      <c r="AF160">
        <f>LEN(Table1[[#This Row],[Trimmed]])</f>
        <v>10</v>
      </c>
      <c r="AG160">
        <f>MAX(Table1[Length])</f>
        <v>15</v>
      </c>
      <c r="AH160" t="str">
        <f>PROPER(Table1[[#This Row],[Customer_Name]])</f>
        <v>Pooja Jain</v>
      </c>
      <c r="AI160" t="str">
        <f>LOWER(Table1[[#This Row],[Customer_Name]])</f>
        <v>pooja jain</v>
      </c>
      <c r="AJ160" t="str">
        <f>UPPER(Table1[[#This Row],[Customer_Name]])</f>
        <v>POOJA JAIN</v>
      </c>
      <c r="AK160" t="str">
        <f>CONCATENATE(Table1[[#This Row],[Customer_ID]],Table1[[#This Row],[Customer_Name]])</f>
        <v>C1150Pooja Jain</v>
      </c>
      <c r="AL160" t="s">
        <v>420</v>
      </c>
      <c r="AM160" t="s">
        <v>421</v>
      </c>
      <c r="AN160" t="s">
        <v>422</v>
      </c>
      <c r="AO160" t="s">
        <v>420</v>
      </c>
      <c r="AP160" t="s">
        <v>421</v>
      </c>
      <c r="AQ160" t="s">
        <v>284</v>
      </c>
      <c r="AR160" t="str">
        <f>TRIM(Table1[[#This Row],[City]])</f>
        <v>Hyderabad</v>
      </c>
      <c r="AS160" t="str">
        <f>PROPER(Table1[[#This Row],[City]])</f>
        <v>Hyderabad</v>
      </c>
      <c r="AT160" t="s">
        <v>285</v>
      </c>
      <c r="AU160" t="str">
        <f>CONCATENATE(Table1[[#This Row],[City]],Table1[[#This Row],[State]])</f>
        <v>HyderabadTelangana</v>
      </c>
      <c r="AV160" t="s">
        <v>168</v>
      </c>
      <c r="AW160" t="s">
        <v>183</v>
      </c>
      <c r="AX160" t="str">
        <f>REPLACE(Table1[[#This Row],[Product_ID]],1,1,"s")</f>
        <v>s105</v>
      </c>
      <c r="AY160" t="s">
        <v>889</v>
      </c>
      <c r="AZ160">
        <f>SEARCH("-",Table1[[#This Row],[Product ID]])</f>
        <v>2</v>
      </c>
      <c r="BA160">
        <f>FIND("-",Table1[[#This Row],[Product ID]])</f>
        <v>2</v>
      </c>
      <c r="BB160" t="str">
        <f>MID(Table1[[#This Row],[Product_ID]],2,3)</f>
        <v>105</v>
      </c>
      <c r="BC160" t="str">
        <f>RIGHT(Table1[[#This Row],[Product_ID]],3)</f>
        <v>105</v>
      </c>
      <c r="BD160" t="str">
        <f>LEFT(Table1[[#This Row],[Product_ID]],3)</f>
        <v>P10</v>
      </c>
      <c r="BE160" t="str">
        <f>_xlfn.XLOOKUP(Table1[[#This Row],[Product_ID]],AW:AW,BF:BF,,0)</f>
        <v>Bluetooth Speaker</v>
      </c>
      <c r="BF160" t="s">
        <v>185</v>
      </c>
      <c r="BG160">
        <f>LEN(Table1[[#This Row],[Product_Name]])</f>
        <v>17</v>
      </c>
      <c r="BH160" t="s">
        <v>154</v>
      </c>
      <c r="BI160">
        <f t="shared" si="21"/>
        <v>75</v>
      </c>
      <c r="BJ160" t="str">
        <f>SUBSTITUTE(Table1[[#This Row],[Category]],"Electronics","ELECTRONICS")</f>
        <v>ELECTRONICS</v>
      </c>
      <c r="BN160" t="s">
        <v>186</v>
      </c>
      <c r="BS160" s="14">
        <v>3</v>
      </c>
      <c r="BT160" s="3">
        <v>2999</v>
      </c>
      <c r="BU160" s="4">
        <v>15</v>
      </c>
      <c r="BV160" s="4" t="str">
        <f>IF(AND(Table1[[#This Row],[Quantity]]&gt;=3,Table1[[#This Row],[Discount_%]]&gt;=15%),"Bulk Discount","no")</f>
        <v>Bulk Discount</v>
      </c>
      <c r="BW160" s="4" t="str">
        <f>IF(AND(Table1[[#This Row],[Quantity]]&gt;3,Table1[[#This Row],[Discount_%]]&gt;15%),"Bulk Customer","Normal")</f>
        <v>Normal</v>
      </c>
      <c r="BX160" t="s">
        <v>172</v>
      </c>
      <c r="BY160" t="s">
        <v>374</v>
      </c>
      <c r="CC160" t="str">
        <f>IF(OR(Table1[[#This Row],[Order_Status]]="Returned",Table1[[#This Row],[Order_Status]]="Cancelled"),"Attention Required","Not")</f>
        <v>Attention Required</v>
      </c>
      <c r="CD160" t="str">
        <f>IF(OR(Table1[[#This Row],[Order_Status]]="Returned",Table1[[#This Row],[Order_Status]]="Cancelled"),"Review","no")</f>
        <v>Review</v>
      </c>
      <c r="CE160" t="str">
        <f>SUBSTITUTE(Table1[[#This Row],[Order_Status]],"Delivered","Completed")</f>
        <v>Returned</v>
      </c>
      <c r="CF160" s="2">
        <v>45677</v>
      </c>
      <c r="CG160" s="17">
        <f>NETWORKDAYS(Table1[[#This Row],[Order_Date]],Table1[[#This Row],[Delivery_Date]])</f>
        <v>1</v>
      </c>
      <c r="CH160" s="17">
        <f>Table1[[#This Row],[Delivery_Date]]-Table1[[#This Row],[Order_Date]]</f>
        <v>2</v>
      </c>
      <c r="CI160" t="s">
        <v>375</v>
      </c>
      <c r="CJ160" t="str">
        <f>IF(Table1[[#This Row],[Rating]]&gt;=4,"Good","Needs Improvement")</f>
        <v>Good</v>
      </c>
      <c r="CK160" t="str">
        <f>IF(OR(Table1[[#This Row],[Rating]]&lt;=2,Table1[[#This Row],[Profit]]&lt;0),"Review","NO")</f>
        <v>NO</v>
      </c>
      <c r="CL160" t="str" cm="1">
        <f t="array" ref="CL160">_xlfn.IFS(Table1[[#This Row],[Rating]]&gt;2,"Poor",Table1[[#This Row],[Rating]]=3,"Average",Table1[[#This Row],[Rating]]=4,"Good",CP160=5,"Excellent")</f>
        <v>Poor</v>
      </c>
      <c r="CM160">
        <f>COUNT(Table1[[#This Row],[Rating]])</f>
        <v>1</v>
      </c>
      <c r="CN160">
        <f>COUNTBLANK(Table1[[#This Row],[Rating]])</f>
        <v>0</v>
      </c>
      <c r="CP160" t="s">
        <v>266</v>
      </c>
      <c r="CQ160" s="14">
        <v>5</v>
      </c>
      <c r="CR160" t="s">
        <v>173</v>
      </c>
      <c r="CS160" t="s">
        <v>195</v>
      </c>
      <c r="CU160" s="3">
        <v>7647.45</v>
      </c>
      <c r="CV160" s="3">
        <f>ROUND(Table1[[#This Row],[Sales_Amount]],0)</f>
        <v>7647</v>
      </c>
      <c r="CW160" s="3"/>
      <c r="CX160" s="3"/>
      <c r="CY160" s="3" t="b">
        <f>IF(AND(Table1[[#This Row],[Sales_Amount]]&gt;=10000,Table1[[#This Row],[Profit]]&gt;0),"Good Order")</f>
        <v>0</v>
      </c>
      <c r="CZ160" s="3" t="str">
        <f>IF(Table1[[#This Row],[Sales_Amount]]&gt;=10000,"High","Normal")</f>
        <v>Normal</v>
      </c>
      <c r="DA160" s="3">
        <v>2397.4499999999998</v>
      </c>
      <c r="DB160" s="3">
        <f>ROUND(Table1[[#This Row],[Profit]],0)</f>
        <v>2397</v>
      </c>
      <c r="DC160" s="3">
        <f>ABS(Table1[[#This Row],[Profit]])</f>
        <v>2397.4499999999998</v>
      </c>
      <c r="DD160" s="3"/>
      <c r="DE160" s="3"/>
      <c r="DF160" s="3"/>
      <c r="DG160" s="3" t="str">
        <f>IF(Table1[[#This Row],[Profit]]&gt;0,"Profit","Loss")</f>
        <v>Profit</v>
      </c>
      <c r="DH160" s="3" t="str">
        <f>IF(AND(Table1[[#This Row],[Sales_Amount]]&gt;=10000,Table1[[#This Row],[Profit]]&gt;0),"Priority","Normal")</f>
        <v>Normal</v>
      </c>
      <c r="DI160" s="3">
        <f t="shared" ca="1" si="16"/>
        <v>0.7655546625263786</v>
      </c>
      <c r="DJ160" s="3">
        <f t="shared" ca="1" si="17"/>
        <v>68</v>
      </c>
      <c r="DK160" s="3"/>
      <c r="DL160" s="3"/>
      <c r="DM160" s="3"/>
      <c r="DN160" s="3"/>
      <c r="DO160" s="3"/>
      <c r="DP160" s="3"/>
    </row>
    <row r="161" spans="1:120">
      <c r="A161" t="s">
        <v>890</v>
      </c>
      <c r="B161" t="str">
        <f>REPLACE(Table1[[#This Row],[Order_ID]],1,3,"YOO")</f>
        <v>YOO10160</v>
      </c>
      <c r="C161" t="str">
        <f>MID(Table1[[#This Row],[Order_ID]],4,4)</f>
        <v>1016</v>
      </c>
      <c r="D161" t="str">
        <f>LEFT(Table1[[#This Row],[Order_ID]],4)</f>
        <v>ORD1</v>
      </c>
      <c r="E161" t="str">
        <f>RIGHT(Table1[[#This Row],[Order_ID]],5)</f>
        <v>10160</v>
      </c>
      <c r="F161" t="s">
        <v>5</v>
      </c>
      <c r="G161">
        <v>10160</v>
      </c>
      <c r="H161" t="s">
        <v>891</v>
      </c>
      <c r="I161" s="2">
        <f>EDATE(Table1[[#This Row],[Order_Date]],3)</f>
        <v>45983</v>
      </c>
      <c r="J161" s="2">
        <f>EDATE(Table1[[#This Row],[Order_Date]],6)</f>
        <v>46075</v>
      </c>
      <c r="K161">
        <f ca="1">YEAR(Table1[[#This Row],[Today]])</f>
        <v>2026</v>
      </c>
      <c r="L161">
        <v>160</v>
      </c>
      <c r="M161">
        <f ca="1">DAY(Table1[[#This Row],[Today]])</f>
        <v>11</v>
      </c>
      <c r="N161" s="19">
        <f t="shared" ca="1" si="20"/>
        <v>46245.589795138891</v>
      </c>
      <c r="O161" s="2">
        <f t="shared" ca="1" si="15"/>
        <v>46245</v>
      </c>
      <c r="P161" s="17">
        <f ca="1">Table1[[#This Row],[Today]]-Table1[[#This Row],[Order_Date]]</f>
        <v>354</v>
      </c>
      <c r="Q161" s="2">
        <v>45817</v>
      </c>
      <c r="R161" s="2">
        <v>45891</v>
      </c>
      <c r="S161" s="6">
        <f t="shared" si="18"/>
        <v>2025</v>
      </c>
      <c r="T161" s="7" t="str">
        <f t="shared" si="19"/>
        <v>August</v>
      </c>
      <c r="U161" s="2">
        <f>WORKDAY(Table1[[#This Row],[Order_Date]],5)</f>
        <v>45898</v>
      </c>
      <c r="V161" s="7" t="str">
        <f>CONCATENATE(Table1[[#This Row],[Customer_ID]],Table1[[#This Row],[Customer_Name]])</f>
        <v>C1063Priya Verma</v>
      </c>
      <c r="W161" t="s">
        <v>589</v>
      </c>
      <c r="X161" t="s">
        <v>335</v>
      </c>
      <c r="Y161">
        <f>COUNTA(Table1[[#This Row],[Customer_Name]])</f>
        <v>1</v>
      </c>
      <c r="Z161" t="str">
        <f>SUBSTITUTE(Table1[[#This Row],[Customer_Name]]," ","_")</f>
        <v>Priya_Verma</v>
      </c>
      <c r="AA161" s="10">
        <f>IFERROR(SEARCH("a",Table1[[#This Row],[Customer_Name]]),"N/A")</f>
        <v>5</v>
      </c>
      <c r="AB161">
        <f>SEARCH(" ",Table1[[#This Row],[Customer_Name]])</f>
        <v>6</v>
      </c>
      <c r="AC161" s="11">
        <f>IFERROR(FIND("a",Table1[[#This Row],[Customer_Name]]),"N/A")</f>
        <v>5</v>
      </c>
      <c r="AD161">
        <f>FIND(" ",Table1[[#This Row],[Customer_Name]])</f>
        <v>6</v>
      </c>
      <c r="AE161" t="str">
        <f>TRIM(Table1[[#This Row],[Customer_Name]])</f>
        <v>Priya Verma</v>
      </c>
      <c r="AF161">
        <f>LEN(Table1[[#This Row],[Trimmed]])</f>
        <v>11</v>
      </c>
      <c r="AG161">
        <f>MAX(Table1[Length])</f>
        <v>15</v>
      </c>
      <c r="AH161" t="str">
        <f>PROPER(Table1[[#This Row],[Customer_Name]])</f>
        <v>Priya Verma</v>
      </c>
      <c r="AI161" t="str">
        <f>LOWER(Table1[[#This Row],[Customer_Name]])</f>
        <v>priya verma</v>
      </c>
      <c r="AJ161" t="str">
        <f>UPPER(Table1[[#This Row],[Customer_Name]])</f>
        <v>PRIYA VERMA</v>
      </c>
      <c r="AK161" t="str">
        <f>CONCATENATE(Table1[[#This Row],[Customer_ID]],Table1[[#This Row],[Customer_Name]])</f>
        <v>C1063Priya Verma</v>
      </c>
      <c r="AL161" t="s">
        <v>174</v>
      </c>
      <c r="AM161" t="s">
        <v>336</v>
      </c>
      <c r="AN161" t="s">
        <v>337</v>
      </c>
      <c r="AO161" t="s">
        <v>174</v>
      </c>
      <c r="AP161" t="s">
        <v>336</v>
      </c>
      <c r="AQ161" t="s">
        <v>233</v>
      </c>
      <c r="AR161" t="str">
        <f>TRIM(Table1[[#This Row],[City]])</f>
        <v>Kolkata</v>
      </c>
      <c r="AS161" t="str">
        <f>PROPER(Table1[[#This Row],[City]])</f>
        <v>Kolkata</v>
      </c>
      <c r="AT161" t="s">
        <v>234</v>
      </c>
      <c r="AU161" t="str">
        <f>CONCATENATE(Table1[[#This Row],[City]],Table1[[#This Row],[State]])</f>
        <v>KolkataWest Bengal</v>
      </c>
      <c r="AV161" t="s">
        <v>235</v>
      </c>
      <c r="AW161" t="s">
        <v>130</v>
      </c>
      <c r="AX161" t="str">
        <f>REPLACE(Table1[[#This Row],[Product_ID]],1,1,"s")</f>
        <v>s111</v>
      </c>
      <c r="AY161" t="s">
        <v>892</v>
      </c>
      <c r="AZ161">
        <f>SEARCH("-",Table1[[#This Row],[Product ID]])</f>
        <v>2</v>
      </c>
      <c r="BA161">
        <f>FIND("-",Table1[[#This Row],[Product ID]])</f>
        <v>2</v>
      </c>
      <c r="BB161" t="str">
        <f>MID(Table1[[#This Row],[Product_ID]],2,3)</f>
        <v>111</v>
      </c>
      <c r="BC161" t="str">
        <f>RIGHT(Table1[[#This Row],[Product_ID]],3)</f>
        <v>111</v>
      </c>
      <c r="BD161" t="str">
        <f>LEFT(Table1[[#This Row],[Product_ID]],3)</f>
        <v>P11</v>
      </c>
      <c r="BE161" t="str">
        <f>_xlfn.XLOOKUP(Table1[[#This Row],[Product_ID]],AW:AW,BF:BF,,0)</f>
        <v>Coffee Maker</v>
      </c>
      <c r="BF161" t="s">
        <v>132</v>
      </c>
      <c r="BG161">
        <f>LEN(Table1[[#This Row],[Product_Name]])</f>
        <v>12</v>
      </c>
      <c r="BH161" t="s">
        <v>133</v>
      </c>
      <c r="BI161">
        <f t="shared" si="21"/>
        <v>75</v>
      </c>
      <c r="BJ161" t="str">
        <f>SUBSTITUTE(Table1[[#This Row],[Category]],"Electronics","ELECTRONICS")</f>
        <v>Home</v>
      </c>
      <c r="BN161" t="s">
        <v>134</v>
      </c>
      <c r="BS161" s="14">
        <v>1</v>
      </c>
      <c r="BT161" s="3">
        <v>3999</v>
      </c>
      <c r="BU161" s="4">
        <v>25</v>
      </c>
      <c r="BV161" s="4" t="str">
        <f>IF(AND(Table1[[#This Row],[Quantity]]&gt;=3,Table1[[#This Row],[Discount_%]]&gt;=15%),"Bulk Discount","no")</f>
        <v>no</v>
      </c>
      <c r="BW161" s="4" t="str">
        <f>IF(AND(Table1[[#This Row],[Quantity]]&gt;3,Table1[[#This Row],[Discount_%]]&gt;15%),"Bulk Customer","Normal")</f>
        <v>Normal</v>
      </c>
      <c r="BX161" t="s">
        <v>135</v>
      </c>
      <c r="BY161" t="s">
        <v>136</v>
      </c>
      <c r="CC161" t="str">
        <f>IF(OR(Table1[[#This Row],[Order_Status]]="Returned",Table1[[#This Row],[Order_Status]]="Cancelled"),"Attention Required","Not")</f>
        <v>Not</v>
      </c>
      <c r="CD161" t="str">
        <f>IF(OR(Table1[[#This Row],[Order_Status]]="Returned",Table1[[#This Row],[Order_Status]]="Cancelled"),"Review","no")</f>
        <v>no</v>
      </c>
      <c r="CE161" t="str">
        <f>SUBSTITUTE(Table1[[#This Row],[Order_Status]],"Delivered","Completed")</f>
        <v>Completed</v>
      </c>
      <c r="CF161" s="2">
        <v>45898</v>
      </c>
      <c r="CG161" s="17">
        <f>NETWORKDAYS(Table1[[#This Row],[Order_Date]],Table1[[#This Row],[Delivery_Date]])</f>
        <v>6</v>
      </c>
      <c r="CH161" s="17">
        <f>Table1[[#This Row],[Delivery_Date]]-Table1[[#This Row],[Order_Date]]</f>
        <v>7</v>
      </c>
      <c r="CI161" t="s">
        <v>137</v>
      </c>
      <c r="CJ161" t="str">
        <f>IF(Table1[[#This Row],[Rating]]&gt;=4,"Good","Needs Improvement")</f>
        <v>Needs Improvement</v>
      </c>
      <c r="CK161" t="str">
        <f>IF(OR(Table1[[#This Row],[Rating]]&lt;=2,Table1[[#This Row],[Profit]]&lt;0),"Review","NO")</f>
        <v>NO</v>
      </c>
      <c r="CL161" t="str" cm="1">
        <f t="array" ref="CL161">_xlfn.IFS(Table1[[#This Row],[Rating]]&gt;2,"Poor",Table1[[#This Row],[Rating]]=3,"Average",Table1[[#This Row],[Rating]]=4,"Good",CP161=5,"Excellent")</f>
        <v>Poor</v>
      </c>
      <c r="CM161">
        <f>COUNT(Table1[[#This Row],[Rating]])</f>
        <v>1</v>
      </c>
      <c r="CN161">
        <f>COUNTBLANK(Table1[[#This Row],[Rating]])</f>
        <v>0</v>
      </c>
      <c r="CQ161" s="14">
        <v>3</v>
      </c>
      <c r="CR161" t="s">
        <v>139</v>
      </c>
      <c r="CS161" t="s">
        <v>158</v>
      </c>
      <c r="CU161" s="3">
        <v>2999.25</v>
      </c>
      <c r="CV161" s="3">
        <f>ROUND(Table1[[#This Row],[Sales_Amount]],0)</f>
        <v>2999</v>
      </c>
      <c r="CW161" s="3"/>
      <c r="CX161" s="3"/>
      <c r="CY161" s="3" t="b">
        <f>IF(AND(Table1[[#This Row],[Sales_Amount]]&gt;=10000,Table1[[#This Row],[Profit]]&gt;0),"Good Order")</f>
        <v>0</v>
      </c>
      <c r="CZ161" s="3" t="str">
        <f>IF(Table1[[#This Row],[Sales_Amount]]&gt;=10000,"High","Normal")</f>
        <v>Normal</v>
      </c>
      <c r="DA161" s="3">
        <v>499.25</v>
      </c>
      <c r="DB161" s="3">
        <f>ROUND(Table1[[#This Row],[Profit]],0)</f>
        <v>499</v>
      </c>
      <c r="DC161" s="3">
        <f>ABS(Table1[[#This Row],[Profit]])</f>
        <v>499.25</v>
      </c>
      <c r="DD161" s="3"/>
      <c r="DE161" s="3"/>
      <c r="DF161" s="3"/>
      <c r="DG161" s="3" t="str">
        <f>IF(Table1[[#This Row],[Profit]]&gt;0,"Profit","Loss")</f>
        <v>Profit</v>
      </c>
      <c r="DH161" s="3" t="str">
        <f>IF(AND(Table1[[#This Row],[Sales_Amount]]&gt;=10000,Table1[[#This Row],[Profit]]&gt;0),"Priority","Normal")</f>
        <v>Normal</v>
      </c>
      <c r="DI161" s="3">
        <f t="shared" ca="1" si="16"/>
        <v>0.55518927668197959</v>
      </c>
      <c r="DJ161" s="3">
        <f t="shared" ca="1" si="17"/>
        <v>44</v>
      </c>
      <c r="DK161" s="3"/>
      <c r="DL161" s="3"/>
      <c r="DM161" s="3"/>
      <c r="DN161" s="3"/>
      <c r="DO161" s="3"/>
      <c r="DP161" s="3"/>
    </row>
    <row r="162" spans="1:120">
      <c r="A162" t="s">
        <v>893</v>
      </c>
      <c r="B162" t="str">
        <f>REPLACE(Table1[[#This Row],[Order_ID]],1,3,"YOO")</f>
        <v>YOO10161</v>
      </c>
      <c r="C162" t="str">
        <f>MID(Table1[[#This Row],[Order_ID]],4,4)</f>
        <v>1016</v>
      </c>
      <c r="D162" t="str">
        <f>LEFT(Table1[[#This Row],[Order_ID]],4)</f>
        <v>ORD1</v>
      </c>
      <c r="E162" t="str">
        <f>RIGHT(Table1[[#This Row],[Order_ID]],5)</f>
        <v>10161</v>
      </c>
      <c r="F162" t="s">
        <v>5</v>
      </c>
      <c r="G162">
        <v>10161</v>
      </c>
      <c r="H162" t="s">
        <v>894</v>
      </c>
      <c r="I162" s="2">
        <f>EDATE(Table1[[#This Row],[Order_Date]],3)</f>
        <v>46071</v>
      </c>
      <c r="J162" s="2">
        <f>EDATE(Table1[[#This Row],[Order_Date]],6)</f>
        <v>46160</v>
      </c>
      <c r="K162">
        <f ca="1">YEAR(Table1[[#This Row],[Today]])</f>
        <v>2026</v>
      </c>
      <c r="L162">
        <v>161</v>
      </c>
      <c r="M162">
        <f ca="1">DAY(Table1[[#This Row],[Today]])</f>
        <v>11</v>
      </c>
      <c r="N162" s="19">
        <f t="shared" ca="1" si="20"/>
        <v>46245.589795370368</v>
      </c>
      <c r="O162" s="2">
        <f t="shared" ca="1" si="15"/>
        <v>46245</v>
      </c>
      <c r="P162" s="17">
        <f ca="1">Table1[[#This Row],[Today]]-Table1[[#This Row],[Order_Date]]</f>
        <v>266</v>
      </c>
      <c r="Q162" s="2">
        <v>45818</v>
      </c>
      <c r="R162" s="2">
        <v>45979</v>
      </c>
      <c r="S162" s="6">
        <f t="shared" si="18"/>
        <v>2025</v>
      </c>
      <c r="T162" s="7" t="str">
        <f t="shared" si="19"/>
        <v>November</v>
      </c>
      <c r="U162" s="2">
        <f>WORKDAY(Table1[[#This Row],[Order_Date]],5)</f>
        <v>45986</v>
      </c>
      <c r="V162" s="7" t="str">
        <f>CONCATENATE(Table1[[#This Row],[Customer_ID]],Table1[[#This Row],[Customer_Name]])</f>
        <v>C1129Meera Nair</v>
      </c>
      <c r="W162" t="s">
        <v>850</v>
      </c>
      <c r="X162" t="s">
        <v>429</v>
      </c>
      <c r="Y162">
        <f>COUNTA(Table1[[#This Row],[Customer_Name]])</f>
        <v>1</v>
      </c>
      <c r="Z162" t="str">
        <f>SUBSTITUTE(Table1[[#This Row],[Customer_Name]]," ","_")</f>
        <v>Meera_Nair</v>
      </c>
      <c r="AA162" s="10">
        <f>IFERROR(SEARCH("a",Table1[[#This Row],[Customer_Name]]),"N/A")</f>
        <v>5</v>
      </c>
      <c r="AB162">
        <f>SEARCH(" ",Table1[[#This Row],[Customer_Name]])</f>
        <v>6</v>
      </c>
      <c r="AC162" s="11">
        <f>IFERROR(FIND("a",Table1[[#This Row],[Customer_Name]]),"N/A")</f>
        <v>5</v>
      </c>
      <c r="AD162">
        <f>FIND(" ",Table1[[#This Row],[Customer_Name]])</f>
        <v>6</v>
      </c>
      <c r="AE162" t="str">
        <f>TRIM(Table1[[#This Row],[Customer_Name]])</f>
        <v>Meera Nair</v>
      </c>
      <c r="AF162">
        <f>LEN(Table1[[#This Row],[Trimmed]])</f>
        <v>10</v>
      </c>
      <c r="AG162">
        <f>MAX(Table1[Length])</f>
        <v>15</v>
      </c>
      <c r="AH162" t="str">
        <f>PROPER(Table1[[#This Row],[Customer_Name]])</f>
        <v>Meera Nair</v>
      </c>
      <c r="AI162" t="str">
        <f>LOWER(Table1[[#This Row],[Customer_Name]])</f>
        <v>meera nair</v>
      </c>
      <c r="AJ162" t="str">
        <f>UPPER(Table1[[#This Row],[Customer_Name]])</f>
        <v>MEERA NAIR</v>
      </c>
      <c r="AK162" t="str">
        <f>CONCATENATE(Table1[[#This Row],[Customer_ID]],Table1[[#This Row],[Customer_Name]])</f>
        <v>C1129Meera Nair</v>
      </c>
      <c r="AL162" t="s">
        <v>430</v>
      </c>
      <c r="AM162" t="s">
        <v>431</v>
      </c>
      <c r="AN162" t="s">
        <v>432</v>
      </c>
      <c r="AO162" t="s">
        <v>430</v>
      </c>
      <c r="AP162" t="s">
        <v>431</v>
      </c>
      <c r="AQ162" t="s">
        <v>284</v>
      </c>
      <c r="AR162" t="str">
        <f>TRIM(Table1[[#This Row],[City]])</f>
        <v>Hyderabad</v>
      </c>
      <c r="AS162" t="str">
        <f>PROPER(Table1[[#This Row],[City]])</f>
        <v>Hyderabad</v>
      </c>
      <c r="AT162" t="s">
        <v>285</v>
      </c>
      <c r="AU162" t="str">
        <f>CONCATENATE(Table1[[#This Row],[City]],Table1[[#This Row],[State]])</f>
        <v>HyderabadTelangana</v>
      </c>
      <c r="AV162" t="s">
        <v>168</v>
      </c>
      <c r="AW162" t="s">
        <v>275</v>
      </c>
      <c r="AX162" t="str">
        <f>REPLACE(Table1[[#This Row],[Product_ID]],1,1,"s")</f>
        <v>s101</v>
      </c>
      <c r="AY162" t="s">
        <v>895</v>
      </c>
      <c r="AZ162">
        <f>SEARCH("-",Table1[[#This Row],[Product ID]])</f>
        <v>2</v>
      </c>
      <c r="BA162">
        <f>FIND("-",Table1[[#This Row],[Product ID]])</f>
        <v>2</v>
      </c>
      <c r="BB162" t="str">
        <f>MID(Table1[[#This Row],[Product_ID]],2,3)</f>
        <v>101</v>
      </c>
      <c r="BC162" t="str">
        <f>RIGHT(Table1[[#This Row],[Product_ID]],3)</f>
        <v>101</v>
      </c>
      <c r="BD162" t="str">
        <f>LEFT(Table1[[#This Row],[Product_ID]],3)</f>
        <v>P10</v>
      </c>
      <c r="BE162" t="str">
        <f>_xlfn.XLOOKUP(Table1[[#This Row],[Product_ID]],AW:AW,BF:BF,,0)</f>
        <v>Wireless Mouse</v>
      </c>
      <c r="BF162" t="s">
        <v>277</v>
      </c>
      <c r="BG162">
        <f>LEN(Table1[[#This Row],[Product_Name]])</f>
        <v>14</v>
      </c>
      <c r="BH162" t="s">
        <v>154</v>
      </c>
      <c r="BI162">
        <f t="shared" si="21"/>
        <v>75</v>
      </c>
      <c r="BJ162" t="str">
        <f>SUBSTITUTE(Table1[[#This Row],[Category]],"Electronics","ELECTRONICS")</f>
        <v>ELECTRONICS</v>
      </c>
      <c r="BN162" t="s">
        <v>155</v>
      </c>
      <c r="BS162" s="14">
        <v>4</v>
      </c>
      <c r="BT162" s="3">
        <v>799</v>
      </c>
      <c r="BU162" s="4">
        <v>5</v>
      </c>
      <c r="BV162" s="4" t="str">
        <f>IF(AND(Table1[[#This Row],[Quantity]]&gt;=3,Table1[[#This Row],[Discount_%]]&gt;=15%),"Bulk Discount","no")</f>
        <v>Bulk Discount</v>
      </c>
      <c r="BW162" s="4" t="str">
        <f>IF(AND(Table1[[#This Row],[Quantity]]&gt;3,Table1[[#This Row],[Discount_%]]&gt;15%),"Bulk Customer","Normal")</f>
        <v>Bulk Customer</v>
      </c>
      <c r="BX162" t="s">
        <v>330</v>
      </c>
      <c r="BY162" t="s">
        <v>136</v>
      </c>
      <c r="CC162" t="str">
        <f>IF(OR(Table1[[#This Row],[Order_Status]]="Returned",Table1[[#This Row],[Order_Status]]="Cancelled"),"Attention Required","Not")</f>
        <v>Not</v>
      </c>
      <c r="CD162" t="str">
        <f>IF(OR(Table1[[#This Row],[Order_Status]]="Returned",Table1[[#This Row],[Order_Status]]="Cancelled"),"Review","no")</f>
        <v>no</v>
      </c>
      <c r="CE162" t="str">
        <f>SUBSTITUTE(Table1[[#This Row],[Order_Status]],"Delivered","Completed")</f>
        <v>Completed</v>
      </c>
      <c r="CF162" s="2">
        <v>45983</v>
      </c>
      <c r="CG162" s="17">
        <f>NETWORKDAYS(Table1[[#This Row],[Order_Date]],Table1[[#This Row],[Delivery_Date]])</f>
        <v>4</v>
      </c>
      <c r="CH162" s="17">
        <f>Table1[[#This Row],[Delivery_Date]]-Table1[[#This Row],[Order_Date]]</f>
        <v>4</v>
      </c>
      <c r="CI162" t="s">
        <v>137</v>
      </c>
      <c r="CJ162" t="str">
        <f>IF(Table1[[#This Row],[Rating]]&gt;=4,"Good","Needs Improvement")</f>
        <v>Good</v>
      </c>
      <c r="CK162" t="str">
        <f>IF(OR(Table1[[#This Row],[Rating]]&lt;=2,Table1[[#This Row],[Profit]]&lt;0),"Review","NO")</f>
        <v>NO</v>
      </c>
      <c r="CL162" t="str" cm="1">
        <f t="array" ref="CL162">_xlfn.IFS(Table1[[#This Row],[Rating]]&gt;2,"Poor",Table1[[#This Row],[Rating]]=3,"Average",Table1[[#This Row],[Rating]]=4,"Good",CP162=5,"Excellent")</f>
        <v>Poor</v>
      </c>
      <c r="CM162">
        <f>COUNT(Table1[[#This Row],[Rating]])</f>
        <v>1</v>
      </c>
      <c r="CN162">
        <f>COUNTBLANK(Table1[[#This Row],[Rating]])</f>
        <v>0</v>
      </c>
      <c r="CQ162" s="14">
        <v>5</v>
      </c>
      <c r="CR162" t="s">
        <v>204</v>
      </c>
      <c r="CS162" t="s">
        <v>140</v>
      </c>
      <c r="CU162" s="3">
        <v>3036.2</v>
      </c>
      <c r="CV162" s="3">
        <f>ROUND(Table1[[#This Row],[Sales_Amount]],0)</f>
        <v>3036</v>
      </c>
      <c r="CW162" s="3"/>
      <c r="CX162" s="3"/>
      <c r="CY162" s="3" t="b">
        <f>IF(AND(Table1[[#This Row],[Sales_Amount]]&gt;=10000,Table1[[#This Row],[Profit]]&gt;0),"Good Order")</f>
        <v>0</v>
      </c>
      <c r="CZ162" s="3" t="str">
        <f>IF(Table1[[#This Row],[Sales_Amount]]&gt;=10000,"High","Normal")</f>
        <v>Normal</v>
      </c>
      <c r="DA162" s="3">
        <v>1356.2</v>
      </c>
      <c r="DB162" s="3">
        <f>ROUND(Table1[[#This Row],[Profit]],0)</f>
        <v>1356</v>
      </c>
      <c r="DC162" s="3">
        <f>ABS(Table1[[#This Row],[Profit]])</f>
        <v>1356.2</v>
      </c>
      <c r="DD162" s="3"/>
      <c r="DE162" s="3"/>
      <c r="DF162" s="3"/>
      <c r="DG162" s="3" t="str">
        <f>IF(Table1[[#This Row],[Profit]]&gt;0,"Profit","Loss")</f>
        <v>Profit</v>
      </c>
      <c r="DH162" s="3" t="str">
        <f>IF(AND(Table1[[#This Row],[Sales_Amount]]&gt;=10000,Table1[[#This Row],[Profit]]&gt;0),"Priority","Normal")</f>
        <v>Normal</v>
      </c>
      <c r="DI162" s="3">
        <f t="shared" ca="1" si="16"/>
        <v>0.85272926609847643</v>
      </c>
      <c r="DJ162" s="3">
        <f t="shared" ca="1" si="17"/>
        <v>29</v>
      </c>
      <c r="DK162" s="3"/>
      <c r="DL162" s="3"/>
      <c r="DM162" s="3"/>
      <c r="DN162" s="3"/>
      <c r="DO162" s="3"/>
      <c r="DP162" s="3"/>
    </row>
    <row r="163" spans="1:120">
      <c r="A163" t="s">
        <v>896</v>
      </c>
      <c r="B163" t="str">
        <f>REPLACE(Table1[[#This Row],[Order_ID]],1,3,"YOO")</f>
        <v>YOO10162</v>
      </c>
      <c r="C163" t="str">
        <f>MID(Table1[[#This Row],[Order_ID]],4,4)</f>
        <v>1016</v>
      </c>
      <c r="D163" t="str">
        <f>LEFT(Table1[[#This Row],[Order_ID]],4)</f>
        <v>ORD1</v>
      </c>
      <c r="E163" t="str">
        <f>RIGHT(Table1[[#This Row],[Order_ID]],5)</f>
        <v>10162</v>
      </c>
      <c r="F163" t="s">
        <v>5</v>
      </c>
      <c r="G163">
        <v>10162</v>
      </c>
      <c r="H163" t="s">
        <v>897</v>
      </c>
      <c r="I163" s="2">
        <f>EDATE(Table1[[#This Row],[Order_Date]],3)</f>
        <v>46281</v>
      </c>
      <c r="J163" s="2">
        <f>EDATE(Table1[[#This Row],[Order_Date]],6)</f>
        <v>46372</v>
      </c>
      <c r="K163">
        <f ca="1">YEAR(Table1[[#This Row],[Today]])</f>
        <v>2026</v>
      </c>
      <c r="L163">
        <v>162</v>
      </c>
      <c r="M163">
        <f ca="1">DAY(Table1[[#This Row],[Today]])</f>
        <v>11</v>
      </c>
      <c r="N163" s="19">
        <f t="shared" ca="1" si="20"/>
        <v>46245.589795370368</v>
      </c>
      <c r="O163" s="2">
        <f t="shared" ca="1" si="15"/>
        <v>46245</v>
      </c>
      <c r="P163" s="17">
        <f ca="1">Table1[[#This Row],[Today]]-Table1[[#This Row],[Order_Date]]</f>
        <v>56</v>
      </c>
      <c r="Q163" s="2">
        <v>45819</v>
      </c>
      <c r="R163" s="2">
        <v>46189</v>
      </c>
      <c r="S163" s="6">
        <f t="shared" si="18"/>
        <v>2026</v>
      </c>
      <c r="T163" s="7" t="str">
        <f t="shared" si="19"/>
        <v>June</v>
      </c>
      <c r="U163" s="2">
        <f>WORKDAY(Table1[[#This Row],[Order_Date]],5)</f>
        <v>46196</v>
      </c>
      <c r="V163" s="7" t="str">
        <f>CONCATENATE(Table1[[#This Row],[Customer_ID]],Table1[[#This Row],[Customer_Name]])</f>
        <v>C1081Simran Kaur</v>
      </c>
      <c r="W163" t="s">
        <v>741</v>
      </c>
      <c r="X163" t="s">
        <v>325</v>
      </c>
      <c r="Y163">
        <f>COUNTA(Table1[[#This Row],[Customer_Name]])</f>
        <v>1</v>
      </c>
      <c r="Z163" t="str">
        <f>SUBSTITUTE(Table1[[#This Row],[Customer_Name]]," ","_")</f>
        <v>Simran_Kaur</v>
      </c>
      <c r="AA163" s="10">
        <f>IFERROR(SEARCH("a",Table1[[#This Row],[Customer_Name]]),"N/A")</f>
        <v>5</v>
      </c>
      <c r="AB163">
        <f>SEARCH(" ",Table1[[#This Row],[Customer_Name]])</f>
        <v>7</v>
      </c>
      <c r="AC163" s="11">
        <f>IFERROR(FIND("a",Table1[[#This Row],[Customer_Name]]),"N/A")</f>
        <v>5</v>
      </c>
      <c r="AD163">
        <f>FIND(" ",Table1[[#This Row],[Customer_Name]])</f>
        <v>7</v>
      </c>
      <c r="AE163" t="str">
        <f>TRIM(Table1[[#This Row],[Customer_Name]])</f>
        <v>Simran Kaur</v>
      </c>
      <c r="AF163">
        <f>LEN(Table1[[#This Row],[Trimmed]])</f>
        <v>11</v>
      </c>
      <c r="AG163">
        <f>MAX(Table1[Length])</f>
        <v>15</v>
      </c>
      <c r="AH163" t="str">
        <f>PROPER(Table1[[#This Row],[Customer_Name]])</f>
        <v>Simran Kaur</v>
      </c>
      <c r="AI163" t="str">
        <f>LOWER(Table1[[#This Row],[Customer_Name]])</f>
        <v>simran kaur</v>
      </c>
      <c r="AJ163" t="str">
        <f>UPPER(Table1[[#This Row],[Customer_Name]])</f>
        <v>SIMRAN KAUR</v>
      </c>
      <c r="AK163" t="str">
        <f>CONCATENATE(Table1[[#This Row],[Customer_ID]],Table1[[#This Row],[Customer_Name]])</f>
        <v>C1081Simran Kaur</v>
      </c>
      <c r="AL163" t="s">
        <v>326</v>
      </c>
      <c r="AM163" t="s">
        <v>327</v>
      </c>
      <c r="AN163" t="s">
        <v>328</v>
      </c>
      <c r="AO163" t="s">
        <v>326</v>
      </c>
      <c r="AP163" t="s">
        <v>327</v>
      </c>
      <c r="AQ163" t="s">
        <v>569</v>
      </c>
      <c r="AR163" t="str">
        <f>TRIM(Table1[[#This Row],[City]])</f>
        <v>Delhi</v>
      </c>
      <c r="AS163" t="str">
        <f>PROPER(Table1[[#This Row],[City]])</f>
        <v>Delhi</v>
      </c>
      <c r="AT163" t="s">
        <v>569</v>
      </c>
      <c r="AU163" t="str">
        <f>CONCATENATE(Table1[[#This Row],[City]],Table1[[#This Row],[State]])</f>
        <v>DelhiDelhi</v>
      </c>
      <c r="AV163" t="s">
        <v>150</v>
      </c>
      <c r="AW163" t="s">
        <v>169</v>
      </c>
      <c r="AX163" t="str">
        <f>REPLACE(Table1[[#This Row],[Product_ID]],1,1,"s")</f>
        <v>s112</v>
      </c>
      <c r="AY163" t="s">
        <v>898</v>
      </c>
      <c r="AZ163">
        <f>SEARCH("-",Table1[[#This Row],[Product ID]])</f>
        <v>2</v>
      </c>
      <c r="BA163">
        <f>FIND("-",Table1[[#This Row],[Product ID]])</f>
        <v>2</v>
      </c>
      <c r="BB163" t="str">
        <f>MID(Table1[[#This Row],[Product_ID]],2,3)</f>
        <v>112</v>
      </c>
      <c r="BC163" t="str">
        <f>RIGHT(Table1[[#This Row],[Product_ID]],3)</f>
        <v>112</v>
      </c>
      <c r="BD163" t="str">
        <f>LEFT(Table1[[#This Row],[Product_ID]],3)</f>
        <v>P11</v>
      </c>
      <c r="BE163" t="str">
        <f>_xlfn.XLOOKUP(Table1[[#This Row],[Product_ID]],AW:AW,BF:BF,,0)</f>
        <v>Air Fryer</v>
      </c>
      <c r="BF163" t="s">
        <v>171</v>
      </c>
      <c r="BG163">
        <f>LEN(Table1[[#This Row],[Product_Name]])</f>
        <v>9</v>
      </c>
      <c r="BH163" t="s">
        <v>133</v>
      </c>
      <c r="BI163">
        <f t="shared" si="21"/>
        <v>75</v>
      </c>
      <c r="BJ163" t="str">
        <f>SUBSTITUTE(Table1[[#This Row],[Category]],"Electronics","ELECTRONICS")</f>
        <v>Home</v>
      </c>
      <c r="BN163" t="s">
        <v>134</v>
      </c>
      <c r="BS163" s="14">
        <v>2</v>
      </c>
      <c r="BT163" s="3">
        <v>6499</v>
      </c>
      <c r="BU163" s="4">
        <v>15</v>
      </c>
      <c r="BV163" s="4" t="str">
        <f>IF(AND(Table1[[#This Row],[Quantity]]&gt;=3,Table1[[#This Row],[Discount_%]]&gt;=15%),"Bulk Discount","no")</f>
        <v>no</v>
      </c>
      <c r="BW163" s="4" t="str">
        <f>IF(AND(Table1[[#This Row],[Quantity]]&gt;3,Table1[[#This Row],[Discount_%]]&gt;15%),"Bulk Customer","Normal")</f>
        <v>Normal</v>
      </c>
      <c r="BX163" t="s">
        <v>330</v>
      </c>
      <c r="BY163" t="s">
        <v>374</v>
      </c>
      <c r="CC163" t="str">
        <f>IF(OR(Table1[[#This Row],[Order_Status]]="Returned",Table1[[#This Row],[Order_Status]]="Cancelled"),"Attention Required","Not")</f>
        <v>Attention Required</v>
      </c>
      <c r="CD163" t="str">
        <f>IF(OR(Table1[[#This Row],[Order_Status]]="Returned",Table1[[#This Row],[Order_Status]]="Cancelled"),"Review","no")</f>
        <v>Review</v>
      </c>
      <c r="CE163" t="str">
        <f>SUBSTITUTE(Table1[[#This Row],[Order_Status]],"Delivered","Completed")</f>
        <v>Returned</v>
      </c>
      <c r="CF163" s="2">
        <v>46197</v>
      </c>
      <c r="CG163" s="17">
        <f>NETWORKDAYS(Table1[[#This Row],[Order_Date]],Table1[[#This Row],[Delivery_Date]])</f>
        <v>7</v>
      </c>
      <c r="CH163" s="17">
        <f>Table1[[#This Row],[Delivery_Date]]-Table1[[#This Row],[Order_Date]]</f>
        <v>8</v>
      </c>
      <c r="CI163" t="s">
        <v>375</v>
      </c>
      <c r="CJ163" t="str">
        <f>IF(Table1[[#This Row],[Rating]]&gt;=4,"Good","Needs Improvement")</f>
        <v>Good</v>
      </c>
      <c r="CK163" t="str">
        <f>IF(OR(Table1[[#This Row],[Rating]]&lt;=2,Table1[[#This Row],[Profit]]&lt;0),"Review","NO")</f>
        <v>NO</v>
      </c>
      <c r="CL163" t="str" cm="1">
        <f t="array" ref="CL163">_xlfn.IFS(Table1[[#This Row],[Rating]]&gt;2,"Poor",Table1[[#This Row],[Rating]]=3,"Average",Table1[[#This Row],[Rating]]=4,"Good",CP163=5,"Excellent")</f>
        <v>Poor</v>
      </c>
      <c r="CM163">
        <f>COUNT(Table1[[#This Row],[Rating]])</f>
        <v>1</v>
      </c>
      <c r="CN163">
        <f>COUNTBLANK(Table1[[#This Row],[Rating]])</f>
        <v>0</v>
      </c>
      <c r="CP163" t="s">
        <v>266</v>
      </c>
      <c r="CQ163" s="14">
        <v>5</v>
      </c>
      <c r="CR163" t="s">
        <v>173</v>
      </c>
      <c r="CS163" t="s">
        <v>174</v>
      </c>
      <c r="CU163" s="3">
        <v>11048.3</v>
      </c>
      <c r="CV163" s="3">
        <f>ROUND(Table1[[#This Row],[Sales_Amount]],0)</f>
        <v>11048</v>
      </c>
      <c r="CW163" s="3"/>
      <c r="CX163" s="3"/>
      <c r="CY163" s="3" t="str">
        <f>IF(AND(Table1[[#This Row],[Sales_Amount]]&gt;=10000,Table1[[#This Row],[Profit]]&gt;0),"Good Order")</f>
        <v>Good Order</v>
      </c>
      <c r="CZ163" s="3" t="str">
        <f>IF(Table1[[#This Row],[Sales_Amount]]&gt;=10000,"High","Normal")</f>
        <v>High</v>
      </c>
      <c r="DA163" s="3">
        <v>2448.3000000000002</v>
      </c>
      <c r="DB163" s="3">
        <f>ROUND(Table1[[#This Row],[Profit]],0)</f>
        <v>2448</v>
      </c>
      <c r="DC163" s="3">
        <f>ABS(Table1[[#This Row],[Profit]])</f>
        <v>2448.3000000000002</v>
      </c>
      <c r="DD163" s="3"/>
      <c r="DE163" s="3"/>
      <c r="DF163" s="3"/>
      <c r="DG163" s="3" t="str">
        <f>IF(Table1[[#This Row],[Profit]]&gt;0,"Profit","Loss")</f>
        <v>Profit</v>
      </c>
      <c r="DH163" s="3" t="str">
        <f>IF(AND(Table1[[#This Row],[Sales_Amount]]&gt;=10000,Table1[[#This Row],[Profit]]&gt;0),"Priority","Normal")</f>
        <v>Priority</v>
      </c>
      <c r="DI163" s="3">
        <f t="shared" ca="1" si="16"/>
        <v>0.611151880482524</v>
      </c>
      <c r="DJ163" s="3">
        <f t="shared" ca="1" si="17"/>
        <v>20</v>
      </c>
      <c r="DK163" s="3"/>
      <c r="DL163" s="3"/>
      <c r="DM163" s="3"/>
      <c r="DN163" s="3"/>
      <c r="DO163" s="3"/>
      <c r="DP163" s="3"/>
    </row>
    <row r="164" spans="1:120">
      <c r="A164" t="s">
        <v>899</v>
      </c>
      <c r="B164" t="str">
        <f>REPLACE(Table1[[#This Row],[Order_ID]],1,3,"YOO")</f>
        <v>YOO10163</v>
      </c>
      <c r="C164" t="str">
        <f>MID(Table1[[#This Row],[Order_ID]],4,4)</f>
        <v>1016</v>
      </c>
      <c r="D164" t="str">
        <f>LEFT(Table1[[#This Row],[Order_ID]],4)</f>
        <v>ORD1</v>
      </c>
      <c r="E164" t="str">
        <f>RIGHT(Table1[[#This Row],[Order_ID]],5)</f>
        <v>10163</v>
      </c>
      <c r="F164" t="s">
        <v>5</v>
      </c>
      <c r="G164">
        <v>10163</v>
      </c>
      <c r="H164" t="s">
        <v>900</v>
      </c>
      <c r="I164" s="2">
        <f>EDATE(Table1[[#This Row],[Order_Date]],3)</f>
        <v>46019</v>
      </c>
      <c r="J164" s="2">
        <f>EDATE(Table1[[#This Row],[Order_Date]],6)</f>
        <v>46109</v>
      </c>
      <c r="K164">
        <f ca="1">YEAR(Table1[[#This Row],[Today]])</f>
        <v>2026</v>
      </c>
      <c r="L164">
        <v>163</v>
      </c>
      <c r="M164">
        <f ca="1">DAY(Table1[[#This Row],[Today]])</f>
        <v>11</v>
      </c>
      <c r="N164" s="19">
        <f t="shared" ca="1" si="20"/>
        <v>46245.589795138891</v>
      </c>
      <c r="O164" s="2">
        <f t="shared" ca="1" si="15"/>
        <v>46245</v>
      </c>
      <c r="P164" s="17">
        <f ca="1">Table1[[#This Row],[Today]]-Table1[[#This Row],[Order_Date]]</f>
        <v>317</v>
      </c>
      <c r="Q164" s="2">
        <v>45820</v>
      </c>
      <c r="R164" s="2">
        <v>45928</v>
      </c>
      <c r="S164" s="6">
        <f t="shared" si="18"/>
        <v>2025</v>
      </c>
      <c r="T164" s="7" t="str">
        <f t="shared" si="19"/>
        <v>September</v>
      </c>
      <c r="U164" s="2">
        <f>WORKDAY(Table1[[#This Row],[Order_Date]],5)</f>
        <v>45933</v>
      </c>
      <c r="V164" s="7" t="str">
        <f>CONCATENATE(Table1[[#This Row],[Customer_ID]],Table1[[#This Row],[Customer_Name]])</f>
        <v>C1143Pooja Jain</v>
      </c>
      <c r="W164" t="s">
        <v>451</v>
      </c>
      <c r="X164" t="s">
        <v>419</v>
      </c>
      <c r="Y164">
        <f>COUNTA(Table1[[#This Row],[Customer_Name]])</f>
        <v>1</v>
      </c>
      <c r="Z164" t="str">
        <f>SUBSTITUTE(Table1[[#This Row],[Customer_Name]]," ","_")</f>
        <v>Pooja_Jain</v>
      </c>
      <c r="AA164" s="10">
        <f>IFERROR(SEARCH("a",Table1[[#This Row],[Customer_Name]]),"N/A")</f>
        <v>5</v>
      </c>
      <c r="AB164">
        <f>SEARCH(" ",Table1[[#This Row],[Customer_Name]])</f>
        <v>6</v>
      </c>
      <c r="AC164" s="11">
        <f>IFERROR(FIND("a",Table1[[#This Row],[Customer_Name]]),"N/A")</f>
        <v>5</v>
      </c>
      <c r="AD164">
        <f>FIND(" ",Table1[[#This Row],[Customer_Name]])</f>
        <v>6</v>
      </c>
      <c r="AE164" t="str">
        <f>TRIM(Table1[[#This Row],[Customer_Name]])</f>
        <v>Pooja Jain</v>
      </c>
      <c r="AF164">
        <f>LEN(Table1[[#This Row],[Trimmed]])</f>
        <v>10</v>
      </c>
      <c r="AG164">
        <f>MAX(Table1[Length])</f>
        <v>15</v>
      </c>
      <c r="AH164" t="str">
        <f>PROPER(Table1[[#This Row],[Customer_Name]])</f>
        <v>Pooja Jain</v>
      </c>
      <c r="AI164" t="str">
        <f>LOWER(Table1[[#This Row],[Customer_Name]])</f>
        <v>pooja jain</v>
      </c>
      <c r="AJ164" t="str">
        <f>UPPER(Table1[[#This Row],[Customer_Name]])</f>
        <v>POOJA JAIN</v>
      </c>
      <c r="AK164" t="str">
        <f>CONCATENATE(Table1[[#This Row],[Customer_ID]],Table1[[#This Row],[Customer_Name]])</f>
        <v>C1143Pooja Jain</v>
      </c>
      <c r="AL164" t="s">
        <v>420</v>
      </c>
      <c r="AM164" t="s">
        <v>421</v>
      </c>
      <c r="AN164" t="s">
        <v>422</v>
      </c>
      <c r="AO164" t="s">
        <v>420</v>
      </c>
      <c r="AP164" t="s">
        <v>421</v>
      </c>
      <c r="AQ164" t="s">
        <v>199</v>
      </c>
      <c r="AR164" t="str">
        <f>TRIM(Table1[[#This Row],[City]])</f>
        <v>Lucknow</v>
      </c>
      <c r="AS164" t="str">
        <f>PROPER(Table1[[#This Row],[City]])</f>
        <v>Lucknow</v>
      </c>
      <c r="AT164" t="s">
        <v>200</v>
      </c>
      <c r="AU164" t="str">
        <f>CONCATENATE(Table1[[#This Row],[City]],Table1[[#This Row],[State]])</f>
        <v>LucknowUttar Pradesh</v>
      </c>
      <c r="AV164" t="s">
        <v>150</v>
      </c>
      <c r="AW164" t="s">
        <v>221</v>
      </c>
      <c r="AX164" t="str">
        <f>REPLACE(Table1[[#This Row],[Product_ID]],1,1,"s")</f>
        <v>s106</v>
      </c>
      <c r="AY164" t="s">
        <v>901</v>
      </c>
      <c r="AZ164">
        <f>SEARCH("-",Table1[[#This Row],[Product ID]])</f>
        <v>2</v>
      </c>
      <c r="BA164">
        <f>FIND("-",Table1[[#This Row],[Product ID]])</f>
        <v>2</v>
      </c>
      <c r="BB164" t="str">
        <f>MID(Table1[[#This Row],[Product_ID]],2,3)</f>
        <v>106</v>
      </c>
      <c r="BC164" t="str">
        <f>RIGHT(Table1[[#This Row],[Product_ID]],3)</f>
        <v>106</v>
      </c>
      <c r="BD164" t="str">
        <f>LEFT(Table1[[#This Row],[Product_ID]],3)</f>
        <v>P10</v>
      </c>
      <c r="BE164" t="str">
        <f>_xlfn.XLOOKUP(Table1[[#This Row],[Product_ID]],AW:AW,BF:BF,,0)</f>
        <v>Running Shoes</v>
      </c>
      <c r="BF164" t="s">
        <v>223</v>
      </c>
      <c r="BG164">
        <f>LEN(Table1[[#This Row],[Product_Name]])</f>
        <v>13</v>
      </c>
      <c r="BH164" t="s">
        <v>224</v>
      </c>
      <c r="BI164">
        <f t="shared" si="21"/>
        <v>75</v>
      </c>
      <c r="BJ164" t="str">
        <f>SUBSTITUTE(Table1[[#This Row],[Category]],"Electronics","ELECTRONICS")</f>
        <v>Fashion</v>
      </c>
      <c r="BN164" t="s">
        <v>225</v>
      </c>
      <c r="BS164" s="14">
        <v>5</v>
      </c>
      <c r="BT164" s="3">
        <v>3499</v>
      </c>
      <c r="BU164" s="4">
        <v>25</v>
      </c>
      <c r="BV164" s="4" t="str">
        <f>IF(AND(Table1[[#This Row],[Quantity]]&gt;=3,Table1[[#This Row],[Discount_%]]&gt;=15%),"Bulk Discount","no")</f>
        <v>Bulk Discount</v>
      </c>
      <c r="BW164" s="4" t="str">
        <f>IF(AND(Table1[[#This Row],[Quantity]]&gt;3,Table1[[#This Row],[Discount_%]]&gt;15%),"Bulk Customer","Normal")</f>
        <v>Bulk Customer</v>
      </c>
      <c r="BX164" t="s">
        <v>187</v>
      </c>
      <c r="BY164" t="s">
        <v>136</v>
      </c>
      <c r="CC164" t="str">
        <f>IF(OR(Table1[[#This Row],[Order_Status]]="Returned",Table1[[#This Row],[Order_Status]]="Cancelled"),"Attention Required","Not")</f>
        <v>Not</v>
      </c>
      <c r="CD164" t="str">
        <f>IF(OR(Table1[[#This Row],[Order_Status]]="Returned",Table1[[#This Row],[Order_Status]]="Cancelled"),"Review","no")</f>
        <v>no</v>
      </c>
      <c r="CE164" t="str">
        <f>SUBSTITUTE(Table1[[#This Row],[Order_Status]],"Delivered","Completed")</f>
        <v>Completed</v>
      </c>
      <c r="CF164" s="2">
        <v>45932</v>
      </c>
      <c r="CG164" s="17">
        <f>NETWORKDAYS(Table1[[#This Row],[Order_Date]],Table1[[#This Row],[Delivery_Date]])</f>
        <v>4</v>
      </c>
      <c r="CH164" s="17">
        <f>Table1[[#This Row],[Delivery_Date]]-Table1[[#This Row],[Order_Date]]</f>
        <v>4</v>
      </c>
      <c r="CI164" t="s">
        <v>137</v>
      </c>
      <c r="CJ164" t="str">
        <f>IF(Table1[[#This Row],[Rating]]&gt;=4,"Good","Needs Improvement")</f>
        <v>Good</v>
      </c>
      <c r="CK164" t="str">
        <f>IF(OR(Table1[[#This Row],[Rating]]&lt;=2,Table1[[#This Row],[Profit]]&lt;0),"Review","NO")</f>
        <v>NO</v>
      </c>
      <c r="CL164" t="str" cm="1">
        <f t="array" ref="CL164">_xlfn.IFS(Table1[[#This Row],[Rating]]&gt;2,"Poor",Table1[[#This Row],[Rating]]=3,"Average",Table1[[#This Row],[Rating]]=4,"Good",CP164=5,"Excellent")</f>
        <v>Poor</v>
      </c>
      <c r="CM164">
        <f>COUNT(Table1[[#This Row],[Rating]])</f>
        <v>1</v>
      </c>
      <c r="CN164">
        <f>COUNTBLANK(Table1[[#This Row],[Rating]])</f>
        <v>0</v>
      </c>
      <c r="CP164" t="s">
        <v>157</v>
      </c>
      <c r="CQ164" s="14">
        <v>4</v>
      </c>
      <c r="CR164" t="s">
        <v>173</v>
      </c>
      <c r="CS164" t="s">
        <v>213</v>
      </c>
      <c r="CU164" s="3">
        <v>13121.25</v>
      </c>
      <c r="CV164" s="3">
        <f>ROUND(Table1[[#This Row],[Sales_Amount]],0)</f>
        <v>13121</v>
      </c>
      <c r="CW164" s="3"/>
      <c r="CX164" s="3"/>
      <c r="CY164" s="3" t="str">
        <f>IF(AND(Table1[[#This Row],[Sales_Amount]]&gt;=10000,Table1[[#This Row],[Profit]]&gt;0),"Good Order")</f>
        <v>Good Order</v>
      </c>
      <c r="CZ164" s="3" t="str">
        <f>IF(Table1[[#This Row],[Sales_Amount]]&gt;=10000,"High","Normal")</f>
        <v>High</v>
      </c>
      <c r="DA164" s="3">
        <v>3621.25</v>
      </c>
      <c r="DB164" s="3">
        <f>ROUND(Table1[[#This Row],[Profit]],0)</f>
        <v>3621</v>
      </c>
      <c r="DC164" s="3">
        <f>ABS(Table1[[#This Row],[Profit]])</f>
        <v>3621.25</v>
      </c>
      <c r="DD164" s="3"/>
      <c r="DE164" s="3"/>
      <c r="DF164" s="3"/>
      <c r="DG164" s="3" t="str">
        <f>IF(Table1[[#This Row],[Profit]]&gt;0,"Profit","Loss")</f>
        <v>Profit</v>
      </c>
      <c r="DH164" s="3" t="str">
        <f>IF(AND(Table1[[#This Row],[Sales_Amount]]&gt;=10000,Table1[[#This Row],[Profit]]&gt;0),"Priority","Normal")</f>
        <v>Priority</v>
      </c>
      <c r="DI164" s="3">
        <f t="shared" ca="1" si="16"/>
        <v>0.51206283719020596</v>
      </c>
      <c r="DJ164" s="3">
        <f t="shared" ca="1" si="17"/>
        <v>81</v>
      </c>
      <c r="DK164" s="3"/>
      <c r="DL164" s="3"/>
      <c r="DM164" s="3"/>
      <c r="DN164" s="3"/>
      <c r="DO164" s="3"/>
      <c r="DP164" s="3"/>
    </row>
    <row r="165" spans="1:120">
      <c r="A165" t="s">
        <v>902</v>
      </c>
      <c r="B165" t="str">
        <f>REPLACE(Table1[[#This Row],[Order_ID]],1,3,"YOO")</f>
        <v>YOO10164</v>
      </c>
      <c r="C165" t="str">
        <f>MID(Table1[[#This Row],[Order_ID]],4,4)</f>
        <v>1016</v>
      </c>
      <c r="D165" t="str">
        <f>LEFT(Table1[[#This Row],[Order_ID]],4)</f>
        <v>ORD1</v>
      </c>
      <c r="E165" t="str">
        <f>RIGHT(Table1[[#This Row],[Order_ID]],5)</f>
        <v>10164</v>
      </c>
      <c r="F165" t="s">
        <v>5</v>
      </c>
      <c r="G165">
        <v>10164</v>
      </c>
      <c r="H165" t="s">
        <v>903</v>
      </c>
      <c r="I165" s="2">
        <f>EDATE(Table1[[#This Row],[Order_Date]],3)</f>
        <v>46250</v>
      </c>
      <c r="J165" s="2">
        <f>EDATE(Table1[[#This Row],[Order_Date]],6)</f>
        <v>46342</v>
      </c>
      <c r="K165">
        <f ca="1">YEAR(Table1[[#This Row],[Today]])</f>
        <v>2026</v>
      </c>
      <c r="L165">
        <v>164</v>
      </c>
      <c r="M165">
        <f ca="1">DAY(Table1[[#This Row],[Today]])</f>
        <v>11</v>
      </c>
      <c r="N165" s="19">
        <f t="shared" ca="1" si="20"/>
        <v>46245.589795370368</v>
      </c>
      <c r="O165" s="2">
        <f t="shared" ca="1" si="15"/>
        <v>46245</v>
      </c>
      <c r="P165" s="17">
        <f ca="1">Table1[[#This Row],[Today]]-Table1[[#This Row],[Order_Date]]</f>
        <v>87</v>
      </c>
      <c r="Q165" s="2">
        <v>45821</v>
      </c>
      <c r="R165" s="2">
        <v>46158</v>
      </c>
      <c r="S165" s="6">
        <f t="shared" si="18"/>
        <v>2026</v>
      </c>
      <c r="T165" s="7" t="str">
        <f t="shared" si="19"/>
        <v>May</v>
      </c>
      <c r="U165" s="2">
        <f>WORKDAY(Table1[[#This Row],[Order_Date]],5)</f>
        <v>46164</v>
      </c>
      <c r="V165" s="7" t="str">
        <f>CONCATENATE(Table1[[#This Row],[Customer_ID]],Table1[[#This Row],[Customer_Name]])</f>
        <v>C1032Varun Tiwari</v>
      </c>
      <c r="W165" t="s">
        <v>418</v>
      </c>
      <c r="X165" t="s">
        <v>178</v>
      </c>
      <c r="Y165">
        <f>COUNTA(Table1[[#This Row],[Customer_Name]])</f>
        <v>1</v>
      </c>
      <c r="Z165" t="str">
        <f>SUBSTITUTE(Table1[[#This Row],[Customer_Name]]," ","_")</f>
        <v>Varun_Tiwari</v>
      </c>
      <c r="AA165" s="10">
        <f>IFERROR(SEARCH("a",Table1[[#This Row],[Customer_Name]]),"N/A")</f>
        <v>2</v>
      </c>
      <c r="AB165">
        <f>SEARCH(" ",Table1[[#This Row],[Customer_Name]])</f>
        <v>6</v>
      </c>
      <c r="AC165" s="11">
        <f>IFERROR(FIND("a",Table1[[#This Row],[Customer_Name]]),"N/A")</f>
        <v>2</v>
      </c>
      <c r="AD165">
        <f>FIND(" ",Table1[[#This Row],[Customer_Name]])</f>
        <v>6</v>
      </c>
      <c r="AE165" t="str">
        <f>TRIM(Table1[[#This Row],[Customer_Name]])</f>
        <v>Varun Tiwari</v>
      </c>
      <c r="AF165">
        <f>LEN(Table1[[#This Row],[Trimmed]])</f>
        <v>12</v>
      </c>
      <c r="AG165">
        <f>MAX(Table1[Length])</f>
        <v>15</v>
      </c>
      <c r="AH165" t="str">
        <f>PROPER(Table1[[#This Row],[Customer_Name]])</f>
        <v>Varun Tiwari</v>
      </c>
      <c r="AI165" t="str">
        <f>LOWER(Table1[[#This Row],[Customer_Name]])</f>
        <v>varun tiwari</v>
      </c>
      <c r="AJ165" t="str">
        <f>UPPER(Table1[[#This Row],[Customer_Name]])</f>
        <v>VARUN TIWARI</v>
      </c>
      <c r="AK165" t="str">
        <f>CONCATENATE(Table1[[#This Row],[Customer_ID]],Table1[[#This Row],[Customer_Name]])</f>
        <v>C1032Varun Tiwari</v>
      </c>
      <c r="AL165" t="s">
        <v>179</v>
      </c>
      <c r="AM165" t="s">
        <v>180</v>
      </c>
      <c r="AN165" t="s">
        <v>181</v>
      </c>
      <c r="AO165" t="s">
        <v>179</v>
      </c>
      <c r="AP165" t="s">
        <v>180</v>
      </c>
      <c r="AQ165" t="s">
        <v>423</v>
      </c>
      <c r="AR165" t="str">
        <f>TRIM(Table1[[#This Row],[City]])</f>
        <v>Ahmedabad</v>
      </c>
      <c r="AS165" t="str">
        <f>PROPER(Table1[[#This Row],[City]])</f>
        <v>Ahmedabad</v>
      </c>
      <c r="AT165" t="s">
        <v>424</v>
      </c>
      <c r="AU165" t="str">
        <f>CONCATENATE(Table1[[#This Row],[City]],Table1[[#This Row],[State]])</f>
        <v>AhmedabadGujarat</v>
      </c>
      <c r="AV165" t="s">
        <v>129</v>
      </c>
      <c r="AW165" t="s">
        <v>201</v>
      </c>
      <c r="AX165" t="str">
        <f>REPLACE(Table1[[#This Row],[Product_ID]],1,1,"s")</f>
        <v>s104</v>
      </c>
      <c r="AY165" t="s">
        <v>904</v>
      </c>
      <c r="AZ165">
        <f>SEARCH("-",Table1[[#This Row],[Product ID]])</f>
        <v>2</v>
      </c>
      <c r="BA165">
        <f>FIND("-",Table1[[#This Row],[Product ID]])</f>
        <v>2</v>
      </c>
      <c r="BB165" t="str">
        <f>MID(Table1[[#This Row],[Product_ID]],2,3)</f>
        <v>104</v>
      </c>
      <c r="BC165" t="str">
        <f>RIGHT(Table1[[#This Row],[Product_ID]],3)</f>
        <v>104</v>
      </c>
      <c r="BD165" t="str">
        <f>LEFT(Table1[[#This Row],[Product_ID]],3)</f>
        <v>P10</v>
      </c>
      <c r="BE165" t="str">
        <f>_xlfn.XLOOKUP(Table1[[#This Row],[Product_ID]],AW:AW,BF:BF,,0)</f>
        <v>USB-C Hub</v>
      </c>
      <c r="BF165" t="s">
        <v>203</v>
      </c>
      <c r="BG165">
        <f>LEN(Table1[[#This Row],[Product_Name]])</f>
        <v>9</v>
      </c>
      <c r="BH165" t="s">
        <v>154</v>
      </c>
      <c r="BI165">
        <f t="shared" si="21"/>
        <v>75</v>
      </c>
      <c r="BJ165" t="str">
        <f>SUBSTITUTE(Table1[[#This Row],[Category]],"Electronics","ELECTRONICS")</f>
        <v>ELECTRONICS</v>
      </c>
      <c r="BN165" t="s">
        <v>155</v>
      </c>
      <c r="BS165" s="14">
        <v>3</v>
      </c>
      <c r="BT165" s="3">
        <v>1899</v>
      </c>
      <c r="BU165" s="4">
        <v>25</v>
      </c>
      <c r="BV165" s="4" t="str">
        <f>IF(AND(Table1[[#This Row],[Quantity]]&gt;=3,Table1[[#This Row],[Discount_%]]&gt;=15%),"Bulk Discount","no")</f>
        <v>Bulk Discount</v>
      </c>
      <c r="BW165" s="4" t="str">
        <f>IF(AND(Table1[[#This Row],[Quantity]]&gt;3,Table1[[#This Row],[Discount_%]]&gt;15%),"Bulk Customer","Normal")</f>
        <v>Normal</v>
      </c>
      <c r="BX165" t="s">
        <v>135</v>
      </c>
      <c r="BY165" t="s">
        <v>136</v>
      </c>
      <c r="CC165" t="str">
        <f>IF(OR(Table1[[#This Row],[Order_Status]]="Returned",Table1[[#This Row],[Order_Status]]="Cancelled"),"Attention Required","Not")</f>
        <v>Not</v>
      </c>
      <c r="CD165" t="str">
        <f>IF(OR(Table1[[#This Row],[Order_Status]]="Returned",Table1[[#This Row],[Order_Status]]="Cancelled"),"Review","no")</f>
        <v>no</v>
      </c>
      <c r="CE165" t="str">
        <f>SUBSTITUTE(Table1[[#This Row],[Order_Status]],"Delivered","Completed")</f>
        <v>Completed</v>
      </c>
      <c r="CF165" s="2">
        <v>46163</v>
      </c>
      <c r="CG165" s="17">
        <f>NETWORKDAYS(Table1[[#This Row],[Order_Date]],Table1[[#This Row],[Delivery_Date]])</f>
        <v>4</v>
      </c>
      <c r="CH165" s="17">
        <f>Table1[[#This Row],[Delivery_Date]]-Table1[[#This Row],[Order_Date]]</f>
        <v>5</v>
      </c>
      <c r="CI165" t="s">
        <v>137</v>
      </c>
      <c r="CJ165" t="str">
        <f>IF(Table1[[#This Row],[Rating]]&gt;=4,"Good","Needs Improvement")</f>
        <v>Good</v>
      </c>
      <c r="CK165" t="str">
        <f>IF(OR(Table1[[#This Row],[Rating]]&lt;=2,Table1[[#This Row],[Profit]]&lt;0),"Review","NO")</f>
        <v>NO</v>
      </c>
      <c r="CL165" t="str" cm="1">
        <f t="array" ref="CL165">_xlfn.IFS(Table1[[#This Row],[Rating]]&gt;2,"Poor",Table1[[#This Row],[Rating]]=3,"Average",Table1[[#This Row],[Rating]]=4,"Good",CP165=5,"Excellent")</f>
        <v>Poor</v>
      </c>
      <c r="CM165">
        <f>COUNT(Table1[[#This Row],[Rating]])</f>
        <v>1</v>
      </c>
      <c r="CN165">
        <f>COUNTBLANK(Table1[[#This Row],[Rating]])</f>
        <v>0</v>
      </c>
      <c r="CP165" t="s">
        <v>138</v>
      </c>
      <c r="CQ165" s="14">
        <v>4</v>
      </c>
      <c r="CR165" t="s">
        <v>173</v>
      </c>
      <c r="CS165" t="s">
        <v>195</v>
      </c>
      <c r="CU165" s="3">
        <v>4272.75</v>
      </c>
      <c r="CV165" s="3">
        <f>ROUND(Table1[[#This Row],[Sales_Amount]],0)</f>
        <v>4273</v>
      </c>
      <c r="CW165" s="3"/>
      <c r="CX165" s="3"/>
      <c r="CY165" s="3" t="b">
        <f>IF(AND(Table1[[#This Row],[Sales_Amount]]&gt;=10000,Table1[[#This Row],[Profit]]&gt;0),"Good Order")</f>
        <v>0</v>
      </c>
      <c r="CZ165" s="3" t="str">
        <f>IF(Table1[[#This Row],[Sales_Amount]]&gt;=10000,"High","Normal")</f>
        <v>Normal</v>
      </c>
      <c r="DA165" s="3">
        <v>972.75</v>
      </c>
      <c r="DB165" s="3">
        <f>ROUND(Table1[[#This Row],[Profit]],0)</f>
        <v>973</v>
      </c>
      <c r="DC165" s="3">
        <f>ABS(Table1[[#This Row],[Profit]])</f>
        <v>972.75</v>
      </c>
      <c r="DD165" s="3"/>
      <c r="DE165" s="3"/>
      <c r="DF165" s="3"/>
      <c r="DG165" s="3" t="str">
        <f>IF(Table1[[#This Row],[Profit]]&gt;0,"Profit","Loss")</f>
        <v>Profit</v>
      </c>
      <c r="DH165" s="3" t="str">
        <f>IF(AND(Table1[[#This Row],[Sales_Amount]]&gt;=10000,Table1[[#This Row],[Profit]]&gt;0),"Priority","Normal")</f>
        <v>Normal</v>
      </c>
      <c r="DI165" s="3">
        <f t="shared" ca="1" si="16"/>
        <v>0.61747778947217069</v>
      </c>
      <c r="DJ165" s="3">
        <f t="shared" ca="1" si="17"/>
        <v>87</v>
      </c>
      <c r="DK165" s="3"/>
      <c r="DL165" s="3"/>
      <c r="DM165" s="3"/>
      <c r="DN165" s="3"/>
      <c r="DO165" s="3"/>
      <c r="DP165" s="3"/>
    </row>
    <row r="166" spans="1:120">
      <c r="A166" t="s">
        <v>905</v>
      </c>
      <c r="B166" t="str">
        <f>REPLACE(Table1[[#This Row],[Order_ID]],1,3,"YOO")</f>
        <v>YOO10165</v>
      </c>
      <c r="C166" t="str">
        <f>MID(Table1[[#This Row],[Order_ID]],4,4)</f>
        <v>1016</v>
      </c>
      <c r="D166" t="str">
        <f>LEFT(Table1[[#This Row],[Order_ID]],4)</f>
        <v>ORD1</v>
      </c>
      <c r="E166" t="str">
        <f>RIGHT(Table1[[#This Row],[Order_ID]],5)</f>
        <v>10165</v>
      </c>
      <c r="F166" t="s">
        <v>5</v>
      </c>
      <c r="G166">
        <v>10165</v>
      </c>
      <c r="H166" t="s">
        <v>906</v>
      </c>
      <c r="I166" s="2">
        <f>EDATE(Table1[[#This Row],[Order_Date]],3)</f>
        <v>46047</v>
      </c>
      <c r="J166" s="2">
        <f>EDATE(Table1[[#This Row],[Order_Date]],6)</f>
        <v>46137</v>
      </c>
      <c r="K166">
        <f ca="1">YEAR(Table1[[#This Row],[Today]])</f>
        <v>2026</v>
      </c>
      <c r="L166">
        <v>165</v>
      </c>
      <c r="M166">
        <f ca="1">DAY(Table1[[#This Row],[Today]])</f>
        <v>11</v>
      </c>
      <c r="N166" s="19">
        <f t="shared" ca="1" si="20"/>
        <v>46245.589795370368</v>
      </c>
      <c r="O166" s="2">
        <f t="shared" ca="1" si="15"/>
        <v>46245</v>
      </c>
      <c r="P166" s="17">
        <f ca="1">Table1[[#This Row],[Today]]-Table1[[#This Row],[Order_Date]]</f>
        <v>290</v>
      </c>
      <c r="Q166" s="2">
        <v>45822</v>
      </c>
      <c r="R166" s="2">
        <v>45955</v>
      </c>
      <c r="S166" s="6">
        <f t="shared" si="18"/>
        <v>2025</v>
      </c>
      <c r="T166" s="7" t="str">
        <f t="shared" si="19"/>
        <v>October</v>
      </c>
      <c r="U166" s="2">
        <f>WORKDAY(Table1[[#This Row],[Order_Date]],5)</f>
        <v>45961</v>
      </c>
      <c r="V166" s="7" t="str">
        <f>CONCATENATE(Table1[[#This Row],[Customer_ID]],Table1[[#This Row],[Customer_Name]])</f>
        <v>C1114Vikas Yadav</v>
      </c>
      <c r="W166" t="s">
        <v>436</v>
      </c>
      <c r="X166" t="s">
        <v>208</v>
      </c>
      <c r="Y166">
        <f>COUNTA(Table1[[#This Row],[Customer_Name]])</f>
        <v>1</v>
      </c>
      <c r="Z166" t="str">
        <f>SUBSTITUTE(Table1[[#This Row],[Customer_Name]]," ","_")</f>
        <v>Vikas_Yadav</v>
      </c>
      <c r="AA166" s="10">
        <f>IFERROR(SEARCH("a",Table1[[#This Row],[Customer_Name]]),"N/A")</f>
        <v>4</v>
      </c>
      <c r="AB166">
        <f>SEARCH(" ",Table1[[#This Row],[Customer_Name]])</f>
        <v>6</v>
      </c>
      <c r="AC166" s="11">
        <f>IFERROR(FIND("a",Table1[[#This Row],[Customer_Name]]),"N/A")</f>
        <v>4</v>
      </c>
      <c r="AD166">
        <f>FIND(" ",Table1[[#This Row],[Customer_Name]])</f>
        <v>6</v>
      </c>
      <c r="AE166" t="str">
        <f>TRIM(Table1[[#This Row],[Customer_Name]])</f>
        <v>Vikas Yadav</v>
      </c>
      <c r="AF166">
        <f>LEN(Table1[[#This Row],[Trimmed]])</f>
        <v>11</v>
      </c>
      <c r="AG166">
        <f>MAX(Table1[Length])</f>
        <v>15</v>
      </c>
      <c r="AH166" t="str">
        <f>PROPER(Table1[[#This Row],[Customer_Name]])</f>
        <v>Vikas Yadav</v>
      </c>
      <c r="AI166" t="str">
        <f>LOWER(Table1[[#This Row],[Customer_Name]])</f>
        <v>vikas yadav</v>
      </c>
      <c r="AJ166" t="str">
        <f>UPPER(Table1[[#This Row],[Customer_Name]])</f>
        <v>VIKAS YADAV</v>
      </c>
      <c r="AK166" t="str">
        <f>CONCATENATE(Table1[[#This Row],[Customer_ID]],Table1[[#This Row],[Customer_Name]])</f>
        <v>C1114Vikas Yadav</v>
      </c>
      <c r="AL166" t="s">
        <v>209</v>
      </c>
      <c r="AM166" t="s">
        <v>210</v>
      </c>
      <c r="AN166" t="s">
        <v>211</v>
      </c>
      <c r="AO166" t="s">
        <v>209</v>
      </c>
      <c r="AP166" t="s">
        <v>210</v>
      </c>
      <c r="AQ166" t="s">
        <v>569</v>
      </c>
      <c r="AR166" t="str">
        <f>TRIM(Table1[[#This Row],[City]])</f>
        <v>Delhi</v>
      </c>
      <c r="AS166" t="str">
        <f>PROPER(Table1[[#This Row],[City]])</f>
        <v>Delhi</v>
      </c>
      <c r="AT166" t="s">
        <v>569</v>
      </c>
      <c r="AU166" t="str">
        <f>CONCATENATE(Table1[[#This Row],[City]],Table1[[#This Row],[State]])</f>
        <v>DelhiDelhi</v>
      </c>
      <c r="AV166" t="s">
        <v>150</v>
      </c>
      <c r="AW166" t="s">
        <v>250</v>
      </c>
      <c r="AX166" t="str">
        <f>REPLACE(Table1[[#This Row],[Product_ID]],1,1,"s")</f>
        <v>s113</v>
      </c>
      <c r="AY166" t="s">
        <v>907</v>
      </c>
      <c r="AZ166">
        <f>SEARCH("-",Table1[[#This Row],[Product ID]])</f>
        <v>2</v>
      </c>
      <c r="BA166">
        <f>FIND("-",Table1[[#This Row],[Product ID]])</f>
        <v>2</v>
      </c>
      <c r="BB166" t="str">
        <f>MID(Table1[[#This Row],[Product_ID]],2,3)</f>
        <v>113</v>
      </c>
      <c r="BC166" t="str">
        <f>RIGHT(Table1[[#This Row],[Product_ID]],3)</f>
        <v>113</v>
      </c>
      <c r="BD166" t="str">
        <f>LEFT(Table1[[#This Row],[Product_ID]],3)</f>
        <v>P11</v>
      </c>
      <c r="BE166" t="str">
        <f>_xlfn.XLOOKUP(Table1[[#This Row],[Product_ID]],AW:AW,BF:BF,,0)</f>
        <v>Desk Lamp</v>
      </c>
      <c r="BF166" t="s">
        <v>252</v>
      </c>
      <c r="BG166">
        <f>LEN(Table1[[#This Row],[Product_Name]])</f>
        <v>9</v>
      </c>
      <c r="BH166" t="s">
        <v>133</v>
      </c>
      <c r="BI166">
        <f t="shared" si="21"/>
        <v>75</v>
      </c>
      <c r="BJ166" t="str">
        <f>SUBSTITUTE(Table1[[#This Row],[Category]],"Electronics","ELECTRONICS")</f>
        <v>Home</v>
      </c>
      <c r="BN166" t="s">
        <v>253</v>
      </c>
      <c r="BS166" s="14">
        <v>1</v>
      </c>
      <c r="BT166" s="3">
        <v>1299</v>
      </c>
      <c r="BU166" s="4">
        <v>10</v>
      </c>
      <c r="BV166" s="4" t="str">
        <f>IF(AND(Table1[[#This Row],[Quantity]]&gt;=3,Table1[[#This Row],[Discount_%]]&gt;=15%),"Bulk Discount","no")</f>
        <v>no</v>
      </c>
      <c r="BW166" s="4" t="str">
        <f>IF(AND(Table1[[#This Row],[Quantity]]&gt;3,Table1[[#This Row],[Discount_%]]&gt;15%),"Bulk Customer","Normal")</f>
        <v>Normal</v>
      </c>
      <c r="BX166" t="s">
        <v>330</v>
      </c>
      <c r="BY166" t="s">
        <v>374</v>
      </c>
      <c r="CC166" t="str">
        <f>IF(OR(Table1[[#This Row],[Order_Status]]="Returned",Table1[[#This Row],[Order_Status]]="Cancelled"),"Attention Required","Not")</f>
        <v>Attention Required</v>
      </c>
      <c r="CD166" t="str">
        <f>IF(OR(Table1[[#This Row],[Order_Status]]="Returned",Table1[[#This Row],[Order_Status]]="Cancelled"),"Review","no")</f>
        <v>Review</v>
      </c>
      <c r="CE166" t="str">
        <f>SUBSTITUTE(Table1[[#This Row],[Order_Status]],"Delivered","Completed")</f>
        <v>Returned</v>
      </c>
      <c r="CF166" s="2">
        <v>45957</v>
      </c>
      <c r="CG166" s="17">
        <f>NETWORKDAYS(Table1[[#This Row],[Order_Date]],Table1[[#This Row],[Delivery_Date]])</f>
        <v>1</v>
      </c>
      <c r="CH166" s="17">
        <f>Table1[[#This Row],[Delivery_Date]]-Table1[[#This Row],[Order_Date]]</f>
        <v>2</v>
      </c>
      <c r="CI166" t="s">
        <v>375</v>
      </c>
      <c r="CJ166" t="str">
        <f>IF(Table1[[#This Row],[Rating]]&gt;=4,"Good","Needs Improvement")</f>
        <v>Good</v>
      </c>
      <c r="CK166" t="str">
        <f>IF(OR(Table1[[#This Row],[Rating]]&lt;=2,Table1[[#This Row],[Profit]]&lt;0),"Review","NO")</f>
        <v>NO</v>
      </c>
      <c r="CL166" t="str" cm="1">
        <f t="array" ref="CL166">_xlfn.IFS(Table1[[#This Row],[Rating]]&gt;2,"Poor",Table1[[#This Row],[Rating]]=3,"Average",Table1[[#This Row],[Rating]]=4,"Good",CP166=5,"Excellent")</f>
        <v>Poor</v>
      </c>
      <c r="CM166">
        <f>COUNT(Table1[[#This Row],[Rating]])</f>
        <v>1</v>
      </c>
      <c r="CN166">
        <f>COUNTBLANK(Table1[[#This Row],[Rating]])</f>
        <v>0</v>
      </c>
      <c r="CP166" t="s">
        <v>194</v>
      </c>
      <c r="CQ166" s="14">
        <v>5</v>
      </c>
      <c r="CR166" t="s">
        <v>139</v>
      </c>
      <c r="CS166" t="s">
        <v>174</v>
      </c>
      <c r="CU166" s="3">
        <v>1169.0999999999999</v>
      </c>
      <c r="CV166" s="3">
        <f>ROUND(Table1[[#This Row],[Sales_Amount]],0)</f>
        <v>1169</v>
      </c>
      <c r="CW166" s="3"/>
      <c r="CX166" s="3"/>
      <c r="CY166" s="3" t="b">
        <f>IF(AND(Table1[[#This Row],[Sales_Amount]]&gt;=10000,Table1[[#This Row],[Profit]]&gt;0),"Good Order")</f>
        <v>0</v>
      </c>
      <c r="CZ166" s="3" t="str">
        <f>IF(Table1[[#This Row],[Sales_Amount]]&gt;=10000,"High","Normal")</f>
        <v>Normal</v>
      </c>
      <c r="DA166" s="3">
        <v>519.1</v>
      </c>
      <c r="DB166" s="3">
        <f>ROUND(Table1[[#This Row],[Profit]],0)</f>
        <v>519</v>
      </c>
      <c r="DC166" s="3">
        <f>ABS(Table1[[#This Row],[Profit]])</f>
        <v>519.1</v>
      </c>
      <c r="DD166" s="3"/>
      <c r="DE166" s="3"/>
      <c r="DF166" s="3"/>
      <c r="DG166" s="3" t="str">
        <f>IF(Table1[[#This Row],[Profit]]&gt;0,"Profit","Loss")</f>
        <v>Profit</v>
      </c>
      <c r="DH166" s="3" t="str">
        <f>IF(AND(Table1[[#This Row],[Sales_Amount]]&gt;=10000,Table1[[#This Row],[Profit]]&gt;0),"Priority","Normal")</f>
        <v>Normal</v>
      </c>
      <c r="DI166" s="3">
        <f t="shared" ca="1" si="16"/>
        <v>0.87315052150325079</v>
      </c>
      <c r="DJ166" s="3">
        <f t="shared" ca="1" si="17"/>
        <v>98</v>
      </c>
      <c r="DK166" s="3"/>
      <c r="DL166" s="3"/>
      <c r="DM166" s="3"/>
      <c r="DN166" s="3"/>
      <c r="DO166" s="3"/>
      <c r="DP166" s="3"/>
    </row>
    <row r="167" spans="1:120">
      <c r="A167" t="s">
        <v>908</v>
      </c>
      <c r="B167" t="str">
        <f>REPLACE(Table1[[#This Row],[Order_ID]],1,3,"YOO")</f>
        <v>YOO10166</v>
      </c>
      <c r="C167" t="str">
        <f>MID(Table1[[#This Row],[Order_ID]],4,4)</f>
        <v>1016</v>
      </c>
      <c r="D167" t="str">
        <f>LEFT(Table1[[#This Row],[Order_ID]],4)</f>
        <v>ORD1</v>
      </c>
      <c r="E167" t="str">
        <f>RIGHT(Table1[[#This Row],[Order_ID]],5)</f>
        <v>10166</v>
      </c>
      <c r="F167" t="s">
        <v>5</v>
      </c>
      <c r="G167">
        <v>10166</v>
      </c>
      <c r="H167" t="s">
        <v>909</v>
      </c>
      <c r="I167" s="2">
        <f>EDATE(Table1[[#This Row],[Order_Date]],3)</f>
        <v>46028</v>
      </c>
      <c r="J167" s="2">
        <f>EDATE(Table1[[#This Row],[Order_Date]],6)</f>
        <v>46118</v>
      </c>
      <c r="K167">
        <f ca="1">YEAR(Table1[[#This Row],[Today]])</f>
        <v>2026</v>
      </c>
      <c r="L167">
        <v>166</v>
      </c>
      <c r="M167">
        <f ca="1">DAY(Table1[[#This Row],[Today]])</f>
        <v>11</v>
      </c>
      <c r="N167" s="19">
        <f t="shared" ca="1" si="20"/>
        <v>46245.589795138891</v>
      </c>
      <c r="O167" s="2">
        <f t="shared" ca="1" si="15"/>
        <v>46245</v>
      </c>
      <c r="P167" s="17">
        <f ca="1">Table1[[#This Row],[Today]]-Table1[[#This Row],[Order_Date]]</f>
        <v>309</v>
      </c>
      <c r="Q167" s="2">
        <v>45823</v>
      </c>
      <c r="R167" s="2">
        <v>45936</v>
      </c>
      <c r="S167" s="6">
        <f t="shared" si="18"/>
        <v>2025</v>
      </c>
      <c r="T167" s="7" t="str">
        <f t="shared" si="19"/>
        <v>October</v>
      </c>
      <c r="U167" s="2">
        <f>WORKDAY(Table1[[#This Row],[Order_Date]],5)</f>
        <v>45943</v>
      </c>
      <c r="V167" s="7" t="str">
        <f>CONCATENATE(Table1[[#This Row],[Customer_ID]],Table1[[#This Row],[Customer_Name]])</f>
        <v>C1013Aditya Malhotra</v>
      </c>
      <c r="W167" t="s">
        <v>228</v>
      </c>
      <c r="X167" t="s">
        <v>257</v>
      </c>
      <c r="Y167">
        <f>COUNTA(Table1[[#This Row],[Customer_Name]])</f>
        <v>1</v>
      </c>
      <c r="Z167" t="str">
        <f>SUBSTITUTE(Table1[[#This Row],[Customer_Name]]," ","_")</f>
        <v>Aditya_Malhotra</v>
      </c>
      <c r="AA167" s="10">
        <f>IFERROR(SEARCH("a",Table1[[#This Row],[Customer_Name]]),"N/A")</f>
        <v>1</v>
      </c>
      <c r="AB167">
        <f>SEARCH(" ",Table1[[#This Row],[Customer_Name]])</f>
        <v>7</v>
      </c>
      <c r="AC167" s="11">
        <f>IFERROR(FIND("a",Table1[[#This Row],[Customer_Name]]),"N/A")</f>
        <v>6</v>
      </c>
      <c r="AD167">
        <f>FIND(" ",Table1[[#This Row],[Customer_Name]])</f>
        <v>7</v>
      </c>
      <c r="AE167" t="str">
        <f>TRIM(Table1[[#This Row],[Customer_Name]])</f>
        <v>Aditya Malhotra</v>
      </c>
      <c r="AF167">
        <f>LEN(Table1[[#This Row],[Trimmed]])</f>
        <v>15</v>
      </c>
      <c r="AG167">
        <f>MAX(Table1[Length])</f>
        <v>15</v>
      </c>
      <c r="AH167" t="str">
        <f>PROPER(Table1[[#This Row],[Customer_Name]])</f>
        <v>Aditya Malhotra</v>
      </c>
      <c r="AI167" t="str">
        <f>LOWER(Table1[[#This Row],[Customer_Name]])</f>
        <v>aditya malhotra</v>
      </c>
      <c r="AJ167" t="str">
        <f>UPPER(Table1[[#This Row],[Customer_Name]])</f>
        <v>ADITYA MALHOTRA</v>
      </c>
      <c r="AK167" t="str">
        <f>CONCATENATE(Table1[[#This Row],[Customer_ID]],Table1[[#This Row],[Customer_Name]])</f>
        <v>C1013Aditya Malhotra</v>
      </c>
      <c r="AL167" t="s">
        <v>258</v>
      </c>
      <c r="AM167" t="s">
        <v>259</v>
      </c>
      <c r="AN167" t="s">
        <v>260</v>
      </c>
      <c r="AO167" t="s">
        <v>258</v>
      </c>
      <c r="AP167" t="s">
        <v>259</v>
      </c>
      <c r="AQ167" t="s">
        <v>304</v>
      </c>
      <c r="AR167" t="str">
        <f>TRIM(Table1[[#This Row],[City]])</f>
        <v>Chennai</v>
      </c>
      <c r="AS167" t="str">
        <f>PROPER(Table1[[#This Row],[City]])</f>
        <v>Chennai</v>
      </c>
      <c r="AT167" t="s">
        <v>305</v>
      </c>
      <c r="AU167" t="str">
        <f>CONCATENATE(Table1[[#This Row],[City]],Table1[[#This Row],[State]])</f>
        <v>ChennaiTamil Nadu</v>
      </c>
      <c r="AV167" t="s">
        <v>168</v>
      </c>
      <c r="AW167" t="s">
        <v>183</v>
      </c>
      <c r="AX167" t="str">
        <f>REPLACE(Table1[[#This Row],[Product_ID]],1,1,"s")</f>
        <v>s105</v>
      </c>
      <c r="AY167" t="s">
        <v>910</v>
      </c>
      <c r="AZ167">
        <f>SEARCH("-",Table1[[#This Row],[Product ID]])</f>
        <v>2</v>
      </c>
      <c r="BA167">
        <f>FIND("-",Table1[[#This Row],[Product ID]])</f>
        <v>2</v>
      </c>
      <c r="BB167" t="str">
        <f>MID(Table1[[#This Row],[Product_ID]],2,3)</f>
        <v>105</v>
      </c>
      <c r="BC167" t="str">
        <f>RIGHT(Table1[[#This Row],[Product_ID]],3)</f>
        <v>105</v>
      </c>
      <c r="BD167" t="str">
        <f>LEFT(Table1[[#This Row],[Product_ID]],3)</f>
        <v>P10</v>
      </c>
      <c r="BE167" t="str">
        <f>_xlfn.XLOOKUP(Table1[[#This Row],[Product_ID]],AW:AW,BF:BF,,0)</f>
        <v>Bluetooth Speaker</v>
      </c>
      <c r="BF167" t="s">
        <v>185</v>
      </c>
      <c r="BG167">
        <f>LEN(Table1[[#This Row],[Product_Name]])</f>
        <v>17</v>
      </c>
      <c r="BH167" t="s">
        <v>154</v>
      </c>
      <c r="BI167">
        <f t="shared" si="21"/>
        <v>75</v>
      </c>
      <c r="BJ167" t="str">
        <f>SUBSTITUTE(Table1[[#This Row],[Category]],"Electronics","ELECTRONICS")</f>
        <v>ELECTRONICS</v>
      </c>
      <c r="BN167" t="s">
        <v>186</v>
      </c>
      <c r="BS167" s="14">
        <v>2</v>
      </c>
      <c r="BT167" s="3">
        <v>2999</v>
      </c>
      <c r="BU167" s="4">
        <v>0</v>
      </c>
      <c r="BV167" s="4" t="str">
        <f>IF(AND(Table1[[#This Row],[Quantity]]&gt;=3,Table1[[#This Row],[Discount_%]]&gt;=15%),"Bulk Discount","no")</f>
        <v>no</v>
      </c>
      <c r="BW167" s="4" t="str">
        <f>IF(AND(Table1[[#This Row],[Quantity]]&gt;3,Table1[[#This Row],[Discount_%]]&gt;15%),"Bulk Customer","Normal")</f>
        <v>Normal</v>
      </c>
      <c r="BX167" t="s">
        <v>187</v>
      </c>
      <c r="BY167" t="s">
        <v>156</v>
      </c>
      <c r="CC167" t="str">
        <f>IF(OR(Table1[[#This Row],[Order_Status]]="Returned",Table1[[#This Row],[Order_Status]]="Cancelled"),"Attention Required","Not")</f>
        <v>Attention Required</v>
      </c>
      <c r="CD167" t="str">
        <f>IF(OR(Table1[[#This Row],[Order_Status]]="Returned",Table1[[#This Row],[Order_Status]]="Cancelled"),"Review","no")</f>
        <v>Review</v>
      </c>
      <c r="CE167" t="str">
        <f>SUBSTITUTE(Table1[[#This Row],[Order_Status]],"Delivered","Completed")</f>
        <v>Cancelled</v>
      </c>
      <c r="CF167" s="2">
        <v>45940</v>
      </c>
      <c r="CG167" s="17">
        <f>NETWORKDAYS(Table1[[#This Row],[Order_Date]],Table1[[#This Row],[Delivery_Date]])</f>
        <v>5</v>
      </c>
      <c r="CH167" s="17">
        <f>Table1[[#This Row],[Delivery_Date]]-Table1[[#This Row],[Order_Date]]</f>
        <v>4</v>
      </c>
      <c r="CI167" t="s">
        <v>137</v>
      </c>
      <c r="CJ167" t="str">
        <f>IF(Table1[[#This Row],[Rating]]&gt;=4,"Good","Needs Improvement")</f>
        <v>Good</v>
      </c>
      <c r="CK167" t="str">
        <f>IF(OR(Table1[[#This Row],[Rating]]&lt;=2,Table1[[#This Row],[Profit]]&lt;0),"Review","NO")</f>
        <v>NO</v>
      </c>
      <c r="CL167" t="str" cm="1">
        <f t="array" ref="CL167">_xlfn.IFS(Table1[[#This Row],[Rating]]&gt;2,"Poor",Table1[[#This Row],[Rating]]=3,"Average",Table1[[#This Row],[Rating]]=4,"Good",CP167=5,"Excellent")</f>
        <v>Poor</v>
      </c>
      <c r="CM167">
        <f>COUNT(Table1[[#This Row],[Rating]])</f>
        <v>1</v>
      </c>
      <c r="CN167">
        <f>COUNTBLANK(Table1[[#This Row],[Rating]])</f>
        <v>0</v>
      </c>
      <c r="CQ167" s="14">
        <v>4</v>
      </c>
      <c r="CR167" t="s">
        <v>139</v>
      </c>
      <c r="CS167" t="s">
        <v>140</v>
      </c>
      <c r="CU167" s="3">
        <v>5998</v>
      </c>
      <c r="CV167" s="3">
        <f>ROUND(Table1[[#This Row],[Sales_Amount]],0)</f>
        <v>5998</v>
      </c>
      <c r="CW167" s="3"/>
      <c r="CX167" s="3"/>
      <c r="CY167" s="3" t="b">
        <f>IF(AND(Table1[[#This Row],[Sales_Amount]]&gt;=10000,Table1[[#This Row],[Profit]]&gt;0),"Good Order")</f>
        <v>0</v>
      </c>
      <c r="CZ167" s="3" t="str">
        <f>IF(Table1[[#This Row],[Sales_Amount]]&gt;=10000,"High","Normal")</f>
        <v>Normal</v>
      </c>
      <c r="DA167" s="3">
        <v>2498</v>
      </c>
      <c r="DB167" s="3">
        <f>ROUND(Table1[[#This Row],[Profit]],0)</f>
        <v>2498</v>
      </c>
      <c r="DC167" s="3">
        <f>ABS(Table1[[#This Row],[Profit]])</f>
        <v>2498</v>
      </c>
      <c r="DD167" s="3"/>
      <c r="DE167" s="3"/>
      <c r="DF167" s="3"/>
      <c r="DG167" s="3" t="str">
        <f>IF(Table1[[#This Row],[Profit]]&gt;0,"Profit","Loss")</f>
        <v>Profit</v>
      </c>
      <c r="DH167" s="3" t="str">
        <f>IF(AND(Table1[[#This Row],[Sales_Amount]]&gt;=10000,Table1[[#This Row],[Profit]]&gt;0),"Priority","Normal")</f>
        <v>Normal</v>
      </c>
      <c r="DI167" s="3">
        <f t="shared" ca="1" si="16"/>
        <v>0.2968980364173941</v>
      </c>
      <c r="DJ167" s="3">
        <f t="shared" ca="1" si="17"/>
        <v>96</v>
      </c>
      <c r="DK167" s="3"/>
      <c r="DL167" s="3"/>
      <c r="DM167" s="3"/>
      <c r="DN167" s="3"/>
      <c r="DO167" s="3"/>
      <c r="DP167" s="3"/>
    </row>
    <row r="168" spans="1:120">
      <c r="A168" t="s">
        <v>911</v>
      </c>
      <c r="B168" t="str">
        <f>REPLACE(Table1[[#This Row],[Order_ID]],1,3,"YOO")</f>
        <v>YOO10167</v>
      </c>
      <c r="C168" t="str">
        <f>MID(Table1[[#This Row],[Order_ID]],4,4)</f>
        <v>1016</v>
      </c>
      <c r="D168" t="str">
        <f>LEFT(Table1[[#This Row],[Order_ID]],4)</f>
        <v>ORD1</v>
      </c>
      <c r="E168" t="str">
        <f>RIGHT(Table1[[#This Row],[Order_ID]],5)</f>
        <v>10167</v>
      </c>
      <c r="F168" t="s">
        <v>5</v>
      </c>
      <c r="G168">
        <v>10167</v>
      </c>
      <c r="H168" t="s">
        <v>912</v>
      </c>
      <c r="I168" s="2">
        <f>EDATE(Table1[[#This Row],[Order_Date]],3)</f>
        <v>46086</v>
      </c>
      <c r="J168" s="2">
        <f>EDATE(Table1[[#This Row],[Order_Date]],6)</f>
        <v>46178</v>
      </c>
      <c r="K168">
        <f ca="1">YEAR(Table1[[#This Row],[Today]])</f>
        <v>2026</v>
      </c>
      <c r="L168">
        <v>167</v>
      </c>
      <c r="M168">
        <f ca="1">DAY(Table1[[#This Row],[Today]])</f>
        <v>11</v>
      </c>
      <c r="N168" s="19">
        <f t="shared" ca="1" si="20"/>
        <v>46245.589795370368</v>
      </c>
      <c r="O168" s="2">
        <f t="shared" ca="1" si="15"/>
        <v>46245</v>
      </c>
      <c r="P168" s="17">
        <f ca="1">Table1[[#This Row],[Today]]-Table1[[#This Row],[Order_Date]]</f>
        <v>249</v>
      </c>
      <c r="Q168" s="2">
        <v>45824</v>
      </c>
      <c r="R168" s="2">
        <v>45996</v>
      </c>
      <c r="S168" s="6">
        <f t="shared" si="18"/>
        <v>2025</v>
      </c>
      <c r="T168" s="7" t="str">
        <f t="shared" si="19"/>
        <v>December</v>
      </c>
      <c r="U168" s="2">
        <f>WORKDAY(Table1[[#This Row],[Order_Date]],5)</f>
        <v>46003</v>
      </c>
      <c r="V168" s="7" t="str">
        <f>CONCATENATE(Table1[[#This Row],[Customer_ID]],Table1[[#This Row],[Customer_Name]])</f>
        <v>C1141Simran Kaur</v>
      </c>
      <c r="W168" t="s">
        <v>317</v>
      </c>
      <c r="X168" t="s">
        <v>325</v>
      </c>
      <c r="Y168">
        <f>COUNTA(Table1[[#This Row],[Customer_Name]])</f>
        <v>1</v>
      </c>
      <c r="Z168" t="str">
        <f>SUBSTITUTE(Table1[[#This Row],[Customer_Name]]," ","_")</f>
        <v>Simran_Kaur</v>
      </c>
      <c r="AA168" s="10">
        <f>IFERROR(SEARCH("a",Table1[[#This Row],[Customer_Name]]),"N/A")</f>
        <v>5</v>
      </c>
      <c r="AB168">
        <f>SEARCH(" ",Table1[[#This Row],[Customer_Name]])</f>
        <v>7</v>
      </c>
      <c r="AC168" s="11">
        <f>IFERROR(FIND("a",Table1[[#This Row],[Customer_Name]]),"N/A")</f>
        <v>5</v>
      </c>
      <c r="AD168">
        <f>FIND(" ",Table1[[#This Row],[Customer_Name]])</f>
        <v>7</v>
      </c>
      <c r="AE168" t="str">
        <f>TRIM(Table1[[#This Row],[Customer_Name]])</f>
        <v>Simran Kaur</v>
      </c>
      <c r="AF168">
        <f>LEN(Table1[[#This Row],[Trimmed]])</f>
        <v>11</v>
      </c>
      <c r="AG168">
        <f>MAX(Table1[Length])</f>
        <v>15</v>
      </c>
      <c r="AH168" t="str">
        <f>PROPER(Table1[[#This Row],[Customer_Name]])</f>
        <v>Simran Kaur</v>
      </c>
      <c r="AI168" t="str">
        <f>LOWER(Table1[[#This Row],[Customer_Name]])</f>
        <v>simran kaur</v>
      </c>
      <c r="AJ168" t="str">
        <f>UPPER(Table1[[#This Row],[Customer_Name]])</f>
        <v>SIMRAN KAUR</v>
      </c>
      <c r="AK168" t="str">
        <f>CONCATENATE(Table1[[#This Row],[Customer_ID]],Table1[[#This Row],[Customer_Name]])</f>
        <v>C1141Simran Kaur</v>
      </c>
      <c r="AL168" t="s">
        <v>326</v>
      </c>
      <c r="AM168" t="s">
        <v>327</v>
      </c>
      <c r="AN168" t="s">
        <v>328</v>
      </c>
      <c r="AO168" t="s">
        <v>326</v>
      </c>
      <c r="AP168" t="s">
        <v>327</v>
      </c>
      <c r="AQ168" t="s">
        <v>166</v>
      </c>
      <c r="AR168" t="str">
        <f>TRIM(Table1[[#This Row],[City]])</f>
        <v>Bengaluru</v>
      </c>
      <c r="AS168" t="str">
        <f>PROPER(Table1[[#This Row],[City]])</f>
        <v>Bengaluru</v>
      </c>
      <c r="AT168" t="s">
        <v>167</v>
      </c>
      <c r="AU168" t="str">
        <f>CONCATENATE(Table1[[#This Row],[City]],Table1[[#This Row],[State]])</f>
        <v>BengaluruKarnataka</v>
      </c>
      <c r="AV168" t="s">
        <v>168</v>
      </c>
      <c r="AW168" t="s">
        <v>151</v>
      </c>
      <c r="AX168" t="str">
        <f>REPLACE(Table1[[#This Row],[Product_ID]],1,1,"s")</f>
        <v>s102</v>
      </c>
      <c r="AY168" t="s">
        <v>913</v>
      </c>
      <c r="AZ168">
        <f>SEARCH("-",Table1[[#This Row],[Product ID]])</f>
        <v>2</v>
      </c>
      <c r="BA168">
        <f>FIND("-",Table1[[#This Row],[Product ID]])</f>
        <v>2</v>
      </c>
      <c r="BB168" t="str">
        <f>MID(Table1[[#This Row],[Product_ID]],2,3)</f>
        <v>102</v>
      </c>
      <c r="BC168" t="str">
        <f>RIGHT(Table1[[#This Row],[Product_ID]],3)</f>
        <v>102</v>
      </c>
      <c r="BD168" t="str">
        <f>LEFT(Table1[[#This Row],[Product_ID]],3)</f>
        <v>P10</v>
      </c>
      <c r="BE168" t="str">
        <f>_xlfn.XLOOKUP(Table1[[#This Row],[Product_ID]],AW:AW,BF:BF,,0)</f>
        <v>Mechanical Keyboard</v>
      </c>
      <c r="BF168" t="s">
        <v>153</v>
      </c>
      <c r="BG168">
        <f>LEN(Table1[[#This Row],[Product_Name]])</f>
        <v>19</v>
      </c>
      <c r="BH168" t="s">
        <v>154</v>
      </c>
      <c r="BI168">
        <f t="shared" si="21"/>
        <v>75</v>
      </c>
      <c r="BJ168" t="str">
        <f>SUBSTITUTE(Table1[[#This Row],[Category]],"Electronics","ELECTRONICS")</f>
        <v>ELECTRONICS</v>
      </c>
      <c r="BN168" t="s">
        <v>155</v>
      </c>
      <c r="BS168" s="14">
        <v>4</v>
      </c>
      <c r="BT168" s="3">
        <v>2499</v>
      </c>
      <c r="BU168" s="4">
        <v>0</v>
      </c>
      <c r="BV168" s="4" t="str">
        <f>IF(AND(Table1[[#This Row],[Quantity]]&gt;=3,Table1[[#This Row],[Discount_%]]&gt;=15%),"Bulk Discount","no")</f>
        <v>no</v>
      </c>
      <c r="BW168" s="4" t="str">
        <f>IF(AND(Table1[[#This Row],[Quantity]]&gt;3,Table1[[#This Row],[Discount_%]]&gt;15%),"Bulk Customer","Normal")</f>
        <v>Normal</v>
      </c>
      <c r="BX168" t="s">
        <v>330</v>
      </c>
      <c r="BY168" t="s">
        <v>374</v>
      </c>
      <c r="CC168" t="str">
        <f>IF(OR(Table1[[#This Row],[Order_Status]]="Returned",Table1[[#This Row],[Order_Status]]="Cancelled"),"Attention Required","Not")</f>
        <v>Attention Required</v>
      </c>
      <c r="CD168" t="str">
        <f>IF(OR(Table1[[#This Row],[Order_Status]]="Returned",Table1[[#This Row],[Order_Status]]="Cancelled"),"Review","no")</f>
        <v>Review</v>
      </c>
      <c r="CE168" t="str">
        <f>SUBSTITUTE(Table1[[#This Row],[Order_Status]],"Delivered","Completed")</f>
        <v>Returned</v>
      </c>
      <c r="CF168" s="2">
        <v>45999</v>
      </c>
      <c r="CG168" s="17">
        <f>NETWORKDAYS(Table1[[#This Row],[Order_Date]],Table1[[#This Row],[Delivery_Date]])</f>
        <v>2</v>
      </c>
      <c r="CH168" s="17">
        <f>Table1[[#This Row],[Delivery_Date]]-Table1[[#This Row],[Order_Date]]</f>
        <v>3</v>
      </c>
      <c r="CI168" t="s">
        <v>375</v>
      </c>
      <c r="CJ168" t="str">
        <f>IF(Table1[[#This Row],[Rating]]&gt;=4,"Good","Needs Improvement")</f>
        <v>Needs Improvement</v>
      </c>
      <c r="CK168" t="str">
        <f>IF(OR(Table1[[#This Row],[Rating]]&lt;=2,Table1[[#This Row],[Profit]]&lt;0),"Review","NO")</f>
        <v>Review</v>
      </c>
      <c r="CL168" t="e" cm="1">
        <f t="array" ref="CL168">_xlfn.IFS(Table1[[#This Row],[Rating]]&gt;2,"Poor",Table1[[#This Row],[Rating]]=3,"Average",Table1[[#This Row],[Rating]]=4,"Good",CP168=5,"Excellent")</f>
        <v>#N/A</v>
      </c>
      <c r="CM168">
        <f>COUNT(Table1[[#This Row],[Rating]])</f>
        <v>1</v>
      </c>
      <c r="CN168">
        <f>COUNTBLANK(Table1[[#This Row],[Rating]])</f>
        <v>0</v>
      </c>
      <c r="CQ168" s="14">
        <v>1</v>
      </c>
      <c r="CR168" t="s">
        <v>173</v>
      </c>
      <c r="CS168" t="s">
        <v>267</v>
      </c>
      <c r="CU168" s="3">
        <v>9996</v>
      </c>
      <c r="CV168" s="3">
        <f>ROUND(Table1[[#This Row],[Sales_Amount]],0)</f>
        <v>9996</v>
      </c>
      <c r="CW168" s="3"/>
      <c r="CX168" s="3"/>
      <c r="CY168" s="3" t="b">
        <f>IF(AND(Table1[[#This Row],[Sales_Amount]]&gt;=10000,Table1[[#This Row],[Profit]]&gt;0),"Good Order")</f>
        <v>0</v>
      </c>
      <c r="CZ168" s="3" t="str">
        <f>IF(Table1[[#This Row],[Sales_Amount]]&gt;=10000,"High","Normal")</f>
        <v>Normal</v>
      </c>
      <c r="DA168" s="3">
        <v>4196</v>
      </c>
      <c r="DB168" s="3">
        <f>ROUND(Table1[[#This Row],[Profit]],0)</f>
        <v>4196</v>
      </c>
      <c r="DC168" s="3">
        <f>ABS(Table1[[#This Row],[Profit]])</f>
        <v>4196</v>
      </c>
      <c r="DD168" s="3"/>
      <c r="DE168" s="3"/>
      <c r="DF168" s="3"/>
      <c r="DG168" s="3" t="str">
        <f>IF(Table1[[#This Row],[Profit]]&gt;0,"Profit","Loss")</f>
        <v>Profit</v>
      </c>
      <c r="DH168" s="3" t="str">
        <f>IF(AND(Table1[[#This Row],[Sales_Amount]]&gt;=10000,Table1[[#This Row],[Profit]]&gt;0),"Priority","Normal")</f>
        <v>Normal</v>
      </c>
      <c r="DI168" s="3">
        <f t="shared" ca="1" si="16"/>
        <v>0.46426511268784898</v>
      </c>
      <c r="DJ168" s="3">
        <f t="shared" ca="1" si="17"/>
        <v>89</v>
      </c>
      <c r="DK168" s="3"/>
      <c r="DL168" s="3"/>
      <c r="DM168" s="3"/>
      <c r="DN168" s="3"/>
      <c r="DO168" s="3"/>
      <c r="DP168" s="3"/>
    </row>
    <row r="169" spans="1:120">
      <c r="A169" t="s">
        <v>914</v>
      </c>
      <c r="B169" t="str">
        <f>REPLACE(Table1[[#This Row],[Order_ID]],1,3,"YOO")</f>
        <v>YOO10168</v>
      </c>
      <c r="C169" t="str">
        <f>MID(Table1[[#This Row],[Order_ID]],4,4)</f>
        <v>1016</v>
      </c>
      <c r="D169" t="str">
        <f>LEFT(Table1[[#This Row],[Order_ID]],4)</f>
        <v>ORD1</v>
      </c>
      <c r="E169" t="str">
        <f>RIGHT(Table1[[#This Row],[Order_ID]],5)</f>
        <v>10168</v>
      </c>
      <c r="F169" t="s">
        <v>5</v>
      </c>
      <c r="G169">
        <v>10168</v>
      </c>
      <c r="H169" t="s">
        <v>915</v>
      </c>
      <c r="I169" s="2">
        <f>EDATE(Table1[[#This Row],[Order_Date]],3)</f>
        <v>46044</v>
      </c>
      <c r="J169" s="2">
        <f>EDATE(Table1[[#This Row],[Order_Date]],6)</f>
        <v>46134</v>
      </c>
      <c r="K169">
        <f ca="1">YEAR(Table1[[#This Row],[Today]])</f>
        <v>2026</v>
      </c>
      <c r="L169">
        <v>168</v>
      </c>
      <c r="M169">
        <f ca="1">DAY(Table1[[#This Row],[Today]])</f>
        <v>11</v>
      </c>
      <c r="N169" s="19">
        <f t="shared" ca="1" si="20"/>
        <v>46245.589795370368</v>
      </c>
      <c r="O169" s="2">
        <f t="shared" ca="1" si="15"/>
        <v>46245</v>
      </c>
      <c r="P169" s="17">
        <f ca="1">Table1[[#This Row],[Today]]-Table1[[#This Row],[Order_Date]]</f>
        <v>293</v>
      </c>
      <c r="Q169" s="2">
        <v>45825</v>
      </c>
      <c r="R169" s="2">
        <v>45952</v>
      </c>
      <c r="S169" s="6">
        <f t="shared" si="18"/>
        <v>2025</v>
      </c>
      <c r="T169" s="7" t="str">
        <f t="shared" si="19"/>
        <v>October</v>
      </c>
      <c r="U169" s="2">
        <f>WORKDAY(Table1[[#This Row],[Order_Date]],5)</f>
        <v>45959</v>
      </c>
      <c r="V169" s="7" t="str">
        <f>CONCATENATE(Table1[[#This Row],[Customer_ID]],Table1[[#This Row],[Customer_Name]])</f>
        <v>C1147Anjali Joshi</v>
      </c>
      <c r="W169" t="s">
        <v>748</v>
      </c>
      <c r="X169" t="s">
        <v>310</v>
      </c>
      <c r="Y169">
        <f>COUNTA(Table1[[#This Row],[Customer_Name]])</f>
        <v>1</v>
      </c>
      <c r="Z169" t="str">
        <f>SUBSTITUTE(Table1[[#This Row],[Customer_Name]]," ","_")</f>
        <v>Anjali_Joshi</v>
      </c>
      <c r="AA169" s="10">
        <f>IFERROR(SEARCH("a",Table1[[#This Row],[Customer_Name]]),"N/A")</f>
        <v>1</v>
      </c>
      <c r="AB169">
        <f>SEARCH(" ",Table1[[#This Row],[Customer_Name]])</f>
        <v>7</v>
      </c>
      <c r="AC169" s="11">
        <f>IFERROR(FIND("a",Table1[[#This Row],[Customer_Name]]),"N/A")</f>
        <v>4</v>
      </c>
      <c r="AD169">
        <f>FIND(" ",Table1[[#This Row],[Customer_Name]])</f>
        <v>7</v>
      </c>
      <c r="AE169" t="str">
        <f>TRIM(Table1[[#This Row],[Customer_Name]])</f>
        <v>Anjali Joshi</v>
      </c>
      <c r="AF169">
        <f>LEN(Table1[[#This Row],[Trimmed]])</f>
        <v>12</v>
      </c>
      <c r="AG169">
        <f>MAX(Table1[Length])</f>
        <v>15</v>
      </c>
      <c r="AH169" t="str">
        <f>PROPER(Table1[[#This Row],[Customer_Name]])</f>
        <v>Anjali Joshi</v>
      </c>
      <c r="AI169" t="str">
        <f>LOWER(Table1[[#This Row],[Customer_Name]])</f>
        <v>anjali joshi</v>
      </c>
      <c r="AJ169" t="str">
        <f>UPPER(Table1[[#This Row],[Customer_Name]])</f>
        <v>ANJALI JOSHI</v>
      </c>
      <c r="AK169" t="str">
        <f>CONCATENATE(Table1[[#This Row],[Customer_ID]],Table1[[#This Row],[Customer_Name]])</f>
        <v>C1147Anjali Joshi</v>
      </c>
      <c r="AL169" t="s">
        <v>311</v>
      </c>
      <c r="AM169" t="s">
        <v>312</v>
      </c>
      <c r="AN169" t="s">
        <v>313</v>
      </c>
      <c r="AO169" t="s">
        <v>311</v>
      </c>
      <c r="AP169" t="s">
        <v>312</v>
      </c>
      <c r="AQ169" t="s">
        <v>148</v>
      </c>
      <c r="AR169" t="str">
        <f>TRIM(Table1[[#This Row],[City]])</f>
        <v>Jaipur</v>
      </c>
      <c r="AS169" t="str">
        <f>PROPER(Table1[[#This Row],[City]])</f>
        <v>Jaipur</v>
      </c>
      <c r="AT169" t="s">
        <v>149</v>
      </c>
      <c r="AU169" t="str">
        <f>CONCATENATE(Table1[[#This Row],[City]],Table1[[#This Row],[State]])</f>
        <v>JaipurRajasthan</v>
      </c>
      <c r="AV169" t="s">
        <v>150</v>
      </c>
      <c r="AW169" t="s">
        <v>130</v>
      </c>
      <c r="AX169" t="str">
        <f>REPLACE(Table1[[#This Row],[Product_ID]],1,1,"s")</f>
        <v>s111</v>
      </c>
      <c r="AY169" t="s">
        <v>916</v>
      </c>
      <c r="AZ169">
        <f>SEARCH("-",Table1[[#This Row],[Product ID]])</f>
        <v>2</v>
      </c>
      <c r="BA169">
        <f>FIND("-",Table1[[#This Row],[Product ID]])</f>
        <v>2</v>
      </c>
      <c r="BB169" t="str">
        <f>MID(Table1[[#This Row],[Product_ID]],2,3)</f>
        <v>111</v>
      </c>
      <c r="BC169" t="str">
        <f>RIGHT(Table1[[#This Row],[Product_ID]],3)</f>
        <v>111</v>
      </c>
      <c r="BD169" t="str">
        <f>LEFT(Table1[[#This Row],[Product_ID]],3)</f>
        <v>P11</v>
      </c>
      <c r="BE169" t="str">
        <f>_xlfn.XLOOKUP(Table1[[#This Row],[Product_ID]],AW:AW,BF:BF,,0)</f>
        <v>Coffee Maker</v>
      </c>
      <c r="BF169" t="s">
        <v>132</v>
      </c>
      <c r="BG169">
        <f>LEN(Table1[[#This Row],[Product_Name]])</f>
        <v>12</v>
      </c>
      <c r="BH169" t="s">
        <v>133</v>
      </c>
      <c r="BI169">
        <f t="shared" si="21"/>
        <v>75</v>
      </c>
      <c r="BJ169" t="str">
        <f>SUBSTITUTE(Table1[[#This Row],[Category]],"Electronics","ELECTRONICS")</f>
        <v>Home</v>
      </c>
      <c r="BN169" t="s">
        <v>134</v>
      </c>
      <c r="BS169" s="14">
        <v>3</v>
      </c>
      <c r="BT169" s="3">
        <v>3999</v>
      </c>
      <c r="BU169" s="4">
        <v>10</v>
      </c>
      <c r="BV169" s="4" t="str">
        <f>IF(AND(Table1[[#This Row],[Quantity]]&gt;=3,Table1[[#This Row],[Discount_%]]&gt;=15%),"Bulk Discount","no")</f>
        <v>Bulk Discount</v>
      </c>
      <c r="BW169" s="4" t="str">
        <f>IF(AND(Table1[[#This Row],[Quantity]]&gt;3,Table1[[#This Row],[Discount_%]]&gt;15%),"Bulk Customer","Normal")</f>
        <v>Normal</v>
      </c>
      <c r="BX169" t="s">
        <v>135</v>
      </c>
      <c r="BY169" t="s">
        <v>374</v>
      </c>
      <c r="CC169" t="str">
        <f>IF(OR(Table1[[#This Row],[Order_Status]]="Returned",Table1[[#This Row],[Order_Status]]="Cancelled"),"Attention Required","Not")</f>
        <v>Attention Required</v>
      </c>
      <c r="CD169" t="str">
        <f>IF(OR(Table1[[#This Row],[Order_Status]]="Returned",Table1[[#This Row],[Order_Status]]="Cancelled"),"Review","no")</f>
        <v>Review</v>
      </c>
      <c r="CE169" t="str">
        <f>SUBSTITUTE(Table1[[#This Row],[Order_Status]],"Delivered","Completed")</f>
        <v>Returned</v>
      </c>
      <c r="CF169" s="2">
        <v>45953</v>
      </c>
      <c r="CG169" s="17">
        <f>NETWORKDAYS(Table1[[#This Row],[Order_Date]],Table1[[#This Row],[Delivery_Date]])</f>
        <v>2</v>
      </c>
      <c r="CH169" s="17">
        <f>Table1[[#This Row],[Delivery_Date]]-Table1[[#This Row],[Order_Date]]</f>
        <v>1</v>
      </c>
      <c r="CI169" t="s">
        <v>375</v>
      </c>
      <c r="CJ169" t="str">
        <f>IF(Table1[[#This Row],[Rating]]&gt;=4,"Good","Needs Improvement")</f>
        <v>Needs Improvement</v>
      </c>
      <c r="CK169" t="str">
        <f>IF(OR(Table1[[#This Row],[Rating]]&lt;=2,Table1[[#This Row],[Profit]]&lt;0),"Review","NO")</f>
        <v>Review</v>
      </c>
      <c r="CL169" t="e" cm="1">
        <f t="array" ref="CL169">_xlfn.IFS(Table1[[#This Row],[Rating]]&gt;2,"Poor",Table1[[#This Row],[Rating]]=3,"Average",Table1[[#This Row],[Rating]]=4,"Good",CP169=5,"Excellent")</f>
        <v>#N/A</v>
      </c>
      <c r="CM169">
        <f>COUNT(Table1[[#This Row],[Rating]])</f>
        <v>1</v>
      </c>
      <c r="CN169">
        <f>COUNTBLANK(Table1[[#This Row],[Rating]])</f>
        <v>0</v>
      </c>
      <c r="CQ169" s="14">
        <v>2</v>
      </c>
      <c r="CR169" t="s">
        <v>204</v>
      </c>
      <c r="CS169" t="s">
        <v>140</v>
      </c>
      <c r="CU169" s="3">
        <v>10797.3</v>
      </c>
      <c r="CV169" s="3">
        <f>ROUND(Table1[[#This Row],[Sales_Amount]],0)</f>
        <v>10797</v>
      </c>
      <c r="CW169" s="3"/>
      <c r="CX169" s="3"/>
      <c r="CY169" s="3" t="str">
        <f>IF(AND(Table1[[#This Row],[Sales_Amount]]&gt;=10000,Table1[[#This Row],[Profit]]&gt;0),"Good Order")</f>
        <v>Good Order</v>
      </c>
      <c r="CZ169" s="3" t="str">
        <f>IF(Table1[[#This Row],[Sales_Amount]]&gt;=10000,"High","Normal")</f>
        <v>High</v>
      </c>
      <c r="DA169" s="3">
        <v>3297.3</v>
      </c>
      <c r="DB169" s="3">
        <f>ROUND(Table1[[#This Row],[Profit]],0)</f>
        <v>3297</v>
      </c>
      <c r="DC169" s="3">
        <f>ABS(Table1[[#This Row],[Profit]])</f>
        <v>3297.3</v>
      </c>
      <c r="DD169" s="3"/>
      <c r="DE169" s="3"/>
      <c r="DF169" s="3"/>
      <c r="DG169" s="3" t="str">
        <f>IF(Table1[[#This Row],[Profit]]&gt;0,"Profit","Loss")</f>
        <v>Profit</v>
      </c>
      <c r="DH169" s="3" t="str">
        <f>IF(AND(Table1[[#This Row],[Sales_Amount]]&gt;=10000,Table1[[#This Row],[Profit]]&gt;0),"Priority","Normal")</f>
        <v>Priority</v>
      </c>
      <c r="DI169" s="3">
        <f t="shared" ca="1" si="16"/>
        <v>0.28450319675307334</v>
      </c>
      <c r="DJ169" s="3">
        <f t="shared" ca="1" si="17"/>
        <v>30</v>
      </c>
      <c r="DK169" s="3"/>
      <c r="DL169" s="3"/>
      <c r="DM169" s="3"/>
      <c r="DN169" s="3"/>
      <c r="DO169" s="3"/>
      <c r="DP169" s="3"/>
    </row>
    <row r="170" spans="1:120">
      <c r="A170" t="s">
        <v>917</v>
      </c>
      <c r="B170" t="str">
        <f>REPLACE(Table1[[#This Row],[Order_ID]],1,3,"YOO")</f>
        <v>YOO10169</v>
      </c>
      <c r="C170" t="str">
        <f>MID(Table1[[#This Row],[Order_ID]],4,4)</f>
        <v>1016</v>
      </c>
      <c r="D170" t="str">
        <f>LEFT(Table1[[#This Row],[Order_ID]],4)</f>
        <v>ORD1</v>
      </c>
      <c r="E170" t="str">
        <f>RIGHT(Table1[[#This Row],[Order_ID]],5)</f>
        <v>10169</v>
      </c>
      <c r="F170" t="s">
        <v>5</v>
      </c>
      <c r="G170">
        <v>10169</v>
      </c>
      <c r="H170" t="s">
        <v>918</v>
      </c>
      <c r="I170" s="2">
        <f>EDATE(Table1[[#This Row],[Order_Date]],3)</f>
        <v>46177</v>
      </c>
      <c r="J170" s="2">
        <f>EDATE(Table1[[#This Row],[Order_Date]],6)</f>
        <v>46269</v>
      </c>
      <c r="K170">
        <f ca="1">YEAR(Table1[[#This Row],[Today]])</f>
        <v>2026</v>
      </c>
      <c r="L170">
        <v>169</v>
      </c>
      <c r="M170">
        <f ca="1">DAY(Table1[[#This Row],[Today]])</f>
        <v>11</v>
      </c>
      <c r="N170" s="19">
        <f t="shared" ca="1" si="20"/>
        <v>46245.589795138891</v>
      </c>
      <c r="O170" s="2">
        <f t="shared" ca="1" si="15"/>
        <v>46245</v>
      </c>
      <c r="P170" s="17">
        <f ca="1">Table1[[#This Row],[Today]]-Table1[[#This Row],[Order_Date]]</f>
        <v>160</v>
      </c>
      <c r="Q170" s="2">
        <v>45826</v>
      </c>
      <c r="R170" s="2">
        <v>46085</v>
      </c>
      <c r="S170" s="6">
        <f t="shared" si="18"/>
        <v>2026</v>
      </c>
      <c r="T170" s="7" t="str">
        <f t="shared" si="19"/>
        <v>March</v>
      </c>
      <c r="U170" s="2">
        <f>WORKDAY(Table1[[#This Row],[Order_Date]],5)</f>
        <v>46092</v>
      </c>
      <c r="V170" s="7" t="str">
        <f>CONCATENATE(Table1[[#This Row],[Customer_ID]],Table1[[#This Row],[Customer_Name]])</f>
        <v>C1048Pooja Jain</v>
      </c>
      <c r="W170" t="s">
        <v>919</v>
      </c>
      <c r="X170" t="s">
        <v>419</v>
      </c>
      <c r="Y170">
        <f>COUNTA(Table1[[#This Row],[Customer_Name]])</f>
        <v>1</v>
      </c>
      <c r="Z170" t="str">
        <f>SUBSTITUTE(Table1[[#This Row],[Customer_Name]]," ","_")</f>
        <v>Pooja_Jain</v>
      </c>
      <c r="AA170" s="10">
        <f>IFERROR(SEARCH("a",Table1[[#This Row],[Customer_Name]]),"N/A")</f>
        <v>5</v>
      </c>
      <c r="AB170">
        <f>SEARCH(" ",Table1[[#This Row],[Customer_Name]])</f>
        <v>6</v>
      </c>
      <c r="AC170" s="11">
        <f>IFERROR(FIND("a",Table1[[#This Row],[Customer_Name]]),"N/A")</f>
        <v>5</v>
      </c>
      <c r="AD170">
        <f>FIND(" ",Table1[[#This Row],[Customer_Name]])</f>
        <v>6</v>
      </c>
      <c r="AE170" t="str">
        <f>TRIM(Table1[[#This Row],[Customer_Name]])</f>
        <v>Pooja Jain</v>
      </c>
      <c r="AF170">
        <f>LEN(Table1[[#This Row],[Trimmed]])</f>
        <v>10</v>
      </c>
      <c r="AG170">
        <f>MAX(Table1[Length])</f>
        <v>15</v>
      </c>
      <c r="AH170" t="str">
        <f>PROPER(Table1[[#This Row],[Customer_Name]])</f>
        <v>Pooja Jain</v>
      </c>
      <c r="AI170" t="str">
        <f>LOWER(Table1[[#This Row],[Customer_Name]])</f>
        <v>pooja jain</v>
      </c>
      <c r="AJ170" t="str">
        <f>UPPER(Table1[[#This Row],[Customer_Name]])</f>
        <v>POOJA JAIN</v>
      </c>
      <c r="AK170" t="str">
        <f>CONCATENATE(Table1[[#This Row],[Customer_ID]],Table1[[#This Row],[Customer_Name]])</f>
        <v>C1048Pooja Jain</v>
      </c>
      <c r="AL170" t="s">
        <v>420</v>
      </c>
      <c r="AM170" t="s">
        <v>421</v>
      </c>
      <c r="AN170" t="s">
        <v>422</v>
      </c>
      <c r="AO170" t="s">
        <v>420</v>
      </c>
      <c r="AP170" t="s">
        <v>421</v>
      </c>
      <c r="AQ170" t="s">
        <v>569</v>
      </c>
      <c r="AR170" t="str">
        <f>TRIM(Table1[[#This Row],[City]])</f>
        <v>Delhi</v>
      </c>
      <c r="AS170" t="str">
        <f>PROPER(Table1[[#This Row],[City]])</f>
        <v>Delhi</v>
      </c>
      <c r="AT170" t="s">
        <v>569</v>
      </c>
      <c r="AU170" t="str">
        <f>CONCATENATE(Table1[[#This Row],[City]],Table1[[#This Row],[State]])</f>
        <v>DelhiDelhi</v>
      </c>
      <c r="AV170" t="s">
        <v>150</v>
      </c>
      <c r="AW170" t="s">
        <v>338</v>
      </c>
      <c r="AX170" t="str">
        <f>REPLACE(Table1[[#This Row],[Product_ID]],1,1,"s")</f>
        <v>s115</v>
      </c>
      <c r="AY170" t="s">
        <v>920</v>
      </c>
      <c r="AZ170">
        <f>SEARCH("-",Table1[[#This Row],[Product ID]])</f>
        <v>2</v>
      </c>
      <c r="BA170">
        <f>FIND("-",Table1[[#This Row],[Product ID]])</f>
        <v>2</v>
      </c>
      <c r="BB170" t="str">
        <f>MID(Table1[[#This Row],[Product_ID]],2,3)</f>
        <v>115</v>
      </c>
      <c r="BC170" t="str">
        <f>RIGHT(Table1[[#This Row],[Product_ID]],3)</f>
        <v>115</v>
      </c>
      <c r="BD170" t="str">
        <f>LEFT(Table1[[#This Row],[Product_ID]],3)</f>
        <v>P11</v>
      </c>
      <c r="BE170" t="str">
        <f>_xlfn.XLOOKUP(Table1[[#This Row],[Product_ID]],AW:AW,BF:BF,,0)</f>
        <v>Dumbbell Set</v>
      </c>
      <c r="BF170" t="s">
        <v>340</v>
      </c>
      <c r="BG170">
        <f>LEN(Table1[[#This Row],[Product_Name]])</f>
        <v>12</v>
      </c>
      <c r="BH170" t="s">
        <v>264</v>
      </c>
      <c r="BI170">
        <f t="shared" si="21"/>
        <v>75</v>
      </c>
      <c r="BJ170" t="str">
        <f>SUBSTITUTE(Table1[[#This Row],[Category]],"Electronics","ELECTRONICS")</f>
        <v>Sports</v>
      </c>
      <c r="BN170" t="s">
        <v>265</v>
      </c>
      <c r="BS170" s="14">
        <v>2</v>
      </c>
      <c r="BT170" s="3">
        <v>2499</v>
      </c>
      <c r="BU170" s="4">
        <v>0</v>
      </c>
      <c r="BV170" s="4" t="str">
        <f>IF(AND(Table1[[#This Row],[Quantity]]&gt;=3,Table1[[#This Row],[Discount_%]]&gt;=15%),"Bulk Discount","no")</f>
        <v>no</v>
      </c>
      <c r="BW170" s="4" t="str">
        <f>IF(AND(Table1[[#This Row],[Quantity]]&gt;3,Table1[[#This Row],[Discount_%]]&gt;15%),"Bulk Customer","Normal")</f>
        <v>Normal</v>
      </c>
      <c r="BX170" t="s">
        <v>172</v>
      </c>
      <c r="BY170" t="s">
        <v>193</v>
      </c>
      <c r="CC170" t="str">
        <f>IF(OR(Table1[[#This Row],[Order_Status]]="Returned",Table1[[#This Row],[Order_Status]]="Cancelled"),"Attention Required","Not")</f>
        <v>Not</v>
      </c>
      <c r="CD170" t="str">
        <f>IF(OR(Table1[[#This Row],[Order_Status]]="Returned",Table1[[#This Row],[Order_Status]]="Cancelled"),"Review","no")</f>
        <v>no</v>
      </c>
      <c r="CE170" t="str">
        <f>SUBSTITUTE(Table1[[#This Row],[Order_Status]],"Delivered","Completed")</f>
        <v>Shipped</v>
      </c>
      <c r="CF170" s="2">
        <v>46092</v>
      </c>
      <c r="CG170" s="17">
        <f>NETWORKDAYS(Table1[[#This Row],[Order_Date]],Table1[[#This Row],[Delivery_Date]])</f>
        <v>6</v>
      </c>
      <c r="CH170" s="17">
        <f>Table1[[#This Row],[Delivery_Date]]-Table1[[#This Row],[Order_Date]]</f>
        <v>7</v>
      </c>
      <c r="CI170" t="s">
        <v>137</v>
      </c>
      <c r="CJ170" t="str">
        <f>IF(Table1[[#This Row],[Rating]]&gt;=4,"Good","Needs Improvement")</f>
        <v>Needs Improvement</v>
      </c>
      <c r="CK170" t="str">
        <f>IF(OR(Table1[[#This Row],[Rating]]&lt;=2,Table1[[#This Row],[Profit]]&lt;0),"Review","NO")</f>
        <v>Review</v>
      </c>
      <c r="CL170" t="e" cm="1">
        <f t="array" ref="CL170">_xlfn.IFS(Table1[[#This Row],[Rating]]&gt;2,"Poor",Table1[[#This Row],[Rating]]=3,"Average",Table1[[#This Row],[Rating]]=4,"Good",CP170=5,"Excellent")</f>
        <v>#N/A</v>
      </c>
      <c r="CM170">
        <f>COUNT(Table1[[#This Row],[Rating]])</f>
        <v>0</v>
      </c>
      <c r="CN170">
        <f>COUNTBLANK(Table1[[#This Row],[Rating]])</f>
        <v>1</v>
      </c>
      <c r="CP170" t="s">
        <v>331</v>
      </c>
      <c r="CR170" t="s">
        <v>173</v>
      </c>
      <c r="CS170" t="s">
        <v>174</v>
      </c>
      <c r="CU170" s="3">
        <v>4998</v>
      </c>
      <c r="CV170" s="3">
        <f>ROUND(Table1[[#This Row],[Sales_Amount]],0)</f>
        <v>4998</v>
      </c>
      <c r="CW170" s="3"/>
      <c r="CX170" s="3"/>
      <c r="CY170" s="3" t="b">
        <f>IF(AND(Table1[[#This Row],[Sales_Amount]]&gt;=10000,Table1[[#This Row],[Profit]]&gt;0),"Good Order")</f>
        <v>0</v>
      </c>
      <c r="CZ170" s="3" t="str">
        <f>IF(Table1[[#This Row],[Sales_Amount]]&gt;=10000,"High","Normal")</f>
        <v>Normal</v>
      </c>
      <c r="DA170" s="3">
        <v>2098</v>
      </c>
      <c r="DB170" s="3">
        <f>ROUND(Table1[[#This Row],[Profit]],0)</f>
        <v>2098</v>
      </c>
      <c r="DC170" s="3">
        <f>ABS(Table1[[#This Row],[Profit]])</f>
        <v>2098</v>
      </c>
      <c r="DD170" s="3"/>
      <c r="DE170" s="3"/>
      <c r="DF170" s="3"/>
      <c r="DG170" s="3" t="str">
        <f>IF(Table1[[#This Row],[Profit]]&gt;0,"Profit","Loss")</f>
        <v>Profit</v>
      </c>
      <c r="DH170" s="3" t="str">
        <f>IF(AND(Table1[[#This Row],[Sales_Amount]]&gt;=10000,Table1[[#This Row],[Profit]]&gt;0),"Priority","Normal")</f>
        <v>Normal</v>
      </c>
      <c r="DI170" s="3">
        <f t="shared" ca="1" si="16"/>
        <v>0.33436422887468598</v>
      </c>
      <c r="DJ170" s="3">
        <f t="shared" ca="1" si="17"/>
        <v>100</v>
      </c>
      <c r="DK170" s="3"/>
      <c r="DL170" s="3"/>
      <c r="DM170" s="3"/>
      <c r="DN170" s="3"/>
      <c r="DO170" s="3"/>
      <c r="DP170" s="3"/>
    </row>
    <row r="171" spans="1:120">
      <c r="A171" t="s">
        <v>921</v>
      </c>
      <c r="B171" t="str">
        <f>REPLACE(Table1[[#This Row],[Order_ID]],1,3,"YOO")</f>
        <v>YOO10170</v>
      </c>
      <c r="C171" t="str">
        <f>MID(Table1[[#This Row],[Order_ID]],4,4)</f>
        <v>1017</v>
      </c>
      <c r="D171" t="str">
        <f>LEFT(Table1[[#This Row],[Order_ID]],4)</f>
        <v>ORD1</v>
      </c>
      <c r="E171" t="str">
        <f>RIGHT(Table1[[#This Row],[Order_ID]],5)</f>
        <v>10170</v>
      </c>
      <c r="F171" t="s">
        <v>5</v>
      </c>
      <c r="G171">
        <v>10170</v>
      </c>
      <c r="H171" t="s">
        <v>922</v>
      </c>
      <c r="I171" s="2">
        <f>EDATE(Table1[[#This Row],[Order_Date]],3)</f>
        <v>46091</v>
      </c>
      <c r="J171" s="2">
        <f>EDATE(Table1[[#This Row],[Order_Date]],6)</f>
        <v>46183</v>
      </c>
      <c r="K171">
        <f ca="1">YEAR(Table1[[#This Row],[Today]])</f>
        <v>2026</v>
      </c>
      <c r="L171">
        <v>170</v>
      </c>
      <c r="M171">
        <f ca="1">DAY(Table1[[#This Row],[Today]])</f>
        <v>11</v>
      </c>
      <c r="N171" s="19">
        <f t="shared" ca="1" si="20"/>
        <v>46245.589795370368</v>
      </c>
      <c r="O171" s="2">
        <f t="shared" ca="1" si="15"/>
        <v>46245</v>
      </c>
      <c r="P171" s="17">
        <f ca="1">Table1[[#This Row],[Today]]-Table1[[#This Row],[Order_Date]]</f>
        <v>244</v>
      </c>
      <c r="Q171" s="2">
        <v>45827</v>
      </c>
      <c r="R171" s="2">
        <v>46001</v>
      </c>
      <c r="S171" s="6">
        <f t="shared" si="18"/>
        <v>2025</v>
      </c>
      <c r="T171" s="7" t="str">
        <f t="shared" si="19"/>
        <v>December</v>
      </c>
      <c r="U171" s="2">
        <f>WORKDAY(Table1[[#This Row],[Order_Date]],5)</f>
        <v>46008</v>
      </c>
      <c r="V171" s="7" t="str">
        <f>CONCATENATE(Table1[[#This Row],[Customer_ID]],Table1[[#This Row],[Customer_Name]])</f>
        <v>C1130Nitin Soni</v>
      </c>
      <c r="W171" t="s">
        <v>593</v>
      </c>
      <c r="X171" t="s">
        <v>144</v>
      </c>
      <c r="Y171">
        <f>COUNTA(Table1[[#This Row],[Customer_Name]])</f>
        <v>1</v>
      </c>
      <c r="Z171" t="str">
        <f>SUBSTITUTE(Table1[[#This Row],[Customer_Name]]," ","_")</f>
        <v>Nitin_Soni</v>
      </c>
      <c r="AA171" s="10" t="str">
        <f>IFERROR(SEARCH("a",Table1[[#This Row],[Customer_Name]]),"N/A")</f>
        <v>N/A</v>
      </c>
      <c r="AB171">
        <f>SEARCH(" ",Table1[[#This Row],[Customer_Name]])</f>
        <v>6</v>
      </c>
      <c r="AC171" s="11" t="str">
        <f>IFERROR(FIND("a",Table1[[#This Row],[Customer_Name]]),"N/A")</f>
        <v>N/A</v>
      </c>
      <c r="AD171">
        <f>FIND(" ",Table1[[#This Row],[Customer_Name]])</f>
        <v>6</v>
      </c>
      <c r="AE171" t="str">
        <f>TRIM(Table1[[#This Row],[Customer_Name]])</f>
        <v>Nitin Soni</v>
      </c>
      <c r="AF171">
        <f>LEN(Table1[[#This Row],[Trimmed]])</f>
        <v>10</v>
      </c>
      <c r="AG171">
        <f>MAX(Table1[Length])</f>
        <v>15</v>
      </c>
      <c r="AH171" t="str">
        <f>PROPER(Table1[[#This Row],[Customer_Name]])</f>
        <v>Nitin Soni</v>
      </c>
      <c r="AI171" t="str">
        <f>LOWER(Table1[[#This Row],[Customer_Name]])</f>
        <v>nitin soni</v>
      </c>
      <c r="AJ171" t="str">
        <f>UPPER(Table1[[#This Row],[Customer_Name]])</f>
        <v>NITIN SONI</v>
      </c>
      <c r="AK171" t="str">
        <f>CONCATENATE(Table1[[#This Row],[Customer_ID]],Table1[[#This Row],[Customer_Name]])</f>
        <v>C1130Nitin Soni</v>
      </c>
      <c r="AL171" t="s">
        <v>145</v>
      </c>
      <c r="AM171" t="s">
        <v>146</v>
      </c>
      <c r="AN171" t="s">
        <v>147</v>
      </c>
      <c r="AO171" t="s">
        <v>145</v>
      </c>
      <c r="AP171" t="s">
        <v>146</v>
      </c>
      <c r="AQ171" t="s">
        <v>127</v>
      </c>
      <c r="AR171" t="str">
        <f>TRIM(Table1[[#This Row],[City]])</f>
        <v>Pune</v>
      </c>
      <c r="AS171" t="str">
        <f>PROPER(Table1[[#This Row],[City]])</f>
        <v>Pune</v>
      </c>
      <c r="AT171" t="s">
        <v>128</v>
      </c>
      <c r="AU171" t="str">
        <f>CONCATENATE(Table1[[#This Row],[City]],Table1[[#This Row],[State]])</f>
        <v>PuneMaharashtra</v>
      </c>
      <c r="AV171" t="s">
        <v>129</v>
      </c>
      <c r="AW171" t="s">
        <v>363</v>
      </c>
      <c r="AX171" t="str">
        <f>REPLACE(Table1[[#This Row],[Product_ID]],1,1,"s")</f>
        <v>s110</v>
      </c>
      <c r="AY171" t="s">
        <v>923</v>
      </c>
      <c r="AZ171">
        <f>SEARCH("-",Table1[[#This Row],[Product ID]])</f>
        <v>2</v>
      </c>
      <c r="BA171">
        <f>FIND("-",Table1[[#This Row],[Product ID]])</f>
        <v>2</v>
      </c>
      <c r="BB171" t="str">
        <f>MID(Table1[[#This Row],[Product_ID]],2,3)</f>
        <v>110</v>
      </c>
      <c r="BC171" t="str">
        <f>RIGHT(Table1[[#This Row],[Product_ID]],3)</f>
        <v>110</v>
      </c>
      <c r="BD171" t="str">
        <f>LEFT(Table1[[#This Row],[Product_ID]],3)</f>
        <v>P11</v>
      </c>
      <c r="BE171" t="str">
        <f>_xlfn.XLOOKUP(Table1[[#This Row],[Product_ID]],AW:AW,BF:BF,,0)</f>
        <v>Smart Watch</v>
      </c>
      <c r="BF171" t="s">
        <v>365</v>
      </c>
      <c r="BG171">
        <f>LEN(Table1[[#This Row],[Product_Name]])</f>
        <v>11</v>
      </c>
      <c r="BH171" t="s">
        <v>154</v>
      </c>
      <c r="BI171">
        <f t="shared" si="21"/>
        <v>75</v>
      </c>
      <c r="BJ171" t="str">
        <f>SUBSTITUTE(Table1[[#This Row],[Category]],"Electronics","ELECTRONICS")</f>
        <v>ELECTRONICS</v>
      </c>
      <c r="BN171" t="s">
        <v>366</v>
      </c>
      <c r="BS171" s="14">
        <v>3</v>
      </c>
      <c r="BT171" s="3">
        <v>4999</v>
      </c>
      <c r="BU171" s="4">
        <v>25</v>
      </c>
      <c r="BV171" s="4" t="str">
        <f>IF(AND(Table1[[#This Row],[Quantity]]&gt;=3,Table1[[#This Row],[Discount_%]]&gt;=15%),"Bulk Discount","no")</f>
        <v>Bulk Discount</v>
      </c>
      <c r="BW171" s="4" t="str">
        <f>IF(AND(Table1[[#This Row],[Quantity]]&gt;3,Table1[[#This Row],[Discount_%]]&gt;15%),"Bulk Customer","Normal")</f>
        <v>Normal</v>
      </c>
      <c r="BX171" t="s">
        <v>192</v>
      </c>
      <c r="BY171" t="s">
        <v>374</v>
      </c>
      <c r="CC171" t="str">
        <f>IF(OR(Table1[[#This Row],[Order_Status]]="Returned",Table1[[#This Row],[Order_Status]]="Cancelled"),"Attention Required","Not")</f>
        <v>Attention Required</v>
      </c>
      <c r="CD171" t="str">
        <f>IF(OR(Table1[[#This Row],[Order_Status]]="Returned",Table1[[#This Row],[Order_Status]]="Cancelled"),"Review","no")</f>
        <v>Review</v>
      </c>
      <c r="CE171" t="str">
        <f>SUBSTITUTE(Table1[[#This Row],[Order_Status]],"Delivered","Completed")</f>
        <v>Returned</v>
      </c>
      <c r="CF171" s="2">
        <v>46009</v>
      </c>
      <c r="CG171" s="17">
        <f>NETWORKDAYS(Table1[[#This Row],[Order_Date]],Table1[[#This Row],[Delivery_Date]])</f>
        <v>7</v>
      </c>
      <c r="CH171" s="17">
        <f>Table1[[#This Row],[Delivery_Date]]-Table1[[#This Row],[Order_Date]]</f>
        <v>8</v>
      </c>
      <c r="CI171" t="s">
        <v>375</v>
      </c>
      <c r="CJ171" t="str">
        <f>IF(Table1[[#This Row],[Rating]]&gt;=4,"Good","Needs Improvement")</f>
        <v>Needs Improvement</v>
      </c>
      <c r="CK171" t="str">
        <f>IF(OR(Table1[[#This Row],[Rating]]&lt;=2,Table1[[#This Row],[Profit]]&lt;0),"Review","NO")</f>
        <v>NO</v>
      </c>
      <c r="CL171" t="str" cm="1">
        <f t="array" ref="CL171">_xlfn.IFS(Table1[[#This Row],[Rating]]&gt;2,"Poor",Table1[[#This Row],[Rating]]=3,"Average",Table1[[#This Row],[Rating]]=4,"Good",CP171=5,"Excellent")</f>
        <v>Poor</v>
      </c>
      <c r="CM171">
        <f>COUNT(Table1[[#This Row],[Rating]])</f>
        <v>1</v>
      </c>
      <c r="CN171">
        <f>COUNTBLANK(Table1[[#This Row],[Rating]])</f>
        <v>0</v>
      </c>
      <c r="CP171" t="s">
        <v>194</v>
      </c>
      <c r="CQ171" s="14">
        <v>3</v>
      </c>
      <c r="CR171" t="s">
        <v>139</v>
      </c>
      <c r="CS171" t="s">
        <v>195</v>
      </c>
      <c r="CU171" s="3">
        <v>11247.75</v>
      </c>
      <c r="CV171" s="3">
        <f>ROUND(Table1[[#This Row],[Sales_Amount]],0)</f>
        <v>11248</v>
      </c>
      <c r="CW171" s="3"/>
      <c r="CX171" s="3"/>
      <c r="CY171" s="3" t="str">
        <f>IF(AND(Table1[[#This Row],[Sales_Amount]]&gt;=10000,Table1[[#This Row],[Profit]]&gt;0),"Good Order")</f>
        <v>Good Order</v>
      </c>
      <c r="CZ171" s="3" t="str">
        <f>IF(Table1[[#This Row],[Sales_Amount]]&gt;=10000,"High","Normal")</f>
        <v>High</v>
      </c>
      <c r="DA171" s="3">
        <v>1947.75</v>
      </c>
      <c r="DB171" s="3">
        <f>ROUND(Table1[[#This Row],[Profit]],0)</f>
        <v>1948</v>
      </c>
      <c r="DC171" s="3">
        <f>ABS(Table1[[#This Row],[Profit]])</f>
        <v>1947.75</v>
      </c>
      <c r="DD171" s="3"/>
      <c r="DE171" s="3"/>
      <c r="DF171" s="3"/>
      <c r="DG171" s="3" t="str">
        <f>IF(Table1[[#This Row],[Profit]]&gt;0,"Profit","Loss")</f>
        <v>Profit</v>
      </c>
      <c r="DH171" s="3" t="str">
        <f>IF(AND(Table1[[#This Row],[Sales_Amount]]&gt;=10000,Table1[[#This Row],[Profit]]&gt;0),"Priority","Normal")</f>
        <v>Priority</v>
      </c>
      <c r="DI171" s="3">
        <f t="shared" ca="1" si="16"/>
        <v>0.25880816769268888</v>
      </c>
      <c r="DJ171" s="3">
        <f t="shared" ca="1" si="17"/>
        <v>47</v>
      </c>
      <c r="DK171" s="3"/>
      <c r="DL171" s="3"/>
      <c r="DM171" s="3"/>
      <c r="DN171" s="3"/>
      <c r="DO171" s="3"/>
      <c r="DP171" s="3"/>
    </row>
    <row r="172" spans="1:120">
      <c r="A172" t="s">
        <v>924</v>
      </c>
      <c r="B172" t="str">
        <f>REPLACE(Table1[[#This Row],[Order_ID]],1,3,"YOO")</f>
        <v>YOO10171</v>
      </c>
      <c r="C172" t="str">
        <f>MID(Table1[[#This Row],[Order_ID]],4,4)</f>
        <v>1017</v>
      </c>
      <c r="D172" t="str">
        <f>LEFT(Table1[[#This Row],[Order_ID]],4)</f>
        <v>ORD1</v>
      </c>
      <c r="E172" t="str">
        <f>RIGHT(Table1[[#This Row],[Order_ID]],5)</f>
        <v>10171</v>
      </c>
      <c r="F172" t="s">
        <v>5</v>
      </c>
      <c r="G172">
        <v>10171</v>
      </c>
      <c r="H172" t="s">
        <v>925</v>
      </c>
      <c r="I172" s="2">
        <f>EDATE(Table1[[#This Row],[Order_Date]],3)</f>
        <v>46218</v>
      </c>
      <c r="J172" s="2">
        <f>EDATE(Table1[[#This Row],[Order_Date]],6)</f>
        <v>46310</v>
      </c>
      <c r="K172">
        <f ca="1">YEAR(Table1[[#This Row],[Today]])</f>
        <v>2026</v>
      </c>
      <c r="L172">
        <v>171</v>
      </c>
      <c r="M172">
        <f ca="1">DAY(Table1[[#This Row],[Today]])</f>
        <v>11</v>
      </c>
      <c r="N172" s="19">
        <f t="shared" ca="1" si="20"/>
        <v>46245.589795370368</v>
      </c>
      <c r="O172" s="2">
        <f t="shared" ca="1" si="15"/>
        <v>46245</v>
      </c>
      <c r="P172" s="17">
        <f ca="1">Table1[[#This Row],[Today]]-Table1[[#This Row],[Order_Date]]</f>
        <v>118</v>
      </c>
      <c r="Q172" s="2">
        <v>45828</v>
      </c>
      <c r="R172" s="2">
        <v>46127</v>
      </c>
      <c r="S172" s="6">
        <f t="shared" si="18"/>
        <v>2026</v>
      </c>
      <c r="T172" s="7" t="str">
        <f t="shared" si="19"/>
        <v>April</v>
      </c>
      <c r="U172" s="2">
        <f>WORKDAY(Table1[[#This Row],[Order_Date]],5)</f>
        <v>46134</v>
      </c>
      <c r="V172" s="7" t="str">
        <f>CONCATENATE(Table1[[#This Row],[Customer_ID]],Table1[[#This Row],[Customer_Name]])</f>
        <v>C1146Karan Patel</v>
      </c>
      <c r="W172" t="s">
        <v>926</v>
      </c>
      <c r="X172" t="s">
        <v>280</v>
      </c>
      <c r="Y172">
        <f>COUNTA(Table1[[#This Row],[Customer_Name]])</f>
        <v>1</v>
      </c>
      <c r="Z172" t="str">
        <f>SUBSTITUTE(Table1[[#This Row],[Customer_Name]]," ","_")</f>
        <v>Karan_Patel</v>
      </c>
      <c r="AA172" s="10">
        <f>IFERROR(SEARCH("a",Table1[[#This Row],[Customer_Name]]),"N/A")</f>
        <v>2</v>
      </c>
      <c r="AB172">
        <f>SEARCH(" ",Table1[[#This Row],[Customer_Name]])</f>
        <v>6</v>
      </c>
      <c r="AC172" s="11">
        <f>IFERROR(FIND("a",Table1[[#This Row],[Customer_Name]]),"N/A")</f>
        <v>2</v>
      </c>
      <c r="AD172">
        <f>FIND(" ",Table1[[#This Row],[Customer_Name]])</f>
        <v>6</v>
      </c>
      <c r="AE172" t="str">
        <f>TRIM(Table1[[#This Row],[Customer_Name]])</f>
        <v>Karan Patel</v>
      </c>
      <c r="AF172">
        <f>LEN(Table1[[#This Row],[Trimmed]])</f>
        <v>11</v>
      </c>
      <c r="AG172">
        <f>MAX(Table1[Length])</f>
        <v>15</v>
      </c>
      <c r="AH172" t="str">
        <f>PROPER(Table1[[#This Row],[Customer_Name]])</f>
        <v>Karan Patel</v>
      </c>
      <c r="AI172" t="str">
        <f>LOWER(Table1[[#This Row],[Customer_Name]])</f>
        <v>karan patel</v>
      </c>
      <c r="AJ172" t="str">
        <f>UPPER(Table1[[#This Row],[Customer_Name]])</f>
        <v>KARAN PATEL</v>
      </c>
      <c r="AK172" t="str">
        <f>CONCATENATE(Table1[[#This Row],[Customer_ID]],Table1[[#This Row],[Customer_Name]])</f>
        <v>C1146Karan Patel</v>
      </c>
      <c r="AL172" t="s">
        <v>281</v>
      </c>
      <c r="AM172" t="s">
        <v>282</v>
      </c>
      <c r="AN172" t="s">
        <v>283</v>
      </c>
      <c r="AO172" t="s">
        <v>281</v>
      </c>
      <c r="AP172" t="s">
        <v>282</v>
      </c>
      <c r="AQ172" t="s">
        <v>423</v>
      </c>
      <c r="AR172" t="str">
        <f>TRIM(Table1[[#This Row],[City]])</f>
        <v>Ahmedabad</v>
      </c>
      <c r="AS172" t="str">
        <f>PROPER(Table1[[#This Row],[City]])</f>
        <v>Ahmedabad</v>
      </c>
      <c r="AT172" t="s">
        <v>424</v>
      </c>
      <c r="AU172" t="str">
        <f>CONCATENATE(Table1[[#This Row],[City]],Table1[[#This Row],[State]])</f>
        <v>AhmedabadGujarat</v>
      </c>
      <c r="AV172" t="s">
        <v>129</v>
      </c>
      <c r="AW172" t="s">
        <v>319</v>
      </c>
      <c r="AX172" t="str">
        <f>REPLACE(Table1[[#This Row],[Product_ID]],1,1,"s")</f>
        <v>s103</v>
      </c>
      <c r="AY172" t="s">
        <v>927</v>
      </c>
      <c r="AZ172">
        <f>SEARCH("-",Table1[[#This Row],[Product ID]])</f>
        <v>2</v>
      </c>
      <c r="BA172">
        <f>FIND("-",Table1[[#This Row],[Product ID]])</f>
        <v>2</v>
      </c>
      <c r="BB172" t="str">
        <f>MID(Table1[[#This Row],[Product_ID]],2,3)</f>
        <v>103</v>
      </c>
      <c r="BC172" t="str">
        <f>RIGHT(Table1[[#This Row],[Product_ID]],3)</f>
        <v>103</v>
      </c>
      <c r="BD172" t="str">
        <f>LEFT(Table1[[#This Row],[Product_ID]],3)</f>
        <v>P10</v>
      </c>
      <c r="BE172" t="str">
        <f>_xlfn.XLOOKUP(Table1[[#This Row],[Product_ID]],AW:AW,BF:BF,,0)</f>
        <v>Laptop Stand</v>
      </c>
      <c r="BF172" t="s">
        <v>321</v>
      </c>
      <c r="BG172">
        <f>LEN(Table1[[#This Row],[Product_Name]])</f>
        <v>12</v>
      </c>
      <c r="BH172" t="s">
        <v>154</v>
      </c>
      <c r="BI172">
        <f t="shared" si="21"/>
        <v>75</v>
      </c>
      <c r="BJ172" t="str">
        <f>SUBSTITUTE(Table1[[#This Row],[Category]],"Electronics","ELECTRONICS")</f>
        <v>ELECTRONICS</v>
      </c>
      <c r="BN172" t="s">
        <v>155</v>
      </c>
      <c r="BS172" s="14">
        <v>3</v>
      </c>
      <c r="BT172" s="3">
        <v>1599</v>
      </c>
      <c r="BU172" s="4">
        <v>5</v>
      </c>
      <c r="BV172" s="4" t="str">
        <f>IF(AND(Table1[[#This Row],[Quantity]]&gt;=3,Table1[[#This Row],[Discount_%]]&gt;=15%),"Bulk Discount","no")</f>
        <v>Bulk Discount</v>
      </c>
      <c r="BW172" s="4" t="str">
        <f>IF(AND(Table1[[#This Row],[Quantity]]&gt;3,Table1[[#This Row],[Discount_%]]&gt;15%),"Bulk Customer","Normal")</f>
        <v>Normal</v>
      </c>
      <c r="BX172" t="s">
        <v>187</v>
      </c>
      <c r="BY172" t="s">
        <v>136</v>
      </c>
      <c r="CC172" t="str">
        <f>IF(OR(Table1[[#This Row],[Order_Status]]="Returned",Table1[[#This Row],[Order_Status]]="Cancelled"),"Attention Required","Not")</f>
        <v>Not</v>
      </c>
      <c r="CD172" t="str">
        <f>IF(OR(Table1[[#This Row],[Order_Status]]="Returned",Table1[[#This Row],[Order_Status]]="Cancelled"),"Review","no")</f>
        <v>no</v>
      </c>
      <c r="CE172" t="str">
        <f>SUBSTITUTE(Table1[[#This Row],[Order_Status]],"Delivered","Completed")</f>
        <v>Completed</v>
      </c>
      <c r="CF172" s="2">
        <v>46133</v>
      </c>
      <c r="CG172" s="17">
        <f>NETWORKDAYS(Table1[[#This Row],[Order_Date]],Table1[[#This Row],[Delivery_Date]])</f>
        <v>5</v>
      </c>
      <c r="CH172" s="17">
        <f>Table1[[#This Row],[Delivery_Date]]-Table1[[#This Row],[Order_Date]]</f>
        <v>6</v>
      </c>
      <c r="CI172" t="s">
        <v>137</v>
      </c>
      <c r="CJ172" t="str">
        <f>IF(Table1[[#This Row],[Rating]]&gt;=4,"Good","Needs Improvement")</f>
        <v>Good</v>
      </c>
      <c r="CK172" t="str">
        <f>IF(OR(Table1[[#This Row],[Rating]]&lt;=2,Table1[[#This Row],[Profit]]&lt;0),"Review","NO")</f>
        <v>NO</v>
      </c>
      <c r="CL172" t="str" cm="1">
        <f t="array" ref="CL172">_xlfn.IFS(Table1[[#This Row],[Rating]]&gt;2,"Poor",Table1[[#This Row],[Rating]]=3,"Average",Table1[[#This Row],[Rating]]=4,"Good",CP172=5,"Excellent")</f>
        <v>Poor</v>
      </c>
      <c r="CM172">
        <f>COUNT(Table1[[#This Row],[Rating]])</f>
        <v>1</v>
      </c>
      <c r="CN172">
        <f>COUNTBLANK(Table1[[#This Row],[Rating]])</f>
        <v>0</v>
      </c>
      <c r="CP172" t="s">
        <v>266</v>
      </c>
      <c r="CQ172" s="14">
        <v>4</v>
      </c>
      <c r="CR172" t="s">
        <v>204</v>
      </c>
      <c r="CS172" t="s">
        <v>267</v>
      </c>
      <c r="CU172" s="3">
        <v>4557.1499999999996</v>
      </c>
      <c r="CV172" s="3">
        <f>ROUND(Table1[[#This Row],[Sales_Amount]],0)</f>
        <v>4557</v>
      </c>
      <c r="CW172" s="3"/>
      <c r="CX172" s="3"/>
      <c r="CY172" s="3" t="b">
        <f>IF(AND(Table1[[#This Row],[Sales_Amount]]&gt;=10000,Table1[[#This Row],[Profit]]&gt;0),"Good Order")</f>
        <v>0</v>
      </c>
      <c r="CZ172" s="3" t="str">
        <f>IF(Table1[[#This Row],[Sales_Amount]]&gt;=10000,"High","Normal")</f>
        <v>Normal</v>
      </c>
      <c r="DA172" s="3">
        <v>1857.15</v>
      </c>
      <c r="DB172" s="3">
        <f>ROUND(Table1[[#This Row],[Profit]],0)</f>
        <v>1857</v>
      </c>
      <c r="DC172" s="3">
        <f>ABS(Table1[[#This Row],[Profit]])</f>
        <v>1857.15</v>
      </c>
      <c r="DD172" s="3"/>
      <c r="DE172" s="3"/>
      <c r="DF172" s="3"/>
      <c r="DG172" s="3" t="str">
        <f>IF(Table1[[#This Row],[Profit]]&gt;0,"Profit","Loss")</f>
        <v>Profit</v>
      </c>
      <c r="DH172" s="3" t="str">
        <f>IF(AND(Table1[[#This Row],[Sales_Amount]]&gt;=10000,Table1[[#This Row],[Profit]]&gt;0),"Priority","Normal")</f>
        <v>Normal</v>
      </c>
      <c r="DI172" s="3">
        <f t="shared" ca="1" si="16"/>
        <v>0.63485152208909712</v>
      </c>
      <c r="DJ172" s="3">
        <f t="shared" ca="1" si="17"/>
        <v>22</v>
      </c>
      <c r="DK172" s="3"/>
      <c r="DL172" s="3"/>
      <c r="DM172" s="3"/>
      <c r="DN172" s="3"/>
      <c r="DO172" s="3"/>
      <c r="DP172" s="3"/>
    </row>
    <row r="173" spans="1:120">
      <c r="A173" t="s">
        <v>928</v>
      </c>
      <c r="B173" t="str">
        <f>REPLACE(Table1[[#This Row],[Order_ID]],1,3,"YOO")</f>
        <v>YOO10172</v>
      </c>
      <c r="C173" t="str">
        <f>MID(Table1[[#This Row],[Order_ID]],4,4)</f>
        <v>1017</v>
      </c>
      <c r="D173" t="str">
        <f>LEFT(Table1[[#This Row],[Order_ID]],4)</f>
        <v>ORD1</v>
      </c>
      <c r="E173" t="str">
        <f>RIGHT(Table1[[#This Row],[Order_ID]],5)</f>
        <v>10172</v>
      </c>
      <c r="F173" t="s">
        <v>5</v>
      </c>
      <c r="G173">
        <v>10172</v>
      </c>
      <c r="H173" t="s">
        <v>929</v>
      </c>
      <c r="I173" s="2">
        <f>EDATE(Table1[[#This Row],[Order_Date]],3)</f>
        <v>46277</v>
      </c>
      <c r="J173" s="2">
        <f>EDATE(Table1[[#This Row],[Order_Date]],6)</f>
        <v>46368</v>
      </c>
      <c r="K173">
        <f ca="1">YEAR(Table1[[#This Row],[Today]])</f>
        <v>2026</v>
      </c>
      <c r="L173">
        <v>172</v>
      </c>
      <c r="M173">
        <f ca="1">DAY(Table1[[#This Row],[Today]])</f>
        <v>11</v>
      </c>
      <c r="N173" s="19">
        <f t="shared" ca="1" si="20"/>
        <v>46245.589795138891</v>
      </c>
      <c r="O173" s="2">
        <f t="shared" ca="1" si="15"/>
        <v>46245</v>
      </c>
      <c r="P173" s="17">
        <f ca="1">Table1[[#This Row],[Today]]-Table1[[#This Row],[Order_Date]]</f>
        <v>60</v>
      </c>
      <c r="Q173" s="2">
        <v>45829</v>
      </c>
      <c r="R173" s="2">
        <v>46185</v>
      </c>
      <c r="S173" s="6">
        <f t="shared" si="18"/>
        <v>2026</v>
      </c>
      <c r="T173" s="7" t="str">
        <f t="shared" si="19"/>
        <v>June</v>
      </c>
      <c r="U173" s="2">
        <f>WORKDAY(Table1[[#This Row],[Order_Date]],5)</f>
        <v>46192</v>
      </c>
      <c r="V173" s="7" t="str">
        <f>CONCATENATE(Table1[[#This Row],[Customer_ID]],Table1[[#This Row],[Customer_Name]])</f>
        <v>C1036Kavya Shah</v>
      </c>
      <c r="W173" t="s">
        <v>637</v>
      </c>
      <c r="X173" t="s">
        <v>271</v>
      </c>
      <c r="Y173">
        <f>COUNTA(Table1[[#This Row],[Customer_Name]])</f>
        <v>1</v>
      </c>
      <c r="Z173" t="str">
        <f>SUBSTITUTE(Table1[[#This Row],[Customer_Name]]," ","_")</f>
        <v>Kavya_Shah</v>
      </c>
      <c r="AA173" s="10">
        <f>IFERROR(SEARCH("a",Table1[[#This Row],[Customer_Name]]),"N/A")</f>
        <v>2</v>
      </c>
      <c r="AB173">
        <f>SEARCH(" ",Table1[[#This Row],[Customer_Name]])</f>
        <v>6</v>
      </c>
      <c r="AC173" s="11">
        <f>IFERROR(FIND("a",Table1[[#This Row],[Customer_Name]]),"N/A")</f>
        <v>2</v>
      </c>
      <c r="AD173">
        <f>FIND(" ",Table1[[#This Row],[Customer_Name]])</f>
        <v>6</v>
      </c>
      <c r="AE173" t="str">
        <f>TRIM(Table1[[#This Row],[Customer_Name]])</f>
        <v>Kavya Shah</v>
      </c>
      <c r="AF173">
        <f>LEN(Table1[[#This Row],[Trimmed]])</f>
        <v>10</v>
      </c>
      <c r="AG173">
        <f>MAX(Table1[Length])</f>
        <v>15</v>
      </c>
      <c r="AH173" t="str">
        <f>PROPER(Table1[[#This Row],[Customer_Name]])</f>
        <v>Kavya Shah</v>
      </c>
      <c r="AI173" t="str">
        <f>LOWER(Table1[[#This Row],[Customer_Name]])</f>
        <v>kavya shah</v>
      </c>
      <c r="AJ173" t="str">
        <f>UPPER(Table1[[#This Row],[Customer_Name]])</f>
        <v>KAVYA SHAH</v>
      </c>
      <c r="AK173" t="str">
        <f>CONCATENATE(Table1[[#This Row],[Customer_ID]],Table1[[#This Row],[Customer_Name]])</f>
        <v>C1036Kavya Shah</v>
      </c>
      <c r="AL173" t="s">
        <v>272</v>
      </c>
      <c r="AM173" t="s">
        <v>273</v>
      </c>
      <c r="AN173" t="s">
        <v>274</v>
      </c>
      <c r="AO173" t="s">
        <v>272</v>
      </c>
      <c r="AP173" t="s">
        <v>273</v>
      </c>
      <c r="AQ173" t="s">
        <v>166</v>
      </c>
      <c r="AR173" t="str">
        <f>TRIM(Table1[[#This Row],[City]])</f>
        <v>Bengaluru</v>
      </c>
      <c r="AS173" t="str">
        <f>PROPER(Table1[[#This Row],[City]])</f>
        <v>Bengaluru</v>
      </c>
      <c r="AT173" t="s">
        <v>167</v>
      </c>
      <c r="AU173" t="str">
        <f>CONCATENATE(Table1[[#This Row],[City]],Table1[[#This Row],[State]])</f>
        <v>BengaluruKarnataka</v>
      </c>
      <c r="AV173" t="s">
        <v>168</v>
      </c>
      <c r="AW173" t="s">
        <v>261</v>
      </c>
      <c r="AX173" t="str">
        <f>REPLACE(Table1[[#This Row],[Product_ID]],1,1,"s")</f>
        <v>s114</v>
      </c>
      <c r="AY173" t="s">
        <v>930</v>
      </c>
      <c r="AZ173">
        <f>SEARCH("-",Table1[[#This Row],[Product ID]])</f>
        <v>2</v>
      </c>
      <c r="BA173">
        <f>FIND("-",Table1[[#This Row],[Product ID]])</f>
        <v>2</v>
      </c>
      <c r="BB173" t="str">
        <f>MID(Table1[[#This Row],[Product_ID]],2,3)</f>
        <v>114</v>
      </c>
      <c r="BC173" t="str">
        <f>RIGHT(Table1[[#This Row],[Product_ID]],3)</f>
        <v>114</v>
      </c>
      <c r="BD173" t="str">
        <f>LEFT(Table1[[#This Row],[Product_ID]],3)</f>
        <v>P11</v>
      </c>
      <c r="BE173" t="str">
        <f>_xlfn.XLOOKUP(Table1[[#This Row],[Product_ID]],AW:AW,BF:BF,,0)</f>
        <v>Yoga Mat</v>
      </c>
      <c r="BF173" t="s">
        <v>263</v>
      </c>
      <c r="BG173">
        <f>LEN(Table1[[#This Row],[Product_Name]])</f>
        <v>8</v>
      </c>
      <c r="BH173" t="s">
        <v>264</v>
      </c>
      <c r="BI173">
        <f t="shared" si="21"/>
        <v>75</v>
      </c>
      <c r="BJ173" t="str">
        <f>SUBSTITUTE(Table1[[#This Row],[Category]],"Electronics","ELECTRONICS")</f>
        <v>Sports</v>
      </c>
      <c r="BN173" t="s">
        <v>265</v>
      </c>
      <c r="BS173" s="14">
        <v>3</v>
      </c>
      <c r="BT173" s="3">
        <v>999</v>
      </c>
      <c r="BU173" s="4">
        <v>0</v>
      </c>
      <c r="BV173" s="4" t="str">
        <f>IF(AND(Table1[[#This Row],[Quantity]]&gt;=3,Table1[[#This Row],[Discount_%]]&gt;=15%),"Bulk Discount","no")</f>
        <v>no</v>
      </c>
      <c r="BW173" s="4" t="str">
        <f>IF(AND(Table1[[#This Row],[Quantity]]&gt;3,Table1[[#This Row],[Discount_%]]&gt;15%),"Bulk Customer","Normal")</f>
        <v>Normal</v>
      </c>
      <c r="BX173" t="s">
        <v>192</v>
      </c>
      <c r="BY173" t="s">
        <v>136</v>
      </c>
      <c r="CC173" t="str">
        <f>IF(OR(Table1[[#This Row],[Order_Status]]="Returned",Table1[[#This Row],[Order_Status]]="Cancelled"),"Attention Required","Not")</f>
        <v>Not</v>
      </c>
      <c r="CD173" t="str">
        <f>IF(OR(Table1[[#This Row],[Order_Status]]="Returned",Table1[[#This Row],[Order_Status]]="Cancelled"),"Review","no")</f>
        <v>no</v>
      </c>
      <c r="CE173" t="str">
        <f>SUBSTITUTE(Table1[[#This Row],[Order_Status]],"Delivered","Completed")</f>
        <v>Completed</v>
      </c>
      <c r="CF173" s="2">
        <v>46187</v>
      </c>
      <c r="CG173" s="17">
        <f>NETWORKDAYS(Table1[[#This Row],[Order_Date]],Table1[[#This Row],[Delivery_Date]])</f>
        <v>1</v>
      </c>
      <c r="CH173" s="17">
        <f>Table1[[#This Row],[Delivery_Date]]-Table1[[#This Row],[Order_Date]]</f>
        <v>2</v>
      </c>
      <c r="CI173" t="s">
        <v>137</v>
      </c>
      <c r="CJ173" t="str">
        <f>IF(Table1[[#This Row],[Rating]]&gt;=4,"Good","Needs Improvement")</f>
        <v>Needs Improvement</v>
      </c>
      <c r="CK173" t="str">
        <f>IF(OR(Table1[[#This Row],[Rating]]&lt;=2,Table1[[#This Row],[Profit]]&lt;0),"Review","NO")</f>
        <v>NO</v>
      </c>
      <c r="CL173" t="str" cm="1">
        <f t="array" ref="CL173">_xlfn.IFS(Table1[[#This Row],[Rating]]&gt;2,"Poor",Table1[[#This Row],[Rating]]=3,"Average",Table1[[#This Row],[Rating]]=4,"Good",CP173=5,"Excellent")</f>
        <v>Poor</v>
      </c>
      <c r="CM173">
        <f>COUNT(Table1[[#This Row],[Rating]])</f>
        <v>1</v>
      </c>
      <c r="CN173">
        <f>COUNTBLANK(Table1[[#This Row],[Rating]])</f>
        <v>0</v>
      </c>
      <c r="CP173" t="s">
        <v>194</v>
      </c>
      <c r="CQ173" s="14">
        <v>3</v>
      </c>
      <c r="CR173" t="s">
        <v>139</v>
      </c>
      <c r="CS173" t="s">
        <v>195</v>
      </c>
      <c r="CU173" s="3">
        <v>2997</v>
      </c>
      <c r="CV173" s="3">
        <f>ROUND(Table1[[#This Row],[Sales_Amount]],0)</f>
        <v>2997</v>
      </c>
      <c r="CW173" s="3"/>
      <c r="CX173" s="3"/>
      <c r="CY173" s="3" t="b">
        <f>IF(AND(Table1[[#This Row],[Sales_Amount]]&gt;=10000,Table1[[#This Row],[Profit]]&gt;0),"Good Order")</f>
        <v>0</v>
      </c>
      <c r="CZ173" s="3" t="str">
        <f>IF(Table1[[#This Row],[Sales_Amount]]&gt;=10000,"High","Normal")</f>
        <v>Normal</v>
      </c>
      <c r="DA173" s="3">
        <v>1647</v>
      </c>
      <c r="DB173" s="3">
        <f>ROUND(Table1[[#This Row],[Profit]],0)</f>
        <v>1647</v>
      </c>
      <c r="DC173" s="3">
        <f>ABS(Table1[[#This Row],[Profit]])</f>
        <v>1647</v>
      </c>
      <c r="DD173" s="3"/>
      <c r="DE173" s="3"/>
      <c r="DF173" s="3"/>
      <c r="DG173" s="3" t="str">
        <f>IF(Table1[[#This Row],[Profit]]&gt;0,"Profit","Loss")</f>
        <v>Profit</v>
      </c>
      <c r="DH173" s="3" t="str">
        <f>IF(AND(Table1[[#This Row],[Sales_Amount]]&gt;=10000,Table1[[#This Row],[Profit]]&gt;0),"Priority","Normal")</f>
        <v>Normal</v>
      </c>
      <c r="DI173" s="3">
        <f t="shared" ca="1" si="16"/>
        <v>0.64199062897246661</v>
      </c>
      <c r="DJ173" s="3">
        <f t="shared" ca="1" si="17"/>
        <v>100</v>
      </c>
      <c r="DK173" s="3"/>
      <c r="DL173" s="3"/>
      <c r="DM173" s="3"/>
      <c r="DN173" s="3"/>
      <c r="DO173" s="3"/>
      <c r="DP173" s="3"/>
    </row>
    <row r="174" spans="1:120">
      <c r="A174" t="s">
        <v>931</v>
      </c>
      <c r="B174" t="str">
        <f>REPLACE(Table1[[#This Row],[Order_ID]],1,3,"YOO")</f>
        <v>YOO10173</v>
      </c>
      <c r="C174" t="str">
        <f>MID(Table1[[#This Row],[Order_ID]],4,4)</f>
        <v>1017</v>
      </c>
      <c r="D174" t="str">
        <f>LEFT(Table1[[#This Row],[Order_ID]],4)</f>
        <v>ORD1</v>
      </c>
      <c r="E174" t="str">
        <f>RIGHT(Table1[[#This Row],[Order_ID]],5)</f>
        <v>10173</v>
      </c>
      <c r="F174" t="s">
        <v>5</v>
      </c>
      <c r="G174">
        <v>10173</v>
      </c>
      <c r="H174" t="s">
        <v>932</v>
      </c>
      <c r="I174" s="2">
        <f>EDATE(Table1[[#This Row],[Order_Date]],3)</f>
        <v>46206</v>
      </c>
      <c r="J174" s="2">
        <f>EDATE(Table1[[#This Row],[Order_Date]],6)</f>
        <v>46298</v>
      </c>
      <c r="K174">
        <f ca="1">YEAR(Table1[[#This Row],[Today]])</f>
        <v>2026</v>
      </c>
      <c r="L174">
        <v>173</v>
      </c>
      <c r="M174">
        <f ca="1">DAY(Table1[[#This Row],[Today]])</f>
        <v>11</v>
      </c>
      <c r="N174" s="19">
        <f t="shared" ca="1" si="20"/>
        <v>46245.589795370368</v>
      </c>
      <c r="O174" s="2">
        <f t="shared" ca="1" si="15"/>
        <v>46245</v>
      </c>
      <c r="P174" s="17">
        <f ca="1">Table1[[#This Row],[Today]]-Table1[[#This Row],[Order_Date]]</f>
        <v>130</v>
      </c>
      <c r="Q174" s="2">
        <v>45830</v>
      </c>
      <c r="R174" s="2">
        <v>46115</v>
      </c>
      <c r="S174" s="6">
        <f t="shared" si="18"/>
        <v>2026</v>
      </c>
      <c r="T174" s="7" t="str">
        <f t="shared" si="19"/>
        <v>April</v>
      </c>
      <c r="U174" s="2">
        <f>WORKDAY(Table1[[#This Row],[Order_Date]],5)</f>
        <v>46122</v>
      </c>
      <c r="V174" s="7" t="str">
        <f>CONCATENATE(Table1[[#This Row],[Customer_ID]],Table1[[#This Row],[Customer_Name]])</f>
        <v>C1093Anjali Joshi</v>
      </c>
      <c r="W174" t="s">
        <v>177</v>
      </c>
      <c r="X174" t="s">
        <v>310</v>
      </c>
      <c r="Y174">
        <f>COUNTA(Table1[[#This Row],[Customer_Name]])</f>
        <v>1</v>
      </c>
      <c r="Z174" t="str">
        <f>SUBSTITUTE(Table1[[#This Row],[Customer_Name]]," ","_")</f>
        <v>Anjali_Joshi</v>
      </c>
      <c r="AA174" s="10">
        <f>IFERROR(SEARCH("a",Table1[[#This Row],[Customer_Name]]),"N/A")</f>
        <v>1</v>
      </c>
      <c r="AB174">
        <f>SEARCH(" ",Table1[[#This Row],[Customer_Name]])</f>
        <v>7</v>
      </c>
      <c r="AC174" s="11">
        <f>IFERROR(FIND("a",Table1[[#This Row],[Customer_Name]]),"N/A")</f>
        <v>4</v>
      </c>
      <c r="AD174">
        <f>FIND(" ",Table1[[#This Row],[Customer_Name]])</f>
        <v>7</v>
      </c>
      <c r="AE174" t="str">
        <f>TRIM(Table1[[#This Row],[Customer_Name]])</f>
        <v>Anjali Joshi</v>
      </c>
      <c r="AF174">
        <f>LEN(Table1[[#This Row],[Trimmed]])</f>
        <v>12</v>
      </c>
      <c r="AG174">
        <f>MAX(Table1[Length])</f>
        <v>15</v>
      </c>
      <c r="AH174" t="str">
        <f>PROPER(Table1[[#This Row],[Customer_Name]])</f>
        <v>Anjali Joshi</v>
      </c>
      <c r="AI174" t="str">
        <f>LOWER(Table1[[#This Row],[Customer_Name]])</f>
        <v>anjali joshi</v>
      </c>
      <c r="AJ174" t="str">
        <f>UPPER(Table1[[#This Row],[Customer_Name]])</f>
        <v>ANJALI JOSHI</v>
      </c>
      <c r="AK174" t="str">
        <f>CONCATENATE(Table1[[#This Row],[Customer_ID]],Table1[[#This Row],[Customer_Name]])</f>
        <v>C1093Anjali Joshi</v>
      </c>
      <c r="AL174" t="s">
        <v>311</v>
      </c>
      <c r="AM174" t="s">
        <v>312</v>
      </c>
      <c r="AN174" t="s">
        <v>313</v>
      </c>
      <c r="AO174" t="s">
        <v>311</v>
      </c>
      <c r="AP174" t="s">
        <v>312</v>
      </c>
      <c r="AQ174" t="s">
        <v>148</v>
      </c>
      <c r="AR174" t="str">
        <f>TRIM(Table1[[#This Row],[City]])</f>
        <v>Jaipur</v>
      </c>
      <c r="AS174" t="str">
        <f>PROPER(Table1[[#This Row],[City]])</f>
        <v>Jaipur</v>
      </c>
      <c r="AT174" t="s">
        <v>149</v>
      </c>
      <c r="AU174" t="str">
        <f>CONCATENATE(Table1[[#This Row],[City]],Table1[[#This Row],[State]])</f>
        <v>JaipurRajasthan</v>
      </c>
      <c r="AV174" t="s">
        <v>150</v>
      </c>
      <c r="AW174" t="s">
        <v>236</v>
      </c>
      <c r="AX174" t="str">
        <f>REPLACE(Table1[[#This Row],[Product_ID]],1,1,"s")</f>
        <v>s107</v>
      </c>
      <c r="AY174" t="s">
        <v>933</v>
      </c>
      <c r="AZ174">
        <f>SEARCH("-",Table1[[#This Row],[Product ID]])</f>
        <v>2</v>
      </c>
      <c r="BA174">
        <f>FIND("-",Table1[[#This Row],[Product ID]])</f>
        <v>2</v>
      </c>
      <c r="BB174" t="str">
        <f>MID(Table1[[#This Row],[Product_ID]],2,3)</f>
        <v>107</v>
      </c>
      <c r="BC174" t="str">
        <f>RIGHT(Table1[[#This Row],[Product_ID]],3)</f>
        <v>107</v>
      </c>
      <c r="BD174" t="str">
        <f>LEFT(Table1[[#This Row],[Product_ID]],3)</f>
        <v>P10</v>
      </c>
      <c r="BE174" t="str">
        <f>_xlfn.XLOOKUP(Table1[[#This Row],[Product_ID]],AW:AW,BF:BF,,0)</f>
        <v>Casual Sneakers</v>
      </c>
      <c r="BF174" t="s">
        <v>238</v>
      </c>
      <c r="BG174">
        <f>LEN(Table1[[#This Row],[Product_Name]])</f>
        <v>15</v>
      </c>
      <c r="BH174" t="s">
        <v>224</v>
      </c>
      <c r="BI174">
        <f t="shared" si="21"/>
        <v>75</v>
      </c>
      <c r="BJ174" t="str">
        <f>SUBSTITUTE(Table1[[#This Row],[Category]],"Electronics","ELECTRONICS")</f>
        <v>Fashion</v>
      </c>
      <c r="BN174" t="s">
        <v>225</v>
      </c>
      <c r="BS174" s="14">
        <v>3</v>
      </c>
      <c r="BT174" s="3">
        <v>2799</v>
      </c>
      <c r="BU174" s="4">
        <v>15</v>
      </c>
      <c r="BV174" s="4" t="str">
        <f>IF(AND(Table1[[#This Row],[Quantity]]&gt;=3,Table1[[#This Row],[Discount_%]]&gt;=15%),"Bulk Discount","no")</f>
        <v>Bulk Discount</v>
      </c>
      <c r="BW174" s="4" t="str">
        <f>IF(AND(Table1[[#This Row],[Quantity]]&gt;3,Table1[[#This Row],[Discount_%]]&gt;15%),"Bulk Customer","Normal")</f>
        <v>Normal</v>
      </c>
      <c r="BX174" t="s">
        <v>172</v>
      </c>
      <c r="BY174" t="s">
        <v>136</v>
      </c>
      <c r="CC174" t="str">
        <f>IF(OR(Table1[[#This Row],[Order_Status]]="Returned",Table1[[#This Row],[Order_Status]]="Cancelled"),"Attention Required","Not")</f>
        <v>Not</v>
      </c>
      <c r="CD174" t="str">
        <f>IF(OR(Table1[[#This Row],[Order_Status]]="Returned",Table1[[#This Row],[Order_Status]]="Cancelled"),"Review","no")</f>
        <v>no</v>
      </c>
      <c r="CE174" t="str">
        <f>SUBSTITUTE(Table1[[#This Row],[Order_Status]],"Delivered","Completed")</f>
        <v>Completed</v>
      </c>
      <c r="CF174" s="2">
        <v>46116</v>
      </c>
      <c r="CG174" s="17">
        <f>NETWORKDAYS(Table1[[#This Row],[Order_Date]],Table1[[#This Row],[Delivery_Date]])</f>
        <v>1</v>
      </c>
      <c r="CH174" s="17">
        <f>Table1[[#This Row],[Delivery_Date]]-Table1[[#This Row],[Order_Date]]</f>
        <v>1</v>
      </c>
      <c r="CI174" t="s">
        <v>137</v>
      </c>
      <c r="CJ174" t="str">
        <f>IF(Table1[[#This Row],[Rating]]&gt;=4,"Good","Needs Improvement")</f>
        <v>Good</v>
      </c>
      <c r="CK174" t="str">
        <f>IF(OR(Table1[[#This Row],[Rating]]&lt;=2,Table1[[#This Row],[Profit]]&lt;0),"Review","NO")</f>
        <v>NO</v>
      </c>
      <c r="CL174" t="str" cm="1">
        <f t="array" ref="CL174">_xlfn.IFS(Table1[[#This Row],[Rating]]&gt;2,"Poor",Table1[[#This Row],[Rating]]=3,"Average",Table1[[#This Row],[Rating]]=4,"Good",CP174=5,"Excellent")</f>
        <v>Poor</v>
      </c>
      <c r="CM174">
        <f>COUNT(Table1[[#This Row],[Rating]])</f>
        <v>1</v>
      </c>
      <c r="CN174">
        <f>COUNTBLANK(Table1[[#This Row],[Rating]])</f>
        <v>0</v>
      </c>
      <c r="CQ174" s="14">
        <v>4</v>
      </c>
      <c r="CR174" t="s">
        <v>139</v>
      </c>
      <c r="CS174" t="s">
        <v>267</v>
      </c>
      <c r="CU174" s="3">
        <v>7137.45</v>
      </c>
      <c r="CV174" s="3">
        <f>ROUND(Table1[[#This Row],[Sales_Amount]],0)</f>
        <v>7137</v>
      </c>
      <c r="CW174" s="3"/>
      <c r="CX174" s="3"/>
      <c r="CY174" s="3" t="b">
        <f>IF(AND(Table1[[#This Row],[Sales_Amount]]&gt;=10000,Table1[[#This Row],[Profit]]&gt;0),"Good Order")</f>
        <v>0</v>
      </c>
      <c r="CZ174" s="3" t="str">
        <f>IF(Table1[[#This Row],[Sales_Amount]]&gt;=10000,"High","Normal")</f>
        <v>Normal</v>
      </c>
      <c r="DA174" s="3">
        <v>2637.45</v>
      </c>
      <c r="DB174" s="3">
        <f>ROUND(Table1[[#This Row],[Profit]],0)</f>
        <v>2637</v>
      </c>
      <c r="DC174" s="3">
        <f>ABS(Table1[[#This Row],[Profit]])</f>
        <v>2637.45</v>
      </c>
      <c r="DD174" s="3"/>
      <c r="DE174" s="3"/>
      <c r="DF174" s="3"/>
      <c r="DG174" s="3" t="str">
        <f>IF(Table1[[#This Row],[Profit]]&gt;0,"Profit","Loss")</f>
        <v>Profit</v>
      </c>
      <c r="DH174" s="3" t="str">
        <f>IF(AND(Table1[[#This Row],[Sales_Amount]]&gt;=10000,Table1[[#This Row],[Profit]]&gt;0),"Priority","Normal")</f>
        <v>Normal</v>
      </c>
      <c r="DI174" s="3">
        <f t="shared" ca="1" si="16"/>
        <v>0.90258943858658791</v>
      </c>
      <c r="DJ174" s="3">
        <f t="shared" ca="1" si="17"/>
        <v>1</v>
      </c>
      <c r="DK174" s="3"/>
      <c r="DL174" s="3"/>
      <c r="DM174" s="3"/>
      <c r="DN174" s="3"/>
      <c r="DO174" s="3"/>
      <c r="DP174" s="3"/>
    </row>
    <row r="175" spans="1:120">
      <c r="A175" t="s">
        <v>934</v>
      </c>
      <c r="B175" t="str">
        <f>REPLACE(Table1[[#This Row],[Order_ID]],1,3,"YOO")</f>
        <v>YOO10174</v>
      </c>
      <c r="C175" t="str">
        <f>MID(Table1[[#This Row],[Order_ID]],4,4)</f>
        <v>1017</v>
      </c>
      <c r="D175" t="str">
        <f>LEFT(Table1[[#This Row],[Order_ID]],4)</f>
        <v>ORD1</v>
      </c>
      <c r="E175" t="str">
        <f>RIGHT(Table1[[#This Row],[Order_ID]],5)</f>
        <v>10174</v>
      </c>
      <c r="F175" t="s">
        <v>5</v>
      </c>
      <c r="G175">
        <v>10174</v>
      </c>
      <c r="H175" t="s">
        <v>935</v>
      </c>
      <c r="I175" s="2">
        <f>EDATE(Table1[[#This Row],[Order_Date]],3)</f>
        <v>46162</v>
      </c>
      <c r="J175" s="2">
        <f>EDATE(Table1[[#This Row],[Order_Date]],6)</f>
        <v>46254</v>
      </c>
      <c r="K175">
        <f ca="1">YEAR(Table1[[#This Row],[Today]])</f>
        <v>2026</v>
      </c>
      <c r="L175">
        <v>174</v>
      </c>
      <c r="M175">
        <f ca="1">DAY(Table1[[#This Row],[Today]])</f>
        <v>11</v>
      </c>
      <c r="N175" s="19">
        <f t="shared" ca="1" si="20"/>
        <v>46245.589795370368</v>
      </c>
      <c r="O175" s="2">
        <f t="shared" ca="1" si="15"/>
        <v>46245</v>
      </c>
      <c r="P175" s="17">
        <f ca="1">Table1[[#This Row],[Today]]-Table1[[#This Row],[Order_Date]]</f>
        <v>172</v>
      </c>
      <c r="Q175" s="2">
        <v>45831</v>
      </c>
      <c r="R175" s="2">
        <v>46073</v>
      </c>
      <c r="S175" s="6">
        <f t="shared" si="18"/>
        <v>2026</v>
      </c>
      <c r="T175" s="7" t="str">
        <f t="shared" si="19"/>
        <v>February</v>
      </c>
      <c r="U175" s="2">
        <f>WORKDAY(Table1[[#This Row],[Order_Date]],5)</f>
        <v>46080</v>
      </c>
      <c r="V175" s="7" t="str">
        <f>CONCATENATE(Table1[[#This Row],[Customer_ID]],Table1[[#This Row],[Customer_Name]])</f>
        <v>C1095Meera Nair</v>
      </c>
      <c r="W175" t="s">
        <v>936</v>
      </c>
      <c r="X175" t="s">
        <v>429</v>
      </c>
      <c r="Y175">
        <f>COUNTA(Table1[[#This Row],[Customer_Name]])</f>
        <v>1</v>
      </c>
      <c r="Z175" t="str">
        <f>SUBSTITUTE(Table1[[#This Row],[Customer_Name]]," ","_")</f>
        <v>Meera_Nair</v>
      </c>
      <c r="AA175" s="10">
        <f>IFERROR(SEARCH("a",Table1[[#This Row],[Customer_Name]]),"N/A")</f>
        <v>5</v>
      </c>
      <c r="AB175">
        <f>SEARCH(" ",Table1[[#This Row],[Customer_Name]])</f>
        <v>6</v>
      </c>
      <c r="AC175" s="11">
        <f>IFERROR(FIND("a",Table1[[#This Row],[Customer_Name]]),"N/A")</f>
        <v>5</v>
      </c>
      <c r="AD175">
        <f>FIND(" ",Table1[[#This Row],[Customer_Name]])</f>
        <v>6</v>
      </c>
      <c r="AE175" t="str">
        <f>TRIM(Table1[[#This Row],[Customer_Name]])</f>
        <v>Meera Nair</v>
      </c>
      <c r="AF175">
        <f>LEN(Table1[[#This Row],[Trimmed]])</f>
        <v>10</v>
      </c>
      <c r="AG175">
        <f>MAX(Table1[Length])</f>
        <v>15</v>
      </c>
      <c r="AH175" t="str">
        <f>PROPER(Table1[[#This Row],[Customer_Name]])</f>
        <v>Meera Nair</v>
      </c>
      <c r="AI175" t="str">
        <f>LOWER(Table1[[#This Row],[Customer_Name]])</f>
        <v>meera nair</v>
      </c>
      <c r="AJ175" t="str">
        <f>UPPER(Table1[[#This Row],[Customer_Name]])</f>
        <v>MEERA NAIR</v>
      </c>
      <c r="AK175" t="str">
        <f>CONCATENATE(Table1[[#This Row],[Customer_ID]],Table1[[#This Row],[Customer_Name]])</f>
        <v>C1095Meera Nair</v>
      </c>
      <c r="AL175" t="s">
        <v>430</v>
      </c>
      <c r="AM175" t="s">
        <v>431</v>
      </c>
      <c r="AN175" t="s">
        <v>432</v>
      </c>
      <c r="AO175" t="s">
        <v>430</v>
      </c>
      <c r="AP175" t="s">
        <v>431</v>
      </c>
      <c r="AQ175" t="s">
        <v>569</v>
      </c>
      <c r="AR175" t="str">
        <f>TRIM(Table1[[#This Row],[City]])</f>
        <v>Delhi</v>
      </c>
      <c r="AS175" t="str">
        <f>PROPER(Table1[[#This Row],[City]])</f>
        <v>Delhi</v>
      </c>
      <c r="AT175" t="s">
        <v>569</v>
      </c>
      <c r="AU175" t="str">
        <f>CONCATENATE(Table1[[#This Row],[City]],Table1[[#This Row],[State]])</f>
        <v>DelhiDelhi</v>
      </c>
      <c r="AV175" t="s">
        <v>150</v>
      </c>
      <c r="AW175" t="s">
        <v>183</v>
      </c>
      <c r="AX175" t="str">
        <f>REPLACE(Table1[[#This Row],[Product_ID]],1,1,"s")</f>
        <v>s105</v>
      </c>
      <c r="AY175" t="s">
        <v>937</v>
      </c>
      <c r="AZ175">
        <f>SEARCH("-",Table1[[#This Row],[Product ID]])</f>
        <v>2</v>
      </c>
      <c r="BA175">
        <f>FIND("-",Table1[[#This Row],[Product ID]])</f>
        <v>2</v>
      </c>
      <c r="BB175" t="str">
        <f>MID(Table1[[#This Row],[Product_ID]],2,3)</f>
        <v>105</v>
      </c>
      <c r="BC175" t="str">
        <f>RIGHT(Table1[[#This Row],[Product_ID]],3)</f>
        <v>105</v>
      </c>
      <c r="BD175" t="str">
        <f>LEFT(Table1[[#This Row],[Product_ID]],3)</f>
        <v>P10</v>
      </c>
      <c r="BE175" t="str">
        <f>_xlfn.XLOOKUP(Table1[[#This Row],[Product_ID]],AW:AW,BF:BF,,0)</f>
        <v>Bluetooth Speaker</v>
      </c>
      <c r="BF175" t="s">
        <v>185</v>
      </c>
      <c r="BG175">
        <f>LEN(Table1[[#This Row],[Product_Name]])</f>
        <v>17</v>
      </c>
      <c r="BH175" t="s">
        <v>154</v>
      </c>
      <c r="BI175">
        <f t="shared" si="21"/>
        <v>75</v>
      </c>
      <c r="BJ175" t="str">
        <f>SUBSTITUTE(Table1[[#This Row],[Category]],"Electronics","ELECTRONICS")</f>
        <v>ELECTRONICS</v>
      </c>
      <c r="BN175" t="s">
        <v>186</v>
      </c>
      <c r="BS175" s="14">
        <v>5</v>
      </c>
      <c r="BT175" s="3">
        <v>2999</v>
      </c>
      <c r="BU175" s="4">
        <v>10</v>
      </c>
      <c r="BV175" s="4" t="str">
        <f>IF(AND(Table1[[#This Row],[Quantity]]&gt;=3,Table1[[#This Row],[Discount_%]]&gt;=15%),"Bulk Discount","no")</f>
        <v>Bulk Discount</v>
      </c>
      <c r="BW175" s="4" t="str">
        <f>IF(AND(Table1[[#This Row],[Quantity]]&gt;3,Table1[[#This Row],[Discount_%]]&gt;15%),"Bulk Customer","Normal")</f>
        <v>Bulk Customer</v>
      </c>
      <c r="BX175" t="s">
        <v>187</v>
      </c>
      <c r="BY175" t="s">
        <v>374</v>
      </c>
      <c r="CC175" t="str">
        <f>IF(OR(Table1[[#This Row],[Order_Status]]="Returned",Table1[[#This Row],[Order_Status]]="Cancelled"),"Attention Required","Not")</f>
        <v>Attention Required</v>
      </c>
      <c r="CD175" t="str">
        <f>IF(OR(Table1[[#This Row],[Order_Status]]="Returned",Table1[[#This Row],[Order_Status]]="Cancelled"),"Review","no")</f>
        <v>Review</v>
      </c>
      <c r="CE175" t="str">
        <f>SUBSTITUTE(Table1[[#This Row],[Order_Status]],"Delivered","Completed")</f>
        <v>Returned</v>
      </c>
      <c r="CF175" s="2">
        <v>46075</v>
      </c>
      <c r="CG175" s="17">
        <f>NETWORKDAYS(Table1[[#This Row],[Order_Date]],Table1[[#This Row],[Delivery_Date]])</f>
        <v>1</v>
      </c>
      <c r="CH175" s="17">
        <f>Table1[[#This Row],[Delivery_Date]]-Table1[[#This Row],[Order_Date]]</f>
        <v>2</v>
      </c>
      <c r="CI175" t="s">
        <v>375</v>
      </c>
      <c r="CJ175" t="str">
        <f>IF(Table1[[#This Row],[Rating]]&gt;=4,"Good","Needs Improvement")</f>
        <v>Good</v>
      </c>
      <c r="CK175" t="str">
        <f>IF(OR(Table1[[#This Row],[Rating]]&lt;=2,Table1[[#This Row],[Profit]]&lt;0),"Review","NO")</f>
        <v>NO</v>
      </c>
      <c r="CL175" t="str" cm="1">
        <f t="array" ref="CL175">_xlfn.IFS(Table1[[#This Row],[Rating]]&gt;2,"Poor",Table1[[#This Row],[Rating]]=3,"Average",Table1[[#This Row],[Rating]]=4,"Good",CP175=5,"Excellent")</f>
        <v>Poor</v>
      </c>
      <c r="CM175">
        <f>COUNT(Table1[[#This Row],[Rating]])</f>
        <v>1</v>
      </c>
      <c r="CN175">
        <f>COUNTBLANK(Table1[[#This Row],[Rating]])</f>
        <v>0</v>
      </c>
      <c r="CP175" t="s">
        <v>194</v>
      </c>
      <c r="CQ175" s="14">
        <v>4</v>
      </c>
      <c r="CR175" t="s">
        <v>139</v>
      </c>
      <c r="CS175" t="s">
        <v>267</v>
      </c>
      <c r="CU175" s="3">
        <v>13495.5</v>
      </c>
      <c r="CV175" s="3">
        <f>ROUND(Table1[[#This Row],[Sales_Amount]],0)</f>
        <v>13496</v>
      </c>
      <c r="CW175" s="3"/>
      <c r="CX175" s="3"/>
      <c r="CY175" s="3" t="str">
        <f>IF(AND(Table1[[#This Row],[Sales_Amount]]&gt;=10000,Table1[[#This Row],[Profit]]&gt;0),"Good Order")</f>
        <v>Good Order</v>
      </c>
      <c r="CZ175" s="3" t="str">
        <f>IF(Table1[[#This Row],[Sales_Amount]]&gt;=10000,"High","Normal")</f>
        <v>High</v>
      </c>
      <c r="DA175" s="3">
        <v>4745.5</v>
      </c>
      <c r="DB175" s="3">
        <f>ROUND(Table1[[#This Row],[Profit]],0)</f>
        <v>4746</v>
      </c>
      <c r="DC175" s="3">
        <f>ABS(Table1[[#This Row],[Profit]])</f>
        <v>4745.5</v>
      </c>
      <c r="DD175" s="3"/>
      <c r="DE175" s="3"/>
      <c r="DF175" s="3"/>
      <c r="DG175" s="3" t="str">
        <f>IF(Table1[[#This Row],[Profit]]&gt;0,"Profit","Loss")</f>
        <v>Profit</v>
      </c>
      <c r="DH175" s="3" t="str">
        <f>IF(AND(Table1[[#This Row],[Sales_Amount]]&gt;=10000,Table1[[#This Row],[Profit]]&gt;0),"Priority","Normal")</f>
        <v>Priority</v>
      </c>
      <c r="DI175" s="3">
        <f t="shared" ca="1" si="16"/>
        <v>0.77270805191915526</v>
      </c>
      <c r="DJ175" s="3">
        <f t="shared" ca="1" si="17"/>
        <v>26</v>
      </c>
      <c r="DK175" s="3"/>
      <c r="DL175" s="3"/>
      <c r="DM175" s="3"/>
      <c r="DN175" s="3"/>
      <c r="DO175" s="3"/>
      <c r="DP175" s="3"/>
    </row>
    <row r="176" spans="1:120">
      <c r="A176" t="s">
        <v>938</v>
      </c>
      <c r="B176" t="str">
        <f>REPLACE(Table1[[#This Row],[Order_ID]],1,3,"YOO")</f>
        <v>YOO10175</v>
      </c>
      <c r="C176" t="str">
        <f>MID(Table1[[#This Row],[Order_ID]],4,4)</f>
        <v>1017</v>
      </c>
      <c r="D176" t="str">
        <f>LEFT(Table1[[#This Row],[Order_ID]],4)</f>
        <v>ORD1</v>
      </c>
      <c r="E176" t="str">
        <f>RIGHT(Table1[[#This Row],[Order_ID]],5)</f>
        <v>10175</v>
      </c>
      <c r="F176" t="s">
        <v>5</v>
      </c>
      <c r="G176">
        <v>10175</v>
      </c>
      <c r="H176" t="s">
        <v>939</v>
      </c>
      <c r="I176" s="2">
        <f>EDATE(Table1[[#This Row],[Order_Date]],3)</f>
        <v>46130</v>
      </c>
      <c r="J176" s="2">
        <f>EDATE(Table1[[#This Row],[Order_Date]],6)</f>
        <v>46221</v>
      </c>
      <c r="K176">
        <f ca="1">YEAR(Table1[[#This Row],[Today]])</f>
        <v>2026</v>
      </c>
      <c r="L176">
        <v>175</v>
      </c>
      <c r="M176">
        <f ca="1">DAY(Table1[[#This Row],[Today]])</f>
        <v>11</v>
      </c>
      <c r="N176" s="19">
        <f t="shared" ca="1" si="20"/>
        <v>46245.589795138891</v>
      </c>
      <c r="O176" s="2">
        <f t="shared" ca="1" si="15"/>
        <v>46245</v>
      </c>
      <c r="P176" s="17">
        <f ca="1">Table1[[#This Row],[Today]]-Table1[[#This Row],[Order_Date]]</f>
        <v>205</v>
      </c>
      <c r="Q176" s="2">
        <v>45832</v>
      </c>
      <c r="R176" s="2">
        <v>46040</v>
      </c>
      <c r="S176" s="6">
        <f t="shared" si="18"/>
        <v>2026</v>
      </c>
      <c r="T176" s="7" t="str">
        <f t="shared" si="19"/>
        <v>January</v>
      </c>
      <c r="U176" s="2">
        <f>WORKDAY(Table1[[#This Row],[Order_Date]],5)</f>
        <v>46045</v>
      </c>
      <c r="V176" s="7" t="str">
        <f>CONCATENATE(Table1[[#This Row],[Customer_ID]],Table1[[#This Row],[Customer_Name]])</f>
        <v>C1021Aditya Malhotra</v>
      </c>
      <c r="W176" t="s">
        <v>940</v>
      </c>
      <c r="X176" t="s">
        <v>257</v>
      </c>
      <c r="Y176">
        <f>COUNTA(Table1[[#This Row],[Customer_Name]])</f>
        <v>1</v>
      </c>
      <c r="Z176" t="str">
        <f>SUBSTITUTE(Table1[[#This Row],[Customer_Name]]," ","_")</f>
        <v>Aditya_Malhotra</v>
      </c>
      <c r="AA176" s="10">
        <f>IFERROR(SEARCH("a",Table1[[#This Row],[Customer_Name]]),"N/A")</f>
        <v>1</v>
      </c>
      <c r="AB176">
        <f>SEARCH(" ",Table1[[#This Row],[Customer_Name]])</f>
        <v>7</v>
      </c>
      <c r="AC176" s="11">
        <f>IFERROR(FIND("a",Table1[[#This Row],[Customer_Name]]),"N/A")</f>
        <v>6</v>
      </c>
      <c r="AD176">
        <f>FIND(" ",Table1[[#This Row],[Customer_Name]])</f>
        <v>7</v>
      </c>
      <c r="AE176" t="str">
        <f>TRIM(Table1[[#This Row],[Customer_Name]])</f>
        <v>Aditya Malhotra</v>
      </c>
      <c r="AF176">
        <f>LEN(Table1[[#This Row],[Trimmed]])</f>
        <v>15</v>
      </c>
      <c r="AG176">
        <f>MAX(Table1[Length])</f>
        <v>15</v>
      </c>
      <c r="AH176" t="str">
        <f>PROPER(Table1[[#This Row],[Customer_Name]])</f>
        <v>Aditya Malhotra</v>
      </c>
      <c r="AI176" t="str">
        <f>LOWER(Table1[[#This Row],[Customer_Name]])</f>
        <v>aditya malhotra</v>
      </c>
      <c r="AJ176" t="str">
        <f>UPPER(Table1[[#This Row],[Customer_Name]])</f>
        <v>ADITYA MALHOTRA</v>
      </c>
      <c r="AK176" t="str">
        <f>CONCATENATE(Table1[[#This Row],[Customer_ID]],Table1[[#This Row],[Customer_Name]])</f>
        <v>C1021Aditya Malhotra</v>
      </c>
      <c r="AL176" t="s">
        <v>258</v>
      </c>
      <c r="AM176" t="s">
        <v>259</v>
      </c>
      <c r="AN176" t="s">
        <v>260</v>
      </c>
      <c r="AO176" t="s">
        <v>258</v>
      </c>
      <c r="AP176" t="s">
        <v>259</v>
      </c>
      <c r="AQ176" t="s">
        <v>284</v>
      </c>
      <c r="AR176" t="str">
        <f>TRIM(Table1[[#This Row],[City]])</f>
        <v>Hyderabad</v>
      </c>
      <c r="AS176" t="str">
        <f>PROPER(Table1[[#This Row],[City]])</f>
        <v>Hyderabad</v>
      </c>
      <c r="AT176" t="s">
        <v>285</v>
      </c>
      <c r="AU176" t="str">
        <f>CONCATENATE(Table1[[#This Row],[City]],Table1[[#This Row],[State]])</f>
        <v>HyderabadTelangana</v>
      </c>
      <c r="AV176" t="s">
        <v>168</v>
      </c>
      <c r="AW176" t="s">
        <v>319</v>
      </c>
      <c r="AX176" t="str">
        <f>REPLACE(Table1[[#This Row],[Product_ID]],1,1,"s")</f>
        <v>s103</v>
      </c>
      <c r="AY176" t="s">
        <v>941</v>
      </c>
      <c r="AZ176">
        <f>SEARCH("-",Table1[[#This Row],[Product ID]])</f>
        <v>2</v>
      </c>
      <c r="BA176">
        <f>FIND("-",Table1[[#This Row],[Product ID]])</f>
        <v>2</v>
      </c>
      <c r="BB176" t="str">
        <f>MID(Table1[[#This Row],[Product_ID]],2,3)</f>
        <v>103</v>
      </c>
      <c r="BC176" t="str">
        <f>RIGHT(Table1[[#This Row],[Product_ID]],3)</f>
        <v>103</v>
      </c>
      <c r="BD176" t="str">
        <f>LEFT(Table1[[#This Row],[Product_ID]],3)</f>
        <v>P10</v>
      </c>
      <c r="BE176" t="str">
        <f>_xlfn.XLOOKUP(Table1[[#This Row],[Product_ID]],AW:AW,BF:BF,,0)</f>
        <v>Laptop Stand</v>
      </c>
      <c r="BF176" t="s">
        <v>321</v>
      </c>
      <c r="BG176">
        <f>LEN(Table1[[#This Row],[Product_Name]])</f>
        <v>12</v>
      </c>
      <c r="BH176" t="s">
        <v>154</v>
      </c>
      <c r="BI176">
        <f t="shared" si="21"/>
        <v>75</v>
      </c>
      <c r="BJ176" t="str">
        <f>SUBSTITUTE(Table1[[#This Row],[Category]],"Electronics","ELECTRONICS")</f>
        <v>ELECTRONICS</v>
      </c>
      <c r="BN176" t="s">
        <v>155</v>
      </c>
      <c r="BS176" s="14">
        <v>4</v>
      </c>
      <c r="BT176" s="3">
        <v>1599</v>
      </c>
      <c r="BU176" s="4">
        <v>25</v>
      </c>
      <c r="BV176" s="4" t="str">
        <f>IF(AND(Table1[[#This Row],[Quantity]]&gt;=3,Table1[[#This Row],[Discount_%]]&gt;=15%),"Bulk Discount","no")</f>
        <v>Bulk Discount</v>
      </c>
      <c r="BW176" s="4" t="str">
        <f>IF(AND(Table1[[#This Row],[Quantity]]&gt;3,Table1[[#This Row],[Discount_%]]&gt;15%),"Bulk Customer","Normal")</f>
        <v>Bulk Customer</v>
      </c>
      <c r="BX176" t="s">
        <v>330</v>
      </c>
      <c r="BY176" t="s">
        <v>193</v>
      </c>
      <c r="CC176" t="str">
        <f>IF(OR(Table1[[#This Row],[Order_Status]]="Returned",Table1[[#This Row],[Order_Status]]="Cancelled"),"Attention Required","Not")</f>
        <v>Not</v>
      </c>
      <c r="CD176" t="str">
        <f>IF(OR(Table1[[#This Row],[Order_Status]]="Returned",Table1[[#This Row],[Order_Status]]="Cancelled"),"Review","no")</f>
        <v>no</v>
      </c>
      <c r="CE176" t="str">
        <f>SUBSTITUTE(Table1[[#This Row],[Order_Status]],"Delivered","Completed")</f>
        <v>Shipped</v>
      </c>
      <c r="CF176" s="2">
        <v>46044</v>
      </c>
      <c r="CG176" s="17">
        <f>NETWORKDAYS(Table1[[#This Row],[Order_Date]],Table1[[#This Row],[Delivery_Date]])</f>
        <v>4</v>
      </c>
      <c r="CH176" s="17">
        <f>Table1[[#This Row],[Delivery_Date]]-Table1[[#This Row],[Order_Date]]</f>
        <v>4</v>
      </c>
      <c r="CI176" t="s">
        <v>137</v>
      </c>
      <c r="CJ176" t="str">
        <f>IF(Table1[[#This Row],[Rating]]&gt;=4,"Good","Needs Improvement")</f>
        <v>Good</v>
      </c>
      <c r="CK176" t="str">
        <f>IF(OR(Table1[[#This Row],[Rating]]&lt;=2,Table1[[#This Row],[Profit]]&lt;0),"Review","NO")</f>
        <v>NO</v>
      </c>
      <c r="CL176" t="str" cm="1">
        <f t="array" ref="CL176">_xlfn.IFS(Table1[[#This Row],[Rating]]&gt;2,"Poor",Table1[[#This Row],[Rating]]=3,"Average",Table1[[#This Row],[Rating]]=4,"Good",CP176=5,"Excellent")</f>
        <v>Poor</v>
      </c>
      <c r="CM176">
        <f>COUNT(Table1[[#This Row],[Rating]])</f>
        <v>1</v>
      </c>
      <c r="CN176">
        <f>COUNTBLANK(Table1[[#This Row],[Rating]])</f>
        <v>0</v>
      </c>
      <c r="CP176" t="s">
        <v>266</v>
      </c>
      <c r="CQ176" s="14">
        <v>4</v>
      </c>
      <c r="CR176" t="s">
        <v>204</v>
      </c>
      <c r="CS176" t="s">
        <v>195</v>
      </c>
      <c r="CU176" s="3">
        <v>4797</v>
      </c>
      <c r="CV176" s="3">
        <f>ROUND(Table1[[#This Row],[Sales_Amount]],0)</f>
        <v>4797</v>
      </c>
      <c r="CW176" s="3"/>
      <c r="CX176" s="3"/>
      <c r="CY176" s="3" t="b">
        <f>IF(AND(Table1[[#This Row],[Sales_Amount]]&gt;=10000,Table1[[#This Row],[Profit]]&gt;0),"Good Order")</f>
        <v>0</v>
      </c>
      <c r="CZ176" s="3" t="str">
        <f>IF(Table1[[#This Row],[Sales_Amount]]&gt;=10000,"High","Normal")</f>
        <v>Normal</v>
      </c>
      <c r="DA176" s="3">
        <v>1197</v>
      </c>
      <c r="DB176" s="3">
        <f>ROUND(Table1[[#This Row],[Profit]],0)</f>
        <v>1197</v>
      </c>
      <c r="DC176" s="3">
        <f>ABS(Table1[[#This Row],[Profit]])</f>
        <v>1197</v>
      </c>
      <c r="DD176" s="3"/>
      <c r="DE176" s="3"/>
      <c r="DF176" s="3"/>
      <c r="DG176" s="3" t="str">
        <f>IF(Table1[[#This Row],[Profit]]&gt;0,"Profit","Loss")</f>
        <v>Profit</v>
      </c>
      <c r="DH176" s="3" t="str">
        <f>IF(AND(Table1[[#This Row],[Sales_Amount]]&gt;=10000,Table1[[#This Row],[Profit]]&gt;0),"Priority","Normal")</f>
        <v>Normal</v>
      </c>
      <c r="DI176" s="3">
        <f t="shared" ca="1" si="16"/>
        <v>9.5196744557004553E-2</v>
      </c>
      <c r="DJ176" s="3">
        <f t="shared" ca="1" si="17"/>
        <v>65</v>
      </c>
      <c r="DK176" s="3"/>
      <c r="DL176" s="3"/>
      <c r="DM176" s="3"/>
      <c r="DN176" s="3"/>
      <c r="DO176" s="3"/>
      <c r="DP176" s="3"/>
    </row>
    <row r="177" spans="1:120">
      <c r="A177" t="s">
        <v>942</v>
      </c>
      <c r="B177" t="str">
        <f>REPLACE(Table1[[#This Row],[Order_ID]],1,3,"YOO")</f>
        <v>YOO10176</v>
      </c>
      <c r="C177" t="str">
        <f>MID(Table1[[#This Row],[Order_ID]],4,4)</f>
        <v>1017</v>
      </c>
      <c r="D177" t="str">
        <f>LEFT(Table1[[#This Row],[Order_ID]],4)</f>
        <v>ORD1</v>
      </c>
      <c r="E177" t="str">
        <f>RIGHT(Table1[[#This Row],[Order_ID]],5)</f>
        <v>10176</v>
      </c>
      <c r="F177" t="s">
        <v>5</v>
      </c>
      <c r="G177">
        <v>10176</v>
      </c>
      <c r="H177" t="s">
        <v>943</v>
      </c>
      <c r="I177" s="2">
        <f>EDATE(Table1[[#This Row],[Order_Date]],3)</f>
        <v>45863</v>
      </c>
      <c r="J177" s="2">
        <f>EDATE(Table1[[#This Row],[Order_Date]],6)</f>
        <v>45955</v>
      </c>
      <c r="K177">
        <f ca="1">YEAR(Table1[[#This Row],[Today]])</f>
        <v>2026</v>
      </c>
      <c r="L177">
        <v>176</v>
      </c>
      <c r="M177">
        <f ca="1">DAY(Table1[[#This Row],[Today]])</f>
        <v>11</v>
      </c>
      <c r="N177" s="19">
        <f t="shared" ca="1" si="20"/>
        <v>46245.589795370368</v>
      </c>
      <c r="O177" s="2">
        <f t="shared" ca="1" si="15"/>
        <v>46245</v>
      </c>
      <c r="P177" s="17">
        <f ca="1">Table1[[#This Row],[Today]]-Table1[[#This Row],[Order_Date]]</f>
        <v>473</v>
      </c>
      <c r="Q177" s="2">
        <v>45833</v>
      </c>
      <c r="R177" s="2">
        <v>45772</v>
      </c>
      <c r="S177" s="6">
        <f t="shared" si="18"/>
        <v>2025</v>
      </c>
      <c r="T177" s="7" t="str">
        <f t="shared" si="19"/>
        <v>April</v>
      </c>
      <c r="U177" s="2">
        <f>WORKDAY(Table1[[#This Row],[Order_Date]],5)</f>
        <v>45779</v>
      </c>
      <c r="V177" s="7" t="str">
        <f>CONCATENATE(Table1[[#This Row],[Customer_ID]],Table1[[#This Row],[Customer_Name]])</f>
        <v>C1084Aditya Malhotra</v>
      </c>
      <c r="W177" t="s">
        <v>944</v>
      </c>
      <c r="X177" t="s">
        <v>257</v>
      </c>
      <c r="Y177">
        <f>COUNTA(Table1[[#This Row],[Customer_Name]])</f>
        <v>1</v>
      </c>
      <c r="Z177" t="str">
        <f>SUBSTITUTE(Table1[[#This Row],[Customer_Name]]," ","_")</f>
        <v>Aditya_Malhotra</v>
      </c>
      <c r="AA177" s="10">
        <f>IFERROR(SEARCH("a",Table1[[#This Row],[Customer_Name]]),"N/A")</f>
        <v>1</v>
      </c>
      <c r="AB177">
        <f>SEARCH(" ",Table1[[#This Row],[Customer_Name]])</f>
        <v>7</v>
      </c>
      <c r="AC177" s="11">
        <f>IFERROR(FIND("a",Table1[[#This Row],[Customer_Name]]),"N/A")</f>
        <v>6</v>
      </c>
      <c r="AD177">
        <f>FIND(" ",Table1[[#This Row],[Customer_Name]])</f>
        <v>7</v>
      </c>
      <c r="AE177" t="str">
        <f>TRIM(Table1[[#This Row],[Customer_Name]])</f>
        <v>Aditya Malhotra</v>
      </c>
      <c r="AF177">
        <f>LEN(Table1[[#This Row],[Trimmed]])</f>
        <v>15</v>
      </c>
      <c r="AG177">
        <f>MAX(Table1[Length])</f>
        <v>15</v>
      </c>
      <c r="AH177" t="str">
        <f>PROPER(Table1[[#This Row],[Customer_Name]])</f>
        <v>Aditya Malhotra</v>
      </c>
      <c r="AI177" t="str">
        <f>LOWER(Table1[[#This Row],[Customer_Name]])</f>
        <v>aditya malhotra</v>
      </c>
      <c r="AJ177" t="str">
        <f>UPPER(Table1[[#This Row],[Customer_Name]])</f>
        <v>ADITYA MALHOTRA</v>
      </c>
      <c r="AK177" t="str">
        <f>CONCATENATE(Table1[[#This Row],[Customer_ID]],Table1[[#This Row],[Customer_Name]])</f>
        <v>C1084Aditya Malhotra</v>
      </c>
      <c r="AL177" t="s">
        <v>258</v>
      </c>
      <c r="AM177" t="s">
        <v>259</v>
      </c>
      <c r="AN177" t="s">
        <v>260</v>
      </c>
      <c r="AO177" t="s">
        <v>258</v>
      </c>
      <c r="AP177" t="s">
        <v>259</v>
      </c>
      <c r="AQ177" t="s">
        <v>233</v>
      </c>
      <c r="AR177" t="str">
        <f>TRIM(Table1[[#This Row],[City]])</f>
        <v>Kolkata</v>
      </c>
      <c r="AS177" t="str">
        <f>PROPER(Table1[[#This Row],[City]])</f>
        <v>Kolkata</v>
      </c>
      <c r="AT177" t="s">
        <v>234</v>
      </c>
      <c r="AU177" t="str">
        <f>CONCATENATE(Table1[[#This Row],[City]],Table1[[#This Row],[State]])</f>
        <v>KolkataWest Bengal</v>
      </c>
      <c r="AV177" t="s">
        <v>235</v>
      </c>
      <c r="AW177" t="s">
        <v>151</v>
      </c>
      <c r="AX177" t="str">
        <f>REPLACE(Table1[[#This Row],[Product_ID]],1,1,"s")</f>
        <v>s102</v>
      </c>
      <c r="AY177" t="s">
        <v>945</v>
      </c>
      <c r="AZ177">
        <f>SEARCH("-",Table1[[#This Row],[Product ID]])</f>
        <v>2</v>
      </c>
      <c r="BA177">
        <f>FIND("-",Table1[[#This Row],[Product ID]])</f>
        <v>2</v>
      </c>
      <c r="BB177" t="str">
        <f>MID(Table1[[#This Row],[Product_ID]],2,3)</f>
        <v>102</v>
      </c>
      <c r="BC177" t="str">
        <f>RIGHT(Table1[[#This Row],[Product_ID]],3)</f>
        <v>102</v>
      </c>
      <c r="BD177" t="str">
        <f>LEFT(Table1[[#This Row],[Product_ID]],3)</f>
        <v>P10</v>
      </c>
      <c r="BE177" t="str">
        <f>_xlfn.XLOOKUP(Table1[[#This Row],[Product_ID]],AW:AW,BF:BF,,0)</f>
        <v>Mechanical Keyboard</v>
      </c>
      <c r="BF177" t="s">
        <v>153</v>
      </c>
      <c r="BG177">
        <f>LEN(Table1[[#This Row],[Product_Name]])</f>
        <v>19</v>
      </c>
      <c r="BH177" t="s">
        <v>154</v>
      </c>
      <c r="BI177">
        <f t="shared" si="21"/>
        <v>75</v>
      </c>
      <c r="BJ177" t="str">
        <f>SUBSTITUTE(Table1[[#This Row],[Category]],"Electronics","ELECTRONICS")</f>
        <v>ELECTRONICS</v>
      </c>
      <c r="BN177" t="s">
        <v>155</v>
      </c>
      <c r="BS177" s="14">
        <v>1</v>
      </c>
      <c r="BT177" s="3">
        <v>2499</v>
      </c>
      <c r="BU177" s="4">
        <v>10</v>
      </c>
      <c r="BV177" s="4" t="str">
        <f>IF(AND(Table1[[#This Row],[Quantity]]&gt;=3,Table1[[#This Row],[Discount_%]]&gt;=15%),"Bulk Discount","no")</f>
        <v>no</v>
      </c>
      <c r="BW177" s="4" t="str">
        <f>IF(AND(Table1[[#This Row],[Quantity]]&gt;3,Table1[[#This Row],[Discount_%]]&gt;15%),"Bulk Customer","Normal")</f>
        <v>Normal</v>
      </c>
      <c r="BX177" t="s">
        <v>330</v>
      </c>
      <c r="BY177" t="s">
        <v>156</v>
      </c>
      <c r="CC177" t="str">
        <f>IF(OR(Table1[[#This Row],[Order_Status]]="Returned",Table1[[#This Row],[Order_Status]]="Cancelled"),"Attention Required","Not")</f>
        <v>Attention Required</v>
      </c>
      <c r="CD177" t="str">
        <f>IF(OR(Table1[[#This Row],[Order_Status]]="Returned",Table1[[#This Row],[Order_Status]]="Cancelled"),"Review","no")</f>
        <v>Review</v>
      </c>
      <c r="CE177" t="str">
        <f>SUBSTITUTE(Table1[[#This Row],[Order_Status]],"Delivered","Completed")</f>
        <v>Cancelled</v>
      </c>
      <c r="CF177" s="2">
        <v>45775</v>
      </c>
      <c r="CG177" s="17">
        <f>NETWORKDAYS(Table1[[#This Row],[Order_Date]],Table1[[#This Row],[Delivery_Date]])</f>
        <v>2</v>
      </c>
      <c r="CH177" s="17">
        <f>Table1[[#This Row],[Delivery_Date]]-Table1[[#This Row],[Order_Date]]</f>
        <v>3</v>
      </c>
      <c r="CI177" t="s">
        <v>137</v>
      </c>
      <c r="CJ177" t="str">
        <f>IF(Table1[[#This Row],[Rating]]&gt;=4,"Good","Needs Improvement")</f>
        <v>Needs Improvement</v>
      </c>
      <c r="CK177" t="str">
        <f>IF(OR(Table1[[#This Row],[Rating]]&lt;=2,Table1[[#This Row],[Profit]]&lt;0),"Review","NO")</f>
        <v>NO</v>
      </c>
      <c r="CL177" t="str" cm="1">
        <f t="array" ref="CL177">_xlfn.IFS(Table1[[#This Row],[Rating]]&gt;2,"Poor",Table1[[#This Row],[Rating]]=3,"Average",Table1[[#This Row],[Rating]]=4,"Good",CP177=5,"Excellent")</f>
        <v>Poor</v>
      </c>
      <c r="CM177">
        <f>COUNT(Table1[[#This Row],[Rating]])</f>
        <v>1</v>
      </c>
      <c r="CN177">
        <f>COUNTBLANK(Table1[[#This Row],[Rating]])</f>
        <v>0</v>
      </c>
      <c r="CP177" t="s">
        <v>331</v>
      </c>
      <c r="CQ177" s="14">
        <v>3</v>
      </c>
      <c r="CR177" t="s">
        <v>204</v>
      </c>
      <c r="CS177" t="s">
        <v>158</v>
      </c>
      <c r="CU177" s="3">
        <v>2249.1</v>
      </c>
      <c r="CV177" s="3">
        <f>ROUND(Table1[[#This Row],[Sales_Amount]],0)</f>
        <v>2249</v>
      </c>
      <c r="CW177" s="3"/>
      <c r="CX177" s="3"/>
      <c r="CY177" s="3" t="b">
        <f>IF(AND(Table1[[#This Row],[Sales_Amount]]&gt;=10000,Table1[[#This Row],[Profit]]&gt;0),"Good Order")</f>
        <v>0</v>
      </c>
      <c r="CZ177" s="3" t="str">
        <f>IF(Table1[[#This Row],[Sales_Amount]]&gt;=10000,"High","Normal")</f>
        <v>Normal</v>
      </c>
      <c r="DA177" s="3">
        <v>799.1</v>
      </c>
      <c r="DB177" s="3">
        <f>ROUND(Table1[[#This Row],[Profit]],0)</f>
        <v>799</v>
      </c>
      <c r="DC177" s="3">
        <f>ABS(Table1[[#This Row],[Profit]])</f>
        <v>799.1</v>
      </c>
      <c r="DD177" s="3"/>
      <c r="DE177" s="3"/>
      <c r="DF177" s="3"/>
      <c r="DG177" s="3" t="str">
        <f>IF(Table1[[#This Row],[Profit]]&gt;0,"Profit","Loss")</f>
        <v>Profit</v>
      </c>
      <c r="DH177" s="3" t="str">
        <f>IF(AND(Table1[[#This Row],[Sales_Amount]]&gt;=10000,Table1[[#This Row],[Profit]]&gt;0),"Priority","Normal")</f>
        <v>Normal</v>
      </c>
      <c r="DI177" s="3">
        <f t="shared" ca="1" si="16"/>
        <v>0.35868412239253045</v>
      </c>
      <c r="DJ177" s="3">
        <f t="shared" ca="1" si="17"/>
        <v>20</v>
      </c>
      <c r="DK177" s="3"/>
      <c r="DL177" s="3"/>
      <c r="DM177" s="3"/>
      <c r="DN177" s="3"/>
      <c r="DO177" s="3"/>
      <c r="DP177" s="3"/>
    </row>
    <row r="178" spans="1:120">
      <c r="A178" t="s">
        <v>946</v>
      </c>
      <c r="B178" t="str">
        <f>REPLACE(Table1[[#This Row],[Order_ID]],1,3,"YOO")</f>
        <v>YOO10177</v>
      </c>
      <c r="C178" t="str">
        <f>MID(Table1[[#This Row],[Order_ID]],4,4)</f>
        <v>1017</v>
      </c>
      <c r="D178" t="str">
        <f>LEFT(Table1[[#This Row],[Order_ID]],4)</f>
        <v>ORD1</v>
      </c>
      <c r="E178" t="str">
        <f>RIGHT(Table1[[#This Row],[Order_ID]],5)</f>
        <v>10177</v>
      </c>
      <c r="F178" t="s">
        <v>5</v>
      </c>
      <c r="G178">
        <v>10177</v>
      </c>
      <c r="H178" t="s">
        <v>947</v>
      </c>
      <c r="I178" s="2">
        <f>EDATE(Table1[[#This Row],[Order_Date]],3)</f>
        <v>46250</v>
      </c>
      <c r="J178" s="2">
        <f>EDATE(Table1[[#This Row],[Order_Date]],6)</f>
        <v>46342</v>
      </c>
      <c r="K178">
        <f ca="1">YEAR(Table1[[#This Row],[Today]])</f>
        <v>2026</v>
      </c>
      <c r="L178">
        <v>177</v>
      </c>
      <c r="M178">
        <f ca="1">DAY(Table1[[#This Row],[Today]])</f>
        <v>11</v>
      </c>
      <c r="N178" s="19">
        <f t="shared" ca="1" si="20"/>
        <v>46245.589795370368</v>
      </c>
      <c r="O178" s="2">
        <f t="shared" ca="1" si="15"/>
        <v>46245</v>
      </c>
      <c r="P178" s="17">
        <f ca="1">Table1[[#This Row],[Today]]-Table1[[#This Row],[Order_Date]]</f>
        <v>87</v>
      </c>
      <c r="Q178" s="2">
        <v>45834</v>
      </c>
      <c r="R178" s="2">
        <v>46158</v>
      </c>
      <c r="S178" s="6">
        <f t="shared" si="18"/>
        <v>2026</v>
      </c>
      <c r="T178" s="7" t="str">
        <f t="shared" si="19"/>
        <v>May</v>
      </c>
      <c r="U178" s="2">
        <f>WORKDAY(Table1[[#This Row],[Order_Date]],5)</f>
        <v>46164</v>
      </c>
      <c r="V178" s="7" t="str">
        <f>CONCATENATE(Table1[[#This Row],[Customer_ID]],Table1[[#This Row],[Customer_Name]])</f>
        <v>C1034Aditya Malhotra</v>
      </c>
      <c r="W178" t="s">
        <v>948</v>
      </c>
      <c r="X178" t="s">
        <v>257</v>
      </c>
      <c r="Y178">
        <f>COUNTA(Table1[[#This Row],[Customer_Name]])</f>
        <v>1</v>
      </c>
      <c r="Z178" t="str">
        <f>SUBSTITUTE(Table1[[#This Row],[Customer_Name]]," ","_")</f>
        <v>Aditya_Malhotra</v>
      </c>
      <c r="AA178" s="10">
        <f>IFERROR(SEARCH("a",Table1[[#This Row],[Customer_Name]]),"N/A")</f>
        <v>1</v>
      </c>
      <c r="AB178">
        <f>SEARCH(" ",Table1[[#This Row],[Customer_Name]])</f>
        <v>7</v>
      </c>
      <c r="AC178" s="11">
        <f>IFERROR(FIND("a",Table1[[#This Row],[Customer_Name]]),"N/A")</f>
        <v>6</v>
      </c>
      <c r="AD178">
        <f>FIND(" ",Table1[[#This Row],[Customer_Name]])</f>
        <v>7</v>
      </c>
      <c r="AE178" t="str">
        <f>TRIM(Table1[[#This Row],[Customer_Name]])</f>
        <v>Aditya Malhotra</v>
      </c>
      <c r="AF178">
        <f>LEN(Table1[[#This Row],[Trimmed]])</f>
        <v>15</v>
      </c>
      <c r="AG178">
        <f>MAX(Table1[Length])</f>
        <v>15</v>
      </c>
      <c r="AH178" t="str">
        <f>PROPER(Table1[[#This Row],[Customer_Name]])</f>
        <v>Aditya Malhotra</v>
      </c>
      <c r="AI178" t="str">
        <f>LOWER(Table1[[#This Row],[Customer_Name]])</f>
        <v>aditya malhotra</v>
      </c>
      <c r="AJ178" t="str">
        <f>UPPER(Table1[[#This Row],[Customer_Name]])</f>
        <v>ADITYA MALHOTRA</v>
      </c>
      <c r="AK178" t="str">
        <f>CONCATENATE(Table1[[#This Row],[Customer_ID]],Table1[[#This Row],[Customer_Name]])</f>
        <v>C1034Aditya Malhotra</v>
      </c>
      <c r="AL178" t="s">
        <v>258</v>
      </c>
      <c r="AM178" t="s">
        <v>259</v>
      </c>
      <c r="AN178" t="s">
        <v>260</v>
      </c>
      <c r="AO178" t="s">
        <v>258</v>
      </c>
      <c r="AP178" t="s">
        <v>259</v>
      </c>
      <c r="AQ178" t="s">
        <v>233</v>
      </c>
      <c r="AR178" t="str">
        <f>TRIM(Table1[[#This Row],[City]])</f>
        <v>Kolkata</v>
      </c>
      <c r="AS178" t="str">
        <f>PROPER(Table1[[#This Row],[City]])</f>
        <v>Kolkata</v>
      </c>
      <c r="AT178" t="s">
        <v>234</v>
      </c>
      <c r="AU178" t="str">
        <f>CONCATENATE(Table1[[#This Row],[City]],Table1[[#This Row],[State]])</f>
        <v>KolkataWest Bengal</v>
      </c>
      <c r="AV178" t="s">
        <v>235</v>
      </c>
      <c r="AW178" t="s">
        <v>169</v>
      </c>
      <c r="AX178" t="str">
        <f>REPLACE(Table1[[#This Row],[Product_ID]],1,1,"s")</f>
        <v>s112</v>
      </c>
      <c r="AY178" t="s">
        <v>949</v>
      </c>
      <c r="AZ178">
        <f>SEARCH("-",Table1[[#This Row],[Product ID]])</f>
        <v>2</v>
      </c>
      <c r="BA178">
        <f>FIND("-",Table1[[#This Row],[Product ID]])</f>
        <v>2</v>
      </c>
      <c r="BB178" t="str">
        <f>MID(Table1[[#This Row],[Product_ID]],2,3)</f>
        <v>112</v>
      </c>
      <c r="BC178" t="str">
        <f>RIGHT(Table1[[#This Row],[Product_ID]],3)</f>
        <v>112</v>
      </c>
      <c r="BD178" t="str">
        <f>LEFT(Table1[[#This Row],[Product_ID]],3)</f>
        <v>P11</v>
      </c>
      <c r="BE178" t="str">
        <f>_xlfn.XLOOKUP(Table1[[#This Row],[Product_ID]],AW:AW,BF:BF,,0)</f>
        <v>Air Fryer</v>
      </c>
      <c r="BF178" t="s">
        <v>171</v>
      </c>
      <c r="BG178">
        <f>LEN(Table1[[#This Row],[Product_Name]])</f>
        <v>9</v>
      </c>
      <c r="BH178" t="s">
        <v>133</v>
      </c>
      <c r="BI178">
        <f t="shared" si="21"/>
        <v>75</v>
      </c>
      <c r="BJ178" t="str">
        <f>SUBSTITUTE(Table1[[#This Row],[Category]],"Electronics","ELECTRONICS")</f>
        <v>Home</v>
      </c>
      <c r="BN178" t="s">
        <v>134</v>
      </c>
      <c r="BS178" s="14">
        <v>1</v>
      </c>
      <c r="BT178" s="3">
        <v>6499</v>
      </c>
      <c r="BU178" s="4">
        <v>25</v>
      </c>
      <c r="BV178" s="4" t="str">
        <f>IF(AND(Table1[[#This Row],[Quantity]]&gt;=3,Table1[[#This Row],[Discount_%]]&gt;=15%),"Bulk Discount","no")</f>
        <v>no</v>
      </c>
      <c r="BW178" s="4" t="str">
        <f>IF(AND(Table1[[#This Row],[Quantity]]&gt;3,Table1[[#This Row],[Discount_%]]&gt;15%),"Bulk Customer","Normal")</f>
        <v>Normal</v>
      </c>
      <c r="BX178" t="s">
        <v>330</v>
      </c>
      <c r="BY178" t="s">
        <v>193</v>
      </c>
      <c r="CC178" t="str">
        <f>IF(OR(Table1[[#This Row],[Order_Status]]="Returned",Table1[[#This Row],[Order_Status]]="Cancelled"),"Attention Required","Not")</f>
        <v>Not</v>
      </c>
      <c r="CD178" t="str">
        <f>IF(OR(Table1[[#This Row],[Order_Status]]="Returned",Table1[[#This Row],[Order_Status]]="Cancelled"),"Review","no")</f>
        <v>no</v>
      </c>
      <c r="CE178" t="str">
        <f>SUBSTITUTE(Table1[[#This Row],[Order_Status]],"Delivered","Completed")</f>
        <v>Shipped</v>
      </c>
      <c r="CF178" s="2">
        <v>46159</v>
      </c>
      <c r="CG178" s="17">
        <f>NETWORKDAYS(Table1[[#This Row],[Order_Date]],Table1[[#This Row],[Delivery_Date]])</f>
        <v>0</v>
      </c>
      <c r="CH178" s="17">
        <f>Table1[[#This Row],[Delivery_Date]]-Table1[[#This Row],[Order_Date]]</f>
        <v>1</v>
      </c>
      <c r="CI178" t="s">
        <v>137</v>
      </c>
      <c r="CJ178" t="str">
        <f>IF(Table1[[#This Row],[Rating]]&gt;=4,"Good","Needs Improvement")</f>
        <v>Needs Improvement</v>
      </c>
      <c r="CK178" t="str">
        <f>IF(OR(Table1[[#This Row],[Rating]]&lt;=2,Table1[[#This Row],[Profit]]&lt;0),"Review","NO")</f>
        <v>Review</v>
      </c>
      <c r="CL178" t="e" cm="1">
        <f t="array" ref="CL178">_xlfn.IFS(Table1[[#This Row],[Rating]]&gt;2,"Poor",Table1[[#This Row],[Rating]]=3,"Average",Table1[[#This Row],[Rating]]=4,"Good",CP178=5,"Excellent")</f>
        <v>#N/A</v>
      </c>
      <c r="CM178">
        <f>COUNT(Table1[[#This Row],[Rating]])</f>
        <v>0</v>
      </c>
      <c r="CN178">
        <f>COUNTBLANK(Table1[[#This Row],[Rating]])</f>
        <v>1</v>
      </c>
      <c r="CP178" t="s">
        <v>138</v>
      </c>
      <c r="CR178" t="s">
        <v>204</v>
      </c>
      <c r="CS178" t="s">
        <v>140</v>
      </c>
      <c r="CU178" s="3">
        <v>4874.25</v>
      </c>
      <c r="CV178" s="3">
        <f>ROUND(Table1[[#This Row],[Sales_Amount]],0)</f>
        <v>4874</v>
      </c>
      <c r="CW178" s="3"/>
      <c r="CX178" s="3"/>
      <c r="CY178" s="3" t="b">
        <f>IF(AND(Table1[[#This Row],[Sales_Amount]]&gt;=10000,Table1[[#This Row],[Profit]]&gt;0),"Good Order")</f>
        <v>0</v>
      </c>
      <c r="CZ178" s="3" t="str">
        <f>IF(Table1[[#This Row],[Sales_Amount]]&gt;=10000,"High","Normal")</f>
        <v>Normal</v>
      </c>
      <c r="DA178" s="3">
        <v>574.25</v>
      </c>
      <c r="DB178" s="3">
        <f>ROUND(Table1[[#This Row],[Profit]],0)</f>
        <v>574</v>
      </c>
      <c r="DC178" s="3">
        <f>ABS(Table1[[#This Row],[Profit]])</f>
        <v>574.25</v>
      </c>
      <c r="DD178" s="3"/>
      <c r="DE178" s="3"/>
      <c r="DF178" s="3"/>
      <c r="DG178" s="3" t="str">
        <f>IF(Table1[[#This Row],[Profit]]&gt;0,"Profit","Loss")</f>
        <v>Profit</v>
      </c>
      <c r="DH178" s="3" t="str">
        <f>IF(AND(Table1[[#This Row],[Sales_Amount]]&gt;=10000,Table1[[#This Row],[Profit]]&gt;0),"Priority","Normal")</f>
        <v>Normal</v>
      </c>
      <c r="DI178" s="3">
        <f t="shared" ca="1" si="16"/>
        <v>2.2647357706612303E-2</v>
      </c>
      <c r="DJ178" s="3">
        <f t="shared" ca="1" si="17"/>
        <v>45</v>
      </c>
      <c r="DK178" s="3"/>
      <c r="DL178" s="3"/>
      <c r="DM178" s="3"/>
      <c r="DN178" s="3"/>
      <c r="DO178" s="3"/>
      <c r="DP178" s="3"/>
    </row>
    <row r="179" spans="1:120">
      <c r="A179" t="s">
        <v>950</v>
      </c>
      <c r="B179" t="str">
        <f>REPLACE(Table1[[#This Row],[Order_ID]],1,3,"YOO")</f>
        <v>YOO10178</v>
      </c>
      <c r="C179" t="str">
        <f>MID(Table1[[#This Row],[Order_ID]],4,4)</f>
        <v>1017</v>
      </c>
      <c r="D179" t="str">
        <f>LEFT(Table1[[#This Row],[Order_ID]],4)</f>
        <v>ORD1</v>
      </c>
      <c r="E179" t="str">
        <f>RIGHT(Table1[[#This Row],[Order_ID]],5)</f>
        <v>10178</v>
      </c>
      <c r="F179" t="s">
        <v>5</v>
      </c>
      <c r="G179">
        <v>10178</v>
      </c>
      <c r="H179" t="s">
        <v>951</v>
      </c>
      <c r="I179" s="2">
        <f>EDATE(Table1[[#This Row],[Order_Date]],3)</f>
        <v>46065</v>
      </c>
      <c r="J179" s="2">
        <f>EDATE(Table1[[#This Row],[Order_Date]],6)</f>
        <v>46154</v>
      </c>
      <c r="K179">
        <f ca="1">YEAR(Table1[[#This Row],[Today]])</f>
        <v>2026</v>
      </c>
      <c r="L179">
        <v>178</v>
      </c>
      <c r="M179">
        <f ca="1">DAY(Table1[[#This Row],[Today]])</f>
        <v>11</v>
      </c>
      <c r="N179" s="19">
        <f t="shared" ca="1" si="20"/>
        <v>46245.589795138891</v>
      </c>
      <c r="O179" s="2">
        <f t="shared" ca="1" si="15"/>
        <v>46245</v>
      </c>
      <c r="P179" s="17">
        <f ca="1">Table1[[#This Row],[Today]]-Table1[[#This Row],[Order_Date]]</f>
        <v>272</v>
      </c>
      <c r="Q179" s="2">
        <v>45835</v>
      </c>
      <c r="R179" s="2">
        <v>45973</v>
      </c>
      <c r="S179" s="6">
        <f t="shared" si="18"/>
        <v>2025</v>
      </c>
      <c r="T179" s="7" t="str">
        <f t="shared" si="19"/>
        <v>November</v>
      </c>
      <c r="U179" s="2">
        <f>WORKDAY(Table1[[#This Row],[Order_Date]],5)</f>
        <v>45980</v>
      </c>
      <c r="V179" s="7" t="str">
        <f>CONCATENATE(Table1[[#This Row],[Customer_ID]],Table1[[#This Row],[Customer_Name]])</f>
        <v>C1149Aman Singh</v>
      </c>
      <c r="W179" t="s">
        <v>952</v>
      </c>
      <c r="X179" t="s">
        <v>123</v>
      </c>
      <c r="Y179">
        <f>COUNTA(Table1[[#This Row],[Customer_Name]])</f>
        <v>1</v>
      </c>
      <c r="Z179" t="str">
        <f>SUBSTITUTE(Table1[[#This Row],[Customer_Name]]," ","_")</f>
        <v>Aman_Singh</v>
      </c>
      <c r="AA179" s="10">
        <f>IFERROR(SEARCH("a",Table1[[#This Row],[Customer_Name]]),"N/A")</f>
        <v>1</v>
      </c>
      <c r="AB179">
        <f>SEARCH(" ",Table1[[#This Row],[Customer_Name]])</f>
        <v>5</v>
      </c>
      <c r="AC179" s="11">
        <f>IFERROR(FIND("a",Table1[[#This Row],[Customer_Name]]),"N/A")</f>
        <v>3</v>
      </c>
      <c r="AD179">
        <f>FIND(" ",Table1[[#This Row],[Customer_Name]])</f>
        <v>5</v>
      </c>
      <c r="AE179" t="str">
        <f>TRIM(Table1[[#This Row],[Customer_Name]])</f>
        <v>Aman Singh</v>
      </c>
      <c r="AF179">
        <f>LEN(Table1[[#This Row],[Trimmed]])</f>
        <v>10</v>
      </c>
      <c r="AG179">
        <f>MAX(Table1[Length])</f>
        <v>15</v>
      </c>
      <c r="AH179" t="str">
        <f>PROPER(Table1[[#This Row],[Customer_Name]])</f>
        <v>Aman Singh</v>
      </c>
      <c r="AI179" t="str">
        <f>LOWER(Table1[[#This Row],[Customer_Name]])</f>
        <v>aman singh</v>
      </c>
      <c r="AJ179" t="str">
        <f>UPPER(Table1[[#This Row],[Customer_Name]])</f>
        <v>AMAN SINGH</v>
      </c>
      <c r="AK179" t="str">
        <f>CONCATENATE(Table1[[#This Row],[Customer_ID]],Table1[[#This Row],[Customer_Name]])</f>
        <v>C1149Aman Singh</v>
      </c>
      <c r="AL179" t="s">
        <v>124</v>
      </c>
      <c r="AM179" t="s">
        <v>125</v>
      </c>
      <c r="AN179" t="s">
        <v>126</v>
      </c>
      <c r="AO179" t="s">
        <v>124</v>
      </c>
      <c r="AP179" t="s">
        <v>125</v>
      </c>
      <c r="AQ179" t="s">
        <v>284</v>
      </c>
      <c r="AR179" t="str">
        <f>TRIM(Table1[[#This Row],[City]])</f>
        <v>Hyderabad</v>
      </c>
      <c r="AS179" t="str">
        <f>PROPER(Table1[[#This Row],[City]])</f>
        <v>Hyderabad</v>
      </c>
      <c r="AT179" t="s">
        <v>285</v>
      </c>
      <c r="AU179" t="str">
        <f>CONCATENATE(Table1[[#This Row],[City]],Table1[[#This Row],[State]])</f>
        <v>HyderabadTelangana</v>
      </c>
      <c r="AV179" t="s">
        <v>168</v>
      </c>
      <c r="AW179" t="s">
        <v>477</v>
      </c>
      <c r="AX179" t="str">
        <f>REPLACE(Table1[[#This Row],[Product_ID]],1,1,"s")</f>
        <v>s109</v>
      </c>
      <c r="AY179" t="s">
        <v>953</v>
      </c>
      <c r="AZ179">
        <f>SEARCH("-",Table1[[#This Row],[Product ID]])</f>
        <v>2</v>
      </c>
      <c r="BA179">
        <f>FIND("-",Table1[[#This Row],[Product ID]])</f>
        <v>2</v>
      </c>
      <c r="BB179" t="str">
        <f>MID(Table1[[#This Row],[Product_ID]],2,3)</f>
        <v>109</v>
      </c>
      <c r="BC179" t="str">
        <f>RIGHT(Table1[[#This Row],[Product_ID]],3)</f>
        <v>109</v>
      </c>
      <c r="BD179" t="str">
        <f>LEFT(Table1[[#This Row],[Product_ID]],3)</f>
        <v>P10</v>
      </c>
      <c r="BE179" t="str">
        <f>_xlfn.XLOOKUP(Table1[[#This Row],[Product_ID]],AW:AW,BF:BF,,0)</f>
        <v>Backpack</v>
      </c>
      <c r="BF179" t="s">
        <v>479</v>
      </c>
      <c r="BG179">
        <f>LEN(Table1[[#This Row],[Product_Name]])</f>
        <v>8</v>
      </c>
      <c r="BH179" t="s">
        <v>224</v>
      </c>
      <c r="BI179">
        <f t="shared" si="21"/>
        <v>75</v>
      </c>
      <c r="BJ179" t="str">
        <f>SUBSTITUTE(Table1[[#This Row],[Category]],"Electronics","ELECTRONICS")</f>
        <v>Fashion</v>
      </c>
      <c r="BN179" t="s">
        <v>480</v>
      </c>
      <c r="BS179" s="14">
        <v>1</v>
      </c>
      <c r="BT179" s="3">
        <v>2299</v>
      </c>
      <c r="BU179" s="4">
        <v>20</v>
      </c>
      <c r="BV179" s="4" t="str">
        <f>IF(AND(Table1[[#This Row],[Quantity]]&gt;=3,Table1[[#This Row],[Discount_%]]&gt;=15%),"Bulk Discount","no")</f>
        <v>no</v>
      </c>
      <c r="BW179" s="4" t="str">
        <f>IF(AND(Table1[[#This Row],[Quantity]]&gt;3,Table1[[#This Row],[Discount_%]]&gt;15%),"Bulk Customer","Normal")</f>
        <v>Normal</v>
      </c>
      <c r="BX179" t="s">
        <v>172</v>
      </c>
      <c r="BY179" t="s">
        <v>136</v>
      </c>
      <c r="CC179" t="str">
        <f>IF(OR(Table1[[#This Row],[Order_Status]]="Returned",Table1[[#This Row],[Order_Status]]="Cancelled"),"Attention Required","Not")</f>
        <v>Not</v>
      </c>
      <c r="CD179" t="str">
        <f>IF(OR(Table1[[#This Row],[Order_Status]]="Returned",Table1[[#This Row],[Order_Status]]="Cancelled"),"Review","no")</f>
        <v>no</v>
      </c>
      <c r="CE179" t="str">
        <f>SUBSTITUTE(Table1[[#This Row],[Order_Status]],"Delivered","Completed")</f>
        <v>Completed</v>
      </c>
      <c r="CF179" s="2">
        <v>45974</v>
      </c>
      <c r="CG179" s="17">
        <f>NETWORKDAYS(Table1[[#This Row],[Order_Date]],Table1[[#This Row],[Delivery_Date]])</f>
        <v>2</v>
      </c>
      <c r="CH179" s="17">
        <f>Table1[[#This Row],[Delivery_Date]]-Table1[[#This Row],[Order_Date]]</f>
        <v>1</v>
      </c>
      <c r="CI179" t="s">
        <v>137</v>
      </c>
      <c r="CJ179" t="str">
        <f>IF(Table1[[#This Row],[Rating]]&gt;=4,"Good","Needs Improvement")</f>
        <v>Good</v>
      </c>
      <c r="CK179" t="str">
        <f>IF(OR(Table1[[#This Row],[Rating]]&lt;=2,Table1[[#This Row],[Profit]]&lt;0),"Review","NO")</f>
        <v>NO</v>
      </c>
      <c r="CL179" t="str" cm="1">
        <f t="array" ref="CL179">_xlfn.IFS(Table1[[#This Row],[Rating]]&gt;2,"Poor",Table1[[#This Row],[Rating]]=3,"Average",Table1[[#This Row],[Rating]]=4,"Good",CP179=5,"Excellent")</f>
        <v>Poor</v>
      </c>
      <c r="CM179">
        <f>COUNT(Table1[[#This Row],[Rating]])</f>
        <v>1</v>
      </c>
      <c r="CN179">
        <f>COUNTBLANK(Table1[[#This Row],[Rating]])</f>
        <v>0</v>
      </c>
      <c r="CP179" t="s">
        <v>138</v>
      </c>
      <c r="CQ179" s="14">
        <v>4</v>
      </c>
      <c r="CR179" t="s">
        <v>173</v>
      </c>
      <c r="CS179" t="s">
        <v>213</v>
      </c>
      <c r="CU179" s="3">
        <v>1839.2</v>
      </c>
      <c r="CV179" s="3">
        <f>ROUND(Table1[[#This Row],[Sales_Amount]],0)</f>
        <v>1839</v>
      </c>
      <c r="CW179" s="3"/>
      <c r="CX179" s="3"/>
      <c r="CY179" s="3" t="b">
        <f>IF(AND(Table1[[#This Row],[Sales_Amount]]&gt;=10000,Table1[[#This Row],[Profit]]&gt;0),"Good Order")</f>
        <v>0</v>
      </c>
      <c r="CZ179" s="3" t="str">
        <f>IF(Table1[[#This Row],[Sales_Amount]]&gt;=10000,"High","Normal")</f>
        <v>Normal</v>
      </c>
      <c r="DA179" s="3">
        <v>589.20000000000005</v>
      </c>
      <c r="DB179" s="3">
        <f>ROUND(Table1[[#This Row],[Profit]],0)</f>
        <v>589</v>
      </c>
      <c r="DC179" s="3">
        <f>ABS(Table1[[#This Row],[Profit]])</f>
        <v>589.20000000000005</v>
      </c>
      <c r="DD179" s="3"/>
      <c r="DE179" s="3"/>
      <c r="DF179" s="3"/>
      <c r="DG179" s="3" t="str">
        <f>IF(Table1[[#This Row],[Profit]]&gt;0,"Profit","Loss")</f>
        <v>Profit</v>
      </c>
      <c r="DH179" s="3" t="str">
        <f>IF(AND(Table1[[#This Row],[Sales_Amount]]&gt;=10000,Table1[[#This Row],[Profit]]&gt;0),"Priority","Normal")</f>
        <v>Normal</v>
      </c>
      <c r="DI179" s="3">
        <f t="shared" ca="1" si="16"/>
        <v>0.9264206120662889</v>
      </c>
      <c r="DJ179" s="3">
        <f t="shared" ca="1" si="17"/>
        <v>6</v>
      </c>
      <c r="DK179" s="3"/>
      <c r="DL179" s="3"/>
      <c r="DM179" s="3"/>
      <c r="DN179" s="3"/>
      <c r="DO179" s="3"/>
      <c r="DP179" s="3"/>
    </row>
    <row r="180" spans="1:120">
      <c r="A180" t="s">
        <v>954</v>
      </c>
      <c r="B180" t="str">
        <f>REPLACE(Table1[[#This Row],[Order_ID]],1,3,"YOO")</f>
        <v>YOO10179</v>
      </c>
      <c r="C180" t="str">
        <f>MID(Table1[[#This Row],[Order_ID]],4,4)</f>
        <v>1017</v>
      </c>
      <c r="D180" t="str">
        <f>LEFT(Table1[[#This Row],[Order_ID]],4)</f>
        <v>ORD1</v>
      </c>
      <c r="E180" t="str">
        <f>RIGHT(Table1[[#This Row],[Order_ID]],5)</f>
        <v>10179</v>
      </c>
      <c r="F180" t="s">
        <v>5</v>
      </c>
      <c r="G180">
        <v>10179</v>
      </c>
      <c r="H180" t="s">
        <v>955</v>
      </c>
      <c r="I180" s="2">
        <f>EDATE(Table1[[#This Row],[Order_Date]],3)</f>
        <v>45811</v>
      </c>
      <c r="J180" s="2">
        <f>EDATE(Table1[[#This Row],[Order_Date]],6)</f>
        <v>45903</v>
      </c>
      <c r="K180">
        <f ca="1">YEAR(Table1[[#This Row],[Today]])</f>
        <v>2026</v>
      </c>
      <c r="L180">
        <v>179</v>
      </c>
      <c r="M180">
        <f ca="1">DAY(Table1[[#This Row],[Today]])</f>
        <v>11</v>
      </c>
      <c r="N180" s="19">
        <f t="shared" ca="1" si="20"/>
        <v>46245.589795370368</v>
      </c>
      <c r="O180" s="2">
        <f t="shared" ca="1" si="15"/>
        <v>46245</v>
      </c>
      <c r="P180" s="17">
        <f ca="1">Table1[[#This Row],[Today]]-Table1[[#This Row],[Order_Date]]</f>
        <v>526</v>
      </c>
      <c r="Q180" s="2">
        <v>45836</v>
      </c>
      <c r="R180" s="2">
        <v>45719</v>
      </c>
      <c r="S180" s="6">
        <f t="shared" si="18"/>
        <v>2025</v>
      </c>
      <c r="T180" s="7" t="str">
        <f t="shared" si="19"/>
        <v>March</v>
      </c>
      <c r="U180" s="2">
        <f>WORKDAY(Table1[[#This Row],[Order_Date]],5)</f>
        <v>45726</v>
      </c>
      <c r="V180" s="7" t="str">
        <f>CONCATENATE(Table1[[#This Row],[Customer_ID]],Table1[[#This Row],[Customer_Name]])</f>
        <v>C1047Rohan Mehta</v>
      </c>
      <c r="W180" t="s">
        <v>706</v>
      </c>
      <c r="X180" t="s">
        <v>388</v>
      </c>
      <c r="Y180">
        <f>COUNTA(Table1[[#This Row],[Customer_Name]])</f>
        <v>1</v>
      </c>
      <c r="Z180" t="str">
        <f>SUBSTITUTE(Table1[[#This Row],[Customer_Name]]," ","_")</f>
        <v>Rohan_Mehta</v>
      </c>
      <c r="AA180" s="10">
        <f>IFERROR(SEARCH("a",Table1[[#This Row],[Customer_Name]]),"N/A")</f>
        <v>4</v>
      </c>
      <c r="AB180">
        <f>SEARCH(" ",Table1[[#This Row],[Customer_Name]])</f>
        <v>6</v>
      </c>
      <c r="AC180" s="11">
        <f>IFERROR(FIND("a",Table1[[#This Row],[Customer_Name]]),"N/A")</f>
        <v>4</v>
      </c>
      <c r="AD180">
        <f>FIND(" ",Table1[[#This Row],[Customer_Name]])</f>
        <v>6</v>
      </c>
      <c r="AE180" t="str">
        <f>TRIM(Table1[[#This Row],[Customer_Name]])</f>
        <v>Rohan Mehta</v>
      </c>
      <c r="AF180">
        <f>LEN(Table1[[#This Row],[Trimmed]])</f>
        <v>11</v>
      </c>
      <c r="AG180">
        <f>MAX(Table1[Length])</f>
        <v>15</v>
      </c>
      <c r="AH180" t="str">
        <f>PROPER(Table1[[#This Row],[Customer_Name]])</f>
        <v>Rohan Mehta</v>
      </c>
      <c r="AI180" t="str">
        <f>LOWER(Table1[[#This Row],[Customer_Name]])</f>
        <v>rohan mehta</v>
      </c>
      <c r="AJ180" t="str">
        <f>UPPER(Table1[[#This Row],[Customer_Name]])</f>
        <v>ROHAN MEHTA</v>
      </c>
      <c r="AK180" t="str">
        <f>CONCATENATE(Table1[[#This Row],[Customer_ID]],Table1[[#This Row],[Customer_Name]])</f>
        <v>C1047Rohan Mehta</v>
      </c>
      <c r="AL180" t="s">
        <v>389</v>
      </c>
      <c r="AM180" t="s">
        <v>390</v>
      </c>
      <c r="AN180" t="s">
        <v>391</v>
      </c>
      <c r="AO180" t="s">
        <v>389</v>
      </c>
      <c r="AP180" t="s">
        <v>390</v>
      </c>
      <c r="AQ180" t="s">
        <v>304</v>
      </c>
      <c r="AR180" t="str">
        <f>TRIM(Table1[[#This Row],[City]])</f>
        <v>Chennai</v>
      </c>
      <c r="AS180" t="str">
        <f>PROPER(Table1[[#This Row],[City]])</f>
        <v>Chennai</v>
      </c>
      <c r="AT180" t="s">
        <v>305</v>
      </c>
      <c r="AU180" t="str">
        <f>CONCATENATE(Table1[[#This Row],[City]],Table1[[#This Row],[State]])</f>
        <v>ChennaiTamil Nadu</v>
      </c>
      <c r="AV180" t="s">
        <v>168</v>
      </c>
      <c r="AW180" t="s">
        <v>151</v>
      </c>
      <c r="AX180" t="str">
        <f>REPLACE(Table1[[#This Row],[Product_ID]],1,1,"s")</f>
        <v>s102</v>
      </c>
      <c r="AY180" t="s">
        <v>956</v>
      </c>
      <c r="AZ180">
        <f>SEARCH("-",Table1[[#This Row],[Product ID]])</f>
        <v>2</v>
      </c>
      <c r="BA180">
        <f>FIND("-",Table1[[#This Row],[Product ID]])</f>
        <v>2</v>
      </c>
      <c r="BB180" t="str">
        <f>MID(Table1[[#This Row],[Product_ID]],2,3)</f>
        <v>102</v>
      </c>
      <c r="BC180" t="str">
        <f>RIGHT(Table1[[#This Row],[Product_ID]],3)</f>
        <v>102</v>
      </c>
      <c r="BD180" t="str">
        <f>LEFT(Table1[[#This Row],[Product_ID]],3)</f>
        <v>P10</v>
      </c>
      <c r="BE180" t="str">
        <f>_xlfn.XLOOKUP(Table1[[#This Row],[Product_ID]],AW:AW,BF:BF,,0)</f>
        <v>Mechanical Keyboard</v>
      </c>
      <c r="BF180" t="s">
        <v>153</v>
      </c>
      <c r="BG180">
        <f>LEN(Table1[[#This Row],[Product_Name]])</f>
        <v>19</v>
      </c>
      <c r="BH180" t="s">
        <v>154</v>
      </c>
      <c r="BI180">
        <f t="shared" si="21"/>
        <v>75</v>
      </c>
      <c r="BJ180" t="str">
        <f>SUBSTITUTE(Table1[[#This Row],[Category]],"Electronics","ELECTRONICS")</f>
        <v>ELECTRONICS</v>
      </c>
      <c r="BN180" t="s">
        <v>155</v>
      </c>
      <c r="BS180" s="14">
        <v>1</v>
      </c>
      <c r="BT180" s="3">
        <v>2499</v>
      </c>
      <c r="BU180" s="4">
        <v>25</v>
      </c>
      <c r="BV180" s="4" t="str">
        <f>IF(AND(Table1[[#This Row],[Quantity]]&gt;=3,Table1[[#This Row],[Discount_%]]&gt;=15%),"Bulk Discount","no")</f>
        <v>no</v>
      </c>
      <c r="BW180" s="4" t="str">
        <f>IF(AND(Table1[[#This Row],[Quantity]]&gt;3,Table1[[#This Row],[Discount_%]]&gt;15%),"Bulk Customer","Normal")</f>
        <v>Normal</v>
      </c>
      <c r="BX180" t="s">
        <v>330</v>
      </c>
      <c r="BY180" t="s">
        <v>136</v>
      </c>
      <c r="CC180" t="str">
        <f>IF(OR(Table1[[#This Row],[Order_Status]]="Returned",Table1[[#This Row],[Order_Status]]="Cancelled"),"Attention Required","Not")</f>
        <v>Not</v>
      </c>
      <c r="CD180" t="str">
        <f>IF(OR(Table1[[#This Row],[Order_Status]]="Returned",Table1[[#This Row],[Order_Status]]="Cancelled"),"Review","no")</f>
        <v>no</v>
      </c>
      <c r="CE180" t="str">
        <f>SUBSTITUTE(Table1[[#This Row],[Order_Status]],"Delivered","Completed")</f>
        <v>Completed</v>
      </c>
      <c r="CF180" s="2">
        <v>45724</v>
      </c>
      <c r="CG180" s="17">
        <f>NETWORKDAYS(Table1[[#This Row],[Order_Date]],Table1[[#This Row],[Delivery_Date]])</f>
        <v>5</v>
      </c>
      <c r="CH180" s="17">
        <f>Table1[[#This Row],[Delivery_Date]]-Table1[[#This Row],[Order_Date]]</f>
        <v>5</v>
      </c>
      <c r="CI180" t="s">
        <v>137</v>
      </c>
      <c r="CJ180" t="str">
        <f>IF(Table1[[#This Row],[Rating]]&gt;=4,"Good","Needs Improvement")</f>
        <v>Good</v>
      </c>
      <c r="CK180" t="str">
        <f>IF(OR(Table1[[#This Row],[Rating]]&lt;=2,Table1[[#This Row],[Profit]]&lt;0),"Review","NO")</f>
        <v>NO</v>
      </c>
      <c r="CL180" t="str" cm="1">
        <f t="array" ref="CL180">_xlfn.IFS(Table1[[#This Row],[Rating]]&gt;2,"Poor",Table1[[#This Row],[Rating]]=3,"Average",Table1[[#This Row],[Rating]]=4,"Good",CP180=5,"Excellent")</f>
        <v>Poor</v>
      </c>
      <c r="CM180">
        <f>COUNT(Table1[[#This Row],[Rating]])</f>
        <v>1</v>
      </c>
      <c r="CN180">
        <f>COUNTBLANK(Table1[[#This Row],[Rating]])</f>
        <v>0</v>
      </c>
      <c r="CP180" t="s">
        <v>157</v>
      </c>
      <c r="CQ180" s="14">
        <v>5</v>
      </c>
      <c r="CR180" t="s">
        <v>173</v>
      </c>
      <c r="CS180" t="s">
        <v>267</v>
      </c>
      <c r="CU180" s="3">
        <v>1874.25</v>
      </c>
      <c r="CV180" s="3">
        <f>ROUND(Table1[[#This Row],[Sales_Amount]],0)</f>
        <v>1874</v>
      </c>
      <c r="CW180" s="3"/>
      <c r="CX180" s="3"/>
      <c r="CY180" s="3" t="b">
        <f>IF(AND(Table1[[#This Row],[Sales_Amount]]&gt;=10000,Table1[[#This Row],[Profit]]&gt;0),"Good Order")</f>
        <v>0</v>
      </c>
      <c r="CZ180" s="3" t="str">
        <f>IF(Table1[[#This Row],[Sales_Amount]]&gt;=10000,"High","Normal")</f>
        <v>Normal</v>
      </c>
      <c r="DA180" s="3">
        <v>424.25</v>
      </c>
      <c r="DB180" s="3">
        <f>ROUND(Table1[[#This Row],[Profit]],0)</f>
        <v>424</v>
      </c>
      <c r="DC180" s="3">
        <f>ABS(Table1[[#This Row],[Profit]])</f>
        <v>424.25</v>
      </c>
      <c r="DD180" s="3"/>
      <c r="DE180" s="3"/>
      <c r="DF180" s="3"/>
      <c r="DG180" s="3" t="str">
        <f>IF(Table1[[#This Row],[Profit]]&gt;0,"Profit","Loss")</f>
        <v>Profit</v>
      </c>
      <c r="DH180" s="3" t="str">
        <f>IF(AND(Table1[[#This Row],[Sales_Amount]]&gt;=10000,Table1[[#This Row],[Profit]]&gt;0),"Priority","Normal")</f>
        <v>Normal</v>
      </c>
      <c r="DI180" s="3">
        <f t="shared" ca="1" si="16"/>
        <v>3.0002167418113568E-2</v>
      </c>
      <c r="DJ180" s="3">
        <f t="shared" ca="1" si="17"/>
        <v>62</v>
      </c>
      <c r="DK180" s="3"/>
      <c r="DL180" s="3"/>
      <c r="DM180" s="3"/>
      <c r="DN180" s="3"/>
      <c r="DO180" s="3"/>
      <c r="DP180" s="3"/>
    </row>
    <row r="181" spans="1:120">
      <c r="A181" t="s">
        <v>957</v>
      </c>
      <c r="B181" t="str">
        <f>REPLACE(Table1[[#This Row],[Order_ID]],1,3,"YOO")</f>
        <v>YOO10180</v>
      </c>
      <c r="C181" t="str">
        <f>MID(Table1[[#This Row],[Order_ID]],4,4)</f>
        <v>1018</v>
      </c>
      <c r="D181" t="str">
        <f>LEFT(Table1[[#This Row],[Order_ID]],4)</f>
        <v>ORD1</v>
      </c>
      <c r="E181" t="str">
        <f>RIGHT(Table1[[#This Row],[Order_ID]],5)</f>
        <v>10180</v>
      </c>
      <c r="F181" t="s">
        <v>5</v>
      </c>
      <c r="G181">
        <v>10180</v>
      </c>
      <c r="H181" t="s">
        <v>958</v>
      </c>
      <c r="I181" s="2">
        <f>EDATE(Table1[[#This Row],[Order_Date]],3)</f>
        <v>46132</v>
      </c>
      <c r="J181" s="2">
        <f>EDATE(Table1[[#This Row],[Order_Date]],6)</f>
        <v>46223</v>
      </c>
      <c r="K181">
        <f ca="1">YEAR(Table1[[#This Row],[Today]])</f>
        <v>2026</v>
      </c>
      <c r="L181">
        <v>180</v>
      </c>
      <c r="M181">
        <f ca="1">DAY(Table1[[#This Row],[Today]])</f>
        <v>11</v>
      </c>
      <c r="N181" s="19">
        <f t="shared" ca="1" si="20"/>
        <v>46245.589795370368</v>
      </c>
      <c r="O181" s="2">
        <f t="shared" ca="1" si="15"/>
        <v>46245</v>
      </c>
      <c r="P181" s="17">
        <f ca="1">Table1[[#This Row],[Today]]-Table1[[#This Row],[Order_Date]]</f>
        <v>203</v>
      </c>
      <c r="Q181" s="2">
        <v>45837</v>
      </c>
      <c r="R181" s="2">
        <v>46042</v>
      </c>
      <c r="S181" s="6">
        <f t="shared" si="18"/>
        <v>2026</v>
      </c>
      <c r="T181" s="7" t="str">
        <f t="shared" si="19"/>
        <v>January</v>
      </c>
      <c r="U181" s="2">
        <f>WORKDAY(Table1[[#This Row],[Order_Date]],5)</f>
        <v>46049</v>
      </c>
      <c r="V181" s="7" t="str">
        <f>CONCATENATE(Table1[[#This Row],[Customer_ID]],Table1[[#This Row],[Customer_Name]])</f>
        <v>C1046Riya Agarwal</v>
      </c>
      <c r="W181" t="s">
        <v>959</v>
      </c>
      <c r="X181" t="s">
        <v>217</v>
      </c>
      <c r="Y181">
        <f>COUNTA(Table1[[#This Row],[Customer_Name]])</f>
        <v>1</v>
      </c>
      <c r="Z181" t="str">
        <f>SUBSTITUTE(Table1[[#This Row],[Customer_Name]]," ","_")</f>
        <v>Riya_Agarwal</v>
      </c>
      <c r="AA181" s="10">
        <f>IFERROR(SEARCH("a",Table1[[#This Row],[Customer_Name]]),"N/A")</f>
        <v>4</v>
      </c>
      <c r="AB181">
        <f>SEARCH(" ",Table1[[#This Row],[Customer_Name]])</f>
        <v>5</v>
      </c>
      <c r="AC181" s="11">
        <f>IFERROR(FIND("a",Table1[[#This Row],[Customer_Name]]),"N/A")</f>
        <v>4</v>
      </c>
      <c r="AD181">
        <f>FIND(" ",Table1[[#This Row],[Customer_Name]])</f>
        <v>5</v>
      </c>
      <c r="AE181" t="str">
        <f>TRIM(Table1[[#This Row],[Customer_Name]])</f>
        <v>Riya Agarwal</v>
      </c>
      <c r="AF181">
        <f>LEN(Table1[[#This Row],[Trimmed]])</f>
        <v>12</v>
      </c>
      <c r="AG181">
        <f>MAX(Table1[Length])</f>
        <v>15</v>
      </c>
      <c r="AH181" t="str">
        <f>PROPER(Table1[[#This Row],[Customer_Name]])</f>
        <v>Riya Agarwal</v>
      </c>
      <c r="AI181" t="str">
        <f>LOWER(Table1[[#This Row],[Customer_Name]])</f>
        <v>riya agarwal</v>
      </c>
      <c r="AJ181" t="str">
        <f>UPPER(Table1[[#This Row],[Customer_Name]])</f>
        <v>RIYA AGARWAL</v>
      </c>
      <c r="AK181" t="str">
        <f>CONCATENATE(Table1[[#This Row],[Customer_ID]],Table1[[#This Row],[Customer_Name]])</f>
        <v>C1046Riya Agarwal</v>
      </c>
      <c r="AL181" t="s">
        <v>218</v>
      </c>
      <c r="AM181" t="s">
        <v>219</v>
      </c>
      <c r="AN181" t="s">
        <v>220</v>
      </c>
      <c r="AO181" t="s">
        <v>218</v>
      </c>
      <c r="AP181" t="s">
        <v>219</v>
      </c>
      <c r="AQ181" t="s">
        <v>166</v>
      </c>
      <c r="AR181" t="str">
        <f>TRIM(Table1[[#This Row],[City]])</f>
        <v>Bengaluru</v>
      </c>
      <c r="AS181" t="str">
        <f>PROPER(Table1[[#This Row],[City]])</f>
        <v>Bengaluru</v>
      </c>
      <c r="AT181" t="s">
        <v>167</v>
      </c>
      <c r="AU181" t="str">
        <f>CONCATENATE(Table1[[#This Row],[City]],Table1[[#This Row],[State]])</f>
        <v>BengaluruKarnataka</v>
      </c>
      <c r="AV181" t="s">
        <v>168</v>
      </c>
      <c r="AW181" t="s">
        <v>261</v>
      </c>
      <c r="AX181" t="str">
        <f>REPLACE(Table1[[#This Row],[Product_ID]],1,1,"s")</f>
        <v>s114</v>
      </c>
      <c r="AY181" t="s">
        <v>960</v>
      </c>
      <c r="AZ181">
        <f>SEARCH("-",Table1[[#This Row],[Product ID]])</f>
        <v>2</v>
      </c>
      <c r="BA181">
        <f>FIND("-",Table1[[#This Row],[Product ID]])</f>
        <v>2</v>
      </c>
      <c r="BB181" t="str">
        <f>MID(Table1[[#This Row],[Product_ID]],2,3)</f>
        <v>114</v>
      </c>
      <c r="BC181" t="str">
        <f>RIGHT(Table1[[#This Row],[Product_ID]],3)</f>
        <v>114</v>
      </c>
      <c r="BD181" t="str">
        <f>LEFT(Table1[[#This Row],[Product_ID]],3)</f>
        <v>P11</v>
      </c>
      <c r="BE181" t="str">
        <f>_xlfn.XLOOKUP(Table1[[#This Row],[Product_ID]],AW:AW,BF:BF,,0)</f>
        <v>Yoga Mat</v>
      </c>
      <c r="BF181" t="s">
        <v>263</v>
      </c>
      <c r="BG181">
        <f>LEN(Table1[[#This Row],[Product_Name]])</f>
        <v>8</v>
      </c>
      <c r="BH181" t="s">
        <v>264</v>
      </c>
      <c r="BI181">
        <f t="shared" si="21"/>
        <v>75</v>
      </c>
      <c r="BJ181" t="str">
        <f>SUBSTITUTE(Table1[[#This Row],[Category]],"Electronics","ELECTRONICS")</f>
        <v>Sports</v>
      </c>
      <c r="BN181" t="s">
        <v>265</v>
      </c>
      <c r="BS181" s="14">
        <v>1</v>
      </c>
      <c r="BT181" s="3">
        <v>999</v>
      </c>
      <c r="BU181" s="4">
        <v>5</v>
      </c>
      <c r="BV181" s="4" t="str">
        <f>IF(AND(Table1[[#This Row],[Quantity]]&gt;=3,Table1[[#This Row],[Discount_%]]&gt;=15%),"Bulk Discount","no")</f>
        <v>no</v>
      </c>
      <c r="BW181" s="4" t="str">
        <f>IF(AND(Table1[[#This Row],[Quantity]]&gt;3,Table1[[#This Row],[Discount_%]]&gt;15%),"Bulk Customer","Normal")</f>
        <v>Normal</v>
      </c>
      <c r="BX181" t="s">
        <v>330</v>
      </c>
      <c r="BY181" t="s">
        <v>374</v>
      </c>
      <c r="CC181" t="str">
        <f>IF(OR(Table1[[#This Row],[Order_Status]]="Returned",Table1[[#This Row],[Order_Status]]="Cancelled"),"Attention Required","Not")</f>
        <v>Attention Required</v>
      </c>
      <c r="CD181" t="str">
        <f>IF(OR(Table1[[#This Row],[Order_Status]]="Returned",Table1[[#This Row],[Order_Status]]="Cancelled"),"Review","no")</f>
        <v>Review</v>
      </c>
      <c r="CE181" t="str">
        <f>SUBSTITUTE(Table1[[#This Row],[Order_Status]],"Delivered","Completed")</f>
        <v>Returned</v>
      </c>
      <c r="CF181" s="2">
        <v>46048</v>
      </c>
      <c r="CG181" s="17">
        <f>NETWORKDAYS(Table1[[#This Row],[Order_Date]],Table1[[#This Row],[Delivery_Date]])</f>
        <v>5</v>
      </c>
      <c r="CH181" s="17">
        <f>Table1[[#This Row],[Delivery_Date]]-Table1[[#This Row],[Order_Date]]</f>
        <v>6</v>
      </c>
      <c r="CI181" t="s">
        <v>375</v>
      </c>
      <c r="CJ181" t="str">
        <f>IF(Table1[[#This Row],[Rating]]&gt;=4,"Good","Needs Improvement")</f>
        <v>Needs Improvement</v>
      </c>
      <c r="CK181" t="str">
        <f>IF(OR(Table1[[#This Row],[Rating]]&lt;=2,Table1[[#This Row],[Profit]]&lt;0),"Review","NO")</f>
        <v>Review</v>
      </c>
      <c r="CL181" t="e" cm="1">
        <f t="array" ref="CL181">_xlfn.IFS(Table1[[#This Row],[Rating]]&gt;2,"Poor",Table1[[#This Row],[Rating]]=3,"Average",Table1[[#This Row],[Rating]]=4,"Good",CP181=5,"Excellent")</f>
        <v>#N/A</v>
      </c>
      <c r="CM181">
        <f>COUNT(Table1[[#This Row],[Rating]])</f>
        <v>1</v>
      </c>
      <c r="CN181">
        <f>COUNTBLANK(Table1[[#This Row],[Rating]])</f>
        <v>0</v>
      </c>
      <c r="CP181" t="s">
        <v>266</v>
      </c>
      <c r="CQ181" s="14">
        <v>2</v>
      </c>
      <c r="CR181" t="s">
        <v>139</v>
      </c>
      <c r="CS181" t="s">
        <v>213</v>
      </c>
      <c r="CU181" s="3">
        <v>949.05</v>
      </c>
      <c r="CV181" s="3">
        <f>ROUND(Table1[[#This Row],[Sales_Amount]],0)</f>
        <v>949</v>
      </c>
      <c r="CW181" s="3"/>
      <c r="CX181" s="3"/>
      <c r="CY181" s="3" t="b">
        <f>IF(AND(Table1[[#This Row],[Sales_Amount]]&gt;=10000,Table1[[#This Row],[Profit]]&gt;0),"Good Order")</f>
        <v>0</v>
      </c>
      <c r="CZ181" s="3" t="str">
        <f>IF(Table1[[#This Row],[Sales_Amount]]&gt;=10000,"High","Normal")</f>
        <v>Normal</v>
      </c>
      <c r="DA181" s="3">
        <v>499.05</v>
      </c>
      <c r="DB181" s="3">
        <f>ROUND(Table1[[#This Row],[Profit]],0)</f>
        <v>499</v>
      </c>
      <c r="DC181" s="3">
        <f>ABS(Table1[[#This Row],[Profit]])</f>
        <v>499.05</v>
      </c>
      <c r="DD181" s="3"/>
      <c r="DE181" s="3"/>
      <c r="DF181" s="3"/>
      <c r="DG181" s="3" t="str">
        <f>IF(Table1[[#This Row],[Profit]]&gt;0,"Profit","Loss")</f>
        <v>Profit</v>
      </c>
      <c r="DH181" s="3" t="str">
        <f>IF(AND(Table1[[#This Row],[Sales_Amount]]&gt;=10000,Table1[[#This Row],[Profit]]&gt;0),"Priority","Normal")</f>
        <v>Normal</v>
      </c>
      <c r="DI181" s="3">
        <f t="shared" ca="1" si="16"/>
        <v>0.95757992511871315</v>
      </c>
      <c r="DJ181" s="3">
        <f t="shared" ca="1" si="17"/>
        <v>99</v>
      </c>
      <c r="DK181" s="3"/>
      <c r="DL181" s="3"/>
      <c r="DM181" s="3"/>
      <c r="DN181" s="3"/>
      <c r="DO181" s="3"/>
      <c r="DP181" s="3"/>
    </row>
    <row r="182" spans="1:120">
      <c r="A182" t="s">
        <v>961</v>
      </c>
      <c r="B182" t="str">
        <f>REPLACE(Table1[[#This Row],[Order_ID]],1,3,"YOO")</f>
        <v>YOO10181</v>
      </c>
      <c r="C182" t="str">
        <f>MID(Table1[[#This Row],[Order_ID]],4,4)</f>
        <v>1018</v>
      </c>
      <c r="D182" t="str">
        <f>LEFT(Table1[[#This Row],[Order_ID]],4)</f>
        <v>ORD1</v>
      </c>
      <c r="E182" t="str">
        <f>RIGHT(Table1[[#This Row],[Order_ID]],5)</f>
        <v>10181</v>
      </c>
      <c r="F182" t="s">
        <v>5</v>
      </c>
      <c r="G182">
        <v>10181</v>
      </c>
      <c r="H182" t="s">
        <v>962</v>
      </c>
      <c r="I182" s="2">
        <f>EDATE(Table1[[#This Row],[Order_Date]],3)</f>
        <v>45771</v>
      </c>
      <c r="J182" s="2">
        <f>EDATE(Table1[[#This Row],[Order_Date]],6)</f>
        <v>45862</v>
      </c>
      <c r="K182">
        <f ca="1">YEAR(Table1[[#This Row],[Today]])</f>
        <v>2026</v>
      </c>
      <c r="L182">
        <v>181</v>
      </c>
      <c r="M182">
        <f ca="1">DAY(Table1[[#This Row],[Today]])</f>
        <v>11</v>
      </c>
      <c r="N182" s="19">
        <f t="shared" ca="1" si="20"/>
        <v>46245.589795138891</v>
      </c>
      <c r="O182" s="2">
        <f t="shared" ca="1" si="15"/>
        <v>46245</v>
      </c>
      <c r="P182" s="17">
        <f ca="1">Table1[[#This Row],[Today]]-Table1[[#This Row],[Order_Date]]</f>
        <v>564</v>
      </c>
      <c r="Q182" s="2">
        <v>45838</v>
      </c>
      <c r="R182" s="2">
        <v>45681</v>
      </c>
      <c r="S182" s="6">
        <f t="shared" si="18"/>
        <v>2025</v>
      </c>
      <c r="T182" s="7" t="str">
        <f t="shared" si="19"/>
        <v>January</v>
      </c>
      <c r="U182" s="2">
        <f>WORKDAY(Table1[[#This Row],[Order_Date]],5)</f>
        <v>45688</v>
      </c>
      <c r="V182" s="7" t="str">
        <f>CONCATENATE(Table1[[#This Row],[Customer_ID]],Table1[[#This Row],[Customer_Name]])</f>
        <v>C1059Anjali Joshi</v>
      </c>
      <c r="W182" t="s">
        <v>963</v>
      </c>
      <c r="X182" t="s">
        <v>310</v>
      </c>
      <c r="Y182">
        <f>COUNTA(Table1[[#This Row],[Customer_Name]])</f>
        <v>1</v>
      </c>
      <c r="Z182" t="str">
        <f>SUBSTITUTE(Table1[[#This Row],[Customer_Name]]," ","_")</f>
        <v>Anjali_Joshi</v>
      </c>
      <c r="AA182" s="10">
        <f>IFERROR(SEARCH("a",Table1[[#This Row],[Customer_Name]]),"N/A")</f>
        <v>1</v>
      </c>
      <c r="AB182">
        <f>SEARCH(" ",Table1[[#This Row],[Customer_Name]])</f>
        <v>7</v>
      </c>
      <c r="AC182" s="11">
        <f>IFERROR(FIND("a",Table1[[#This Row],[Customer_Name]]),"N/A")</f>
        <v>4</v>
      </c>
      <c r="AD182">
        <f>FIND(" ",Table1[[#This Row],[Customer_Name]])</f>
        <v>7</v>
      </c>
      <c r="AE182" t="str">
        <f>TRIM(Table1[[#This Row],[Customer_Name]])</f>
        <v>Anjali Joshi</v>
      </c>
      <c r="AF182">
        <f>LEN(Table1[[#This Row],[Trimmed]])</f>
        <v>12</v>
      </c>
      <c r="AG182">
        <f>MAX(Table1[Length])</f>
        <v>15</v>
      </c>
      <c r="AH182" t="str">
        <f>PROPER(Table1[[#This Row],[Customer_Name]])</f>
        <v>Anjali Joshi</v>
      </c>
      <c r="AI182" t="str">
        <f>LOWER(Table1[[#This Row],[Customer_Name]])</f>
        <v>anjali joshi</v>
      </c>
      <c r="AJ182" t="str">
        <f>UPPER(Table1[[#This Row],[Customer_Name]])</f>
        <v>ANJALI JOSHI</v>
      </c>
      <c r="AK182" t="str">
        <f>CONCATENATE(Table1[[#This Row],[Customer_ID]],Table1[[#This Row],[Customer_Name]])</f>
        <v>C1059Anjali Joshi</v>
      </c>
      <c r="AL182" t="s">
        <v>311</v>
      </c>
      <c r="AM182" t="s">
        <v>312</v>
      </c>
      <c r="AN182" t="s">
        <v>313</v>
      </c>
      <c r="AO182" t="s">
        <v>311</v>
      </c>
      <c r="AP182" t="s">
        <v>312</v>
      </c>
      <c r="AQ182" t="s">
        <v>182</v>
      </c>
      <c r="AR182" t="str">
        <f>TRIM(Table1[[#This Row],[City]])</f>
        <v>Mumbai</v>
      </c>
      <c r="AS182" t="str">
        <f>PROPER(Table1[[#This Row],[City]])</f>
        <v>Mumbai</v>
      </c>
      <c r="AT182" t="s">
        <v>128</v>
      </c>
      <c r="AU182" t="str">
        <f>CONCATENATE(Table1[[#This Row],[City]],Table1[[#This Row],[State]])</f>
        <v>MumbaiMaharashtra</v>
      </c>
      <c r="AV182" t="s">
        <v>129</v>
      </c>
      <c r="AW182" t="s">
        <v>201</v>
      </c>
      <c r="AX182" t="str">
        <f>REPLACE(Table1[[#This Row],[Product_ID]],1,1,"s")</f>
        <v>s104</v>
      </c>
      <c r="AY182" t="s">
        <v>964</v>
      </c>
      <c r="AZ182">
        <f>SEARCH("-",Table1[[#This Row],[Product ID]])</f>
        <v>2</v>
      </c>
      <c r="BA182">
        <f>FIND("-",Table1[[#This Row],[Product ID]])</f>
        <v>2</v>
      </c>
      <c r="BB182" t="str">
        <f>MID(Table1[[#This Row],[Product_ID]],2,3)</f>
        <v>104</v>
      </c>
      <c r="BC182" t="str">
        <f>RIGHT(Table1[[#This Row],[Product_ID]],3)</f>
        <v>104</v>
      </c>
      <c r="BD182" t="str">
        <f>LEFT(Table1[[#This Row],[Product_ID]],3)</f>
        <v>P10</v>
      </c>
      <c r="BE182" t="str">
        <f>_xlfn.XLOOKUP(Table1[[#This Row],[Product_ID]],AW:AW,BF:BF,,0)</f>
        <v>USB-C Hub</v>
      </c>
      <c r="BF182" t="s">
        <v>203</v>
      </c>
      <c r="BG182">
        <f>LEN(Table1[[#This Row],[Product_Name]])</f>
        <v>9</v>
      </c>
      <c r="BH182" t="s">
        <v>154</v>
      </c>
      <c r="BI182">
        <f t="shared" si="21"/>
        <v>75</v>
      </c>
      <c r="BJ182" t="str">
        <f>SUBSTITUTE(Table1[[#This Row],[Category]],"Electronics","ELECTRONICS")</f>
        <v>ELECTRONICS</v>
      </c>
      <c r="BN182" t="s">
        <v>155</v>
      </c>
      <c r="BS182" s="14">
        <v>3</v>
      </c>
      <c r="BT182" s="3">
        <v>1899</v>
      </c>
      <c r="BU182" s="4">
        <v>25</v>
      </c>
      <c r="BV182" s="4" t="str">
        <f>IF(AND(Table1[[#This Row],[Quantity]]&gt;=3,Table1[[#This Row],[Discount_%]]&gt;=15%),"Bulk Discount","no")</f>
        <v>Bulk Discount</v>
      </c>
      <c r="BW182" s="4" t="str">
        <f>IF(AND(Table1[[#This Row],[Quantity]]&gt;3,Table1[[#This Row],[Discount_%]]&gt;15%),"Bulk Customer","Normal")</f>
        <v>Normal</v>
      </c>
      <c r="BX182" t="s">
        <v>330</v>
      </c>
      <c r="BY182" t="s">
        <v>374</v>
      </c>
      <c r="CC182" t="str">
        <f>IF(OR(Table1[[#This Row],[Order_Status]]="Returned",Table1[[#This Row],[Order_Status]]="Cancelled"),"Attention Required","Not")</f>
        <v>Attention Required</v>
      </c>
      <c r="CD182" t="str">
        <f>IF(OR(Table1[[#This Row],[Order_Status]]="Returned",Table1[[#This Row],[Order_Status]]="Cancelled"),"Review","no")</f>
        <v>Review</v>
      </c>
      <c r="CE182" t="str">
        <f>SUBSTITUTE(Table1[[#This Row],[Order_Status]],"Delivered","Completed")</f>
        <v>Returned</v>
      </c>
      <c r="CF182" s="2">
        <v>45688</v>
      </c>
      <c r="CG182" s="17">
        <f>NETWORKDAYS(Table1[[#This Row],[Order_Date]],Table1[[#This Row],[Delivery_Date]])</f>
        <v>6</v>
      </c>
      <c r="CH182" s="17">
        <f>Table1[[#This Row],[Delivery_Date]]-Table1[[#This Row],[Order_Date]]</f>
        <v>7</v>
      </c>
      <c r="CI182" t="s">
        <v>375</v>
      </c>
      <c r="CJ182" t="str">
        <f>IF(Table1[[#This Row],[Rating]]&gt;=4,"Good","Needs Improvement")</f>
        <v>Good</v>
      </c>
      <c r="CK182" t="str">
        <f>IF(OR(Table1[[#This Row],[Rating]]&lt;=2,Table1[[#This Row],[Profit]]&lt;0),"Review","NO")</f>
        <v>NO</v>
      </c>
      <c r="CL182" t="str" cm="1">
        <f t="array" ref="CL182">_xlfn.IFS(Table1[[#This Row],[Rating]]&gt;2,"Poor",Table1[[#This Row],[Rating]]=3,"Average",Table1[[#This Row],[Rating]]=4,"Good",CP182=5,"Excellent")</f>
        <v>Poor</v>
      </c>
      <c r="CM182">
        <f>COUNT(Table1[[#This Row],[Rating]])</f>
        <v>1</v>
      </c>
      <c r="CN182">
        <f>COUNTBLANK(Table1[[#This Row],[Rating]])</f>
        <v>0</v>
      </c>
      <c r="CP182" t="s">
        <v>157</v>
      </c>
      <c r="CQ182" s="14">
        <v>5</v>
      </c>
      <c r="CR182" t="s">
        <v>139</v>
      </c>
      <c r="CS182" t="s">
        <v>195</v>
      </c>
      <c r="CU182" s="3">
        <v>4272.75</v>
      </c>
      <c r="CV182" s="3">
        <f>ROUND(Table1[[#This Row],[Sales_Amount]],0)</f>
        <v>4273</v>
      </c>
      <c r="CW182" s="3"/>
      <c r="CX182" s="3"/>
      <c r="CY182" s="3" t="b">
        <f>IF(AND(Table1[[#This Row],[Sales_Amount]]&gt;=10000,Table1[[#This Row],[Profit]]&gt;0),"Good Order")</f>
        <v>0</v>
      </c>
      <c r="CZ182" s="3" t="str">
        <f>IF(Table1[[#This Row],[Sales_Amount]]&gt;=10000,"High","Normal")</f>
        <v>Normal</v>
      </c>
      <c r="DA182" s="3">
        <v>972.75</v>
      </c>
      <c r="DB182" s="3">
        <f>ROUND(Table1[[#This Row],[Profit]],0)</f>
        <v>973</v>
      </c>
      <c r="DC182" s="3">
        <f>ABS(Table1[[#This Row],[Profit]])</f>
        <v>972.75</v>
      </c>
      <c r="DD182" s="3"/>
      <c r="DE182" s="3"/>
      <c r="DF182" s="3"/>
      <c r="DG182" s="3" t="str">
        <f>IF(Table1[[#This Row],[Profit]]&gt;0,"Profit","Loss")</f>
        <v>Profit</v>
      </c>
      <c r="DH182" s="3" t="str">
        <f>IF(AND(Table1[[#This Row],[Sales_Amount]]&gt;=10000,Table1[[#This Row],[Profit]]&gt;0),"Priority","Normal")</f>
        <v>Normal</v>
      </c>
      <c r="DI182" s="3">
        <f t="shared" ca="1" si="16"/>
        <v>0.13769316976332169</v>
      </c>
      <c r="DJ182" s="3">
        <f t="shared" ca="1" si="17"/>
        <v>24</v>
      </c>
      <c r="DK182" s="3"/>
      <c r="DL182" s="3"/>
      <c r="DM182" s="3"/>
      <c r="DN182" s="3"/>
      <c r="DO182" s="3"/>
      <c r="DP182" s="3"/>
    </row>
    <row r="183" spans="1:120">
      <c r="A183" t="s">
        <v>965</v>
      </c>
      <c r="B183" t="str">
        <f>REPLACE(Table1[[#This Row],[Order_ID]],1,3,"YOO")</f>
        <v>YOO10182</v>
      </c>
      <c r="C183" t="str">
        <f>MID(Table1[[#This Row],[Order_ID]],4,4)</f>
        <v>1018</v>
      </c>
      <c r="D183" t="str">
        <f>LEFT(Table1[[#This Row],[Order_ID]],4)</f>
        <v>ORD1</v>
      </c>
      <c r="E183" t="str">
        <f>RIGHT(Table1[[#This Row],[Order_ID]],5)</f>
        <v>10182</v>
      </c>
      <c r="F183" t="s">
        <v>5</v>
      </c>
      <c r="G183">
        <v>10182</v>
      </c>
      <c r="H183" t="s">
        <v>966</v>
      </c>
      <c r="I183" s="2">
        <f>EDATE(Table1[[#This Row],[Order_Date]],3)</f>
        <v>45864</v>
      </c>
      <c r="J183" s="2">
        <f>EDATE(Table1[[#This Row],[Order_Date]],6)</f>
        <v>45956</v>
      </c>
      <c r="K183">
        <f ca="1">YEAR(Table1[[#This Row],[Today]])</f>
        <v>2026</v>
      </c>
      <c r="L183">
        <v>182</v>
      </c>
      <c r="M183">
        <f ca="1">DAY(Table1[[#This Row],[Today]])</f>
        <v>11</v>
      </c>
      <c r="N183" s="19">
        <f t="shared" ca="1" si="20"/>
        <v>46245.589795370368</v>
      </c>
      <c r="O183" s="2">
        <f t="shared" ca="1" si="15"/>
        <v>46245</v>
      </c>
      <c r="P183" s="17">
        <f ca="1">Table1[[#This Row],[Today]]-Table1[[#This Row],[Order_Date]]</f>
        <v>472</v>
      </c>
      <c r="Q183" s="2">
        <v>45839</v>
      </c>
      <c r="R183" s="2">
        <v>45773</v>
      </c>
      <c r="S183" s="6">
        <f t="shared" si="18"/>
        <v>2025</v>
      </c>
      <c r="T183" s="7" t="str">
        <f t="shared" si="19"/>
        <v>April</v>
      </c>
      <c r="U183" s="2">
        <f>WORKDAY(Table1[[#This Row],[Order_Date]],5)</f>
        <v>45779</v>
      </c>
      <c r="V183" s="7" t="str">
        <f>CONCATENATE(Table1[[#This Row],[Customer_ID]],Table1[[#This Row],[Customer_Name]])</f>
        <v>C1053Aman Singh</v>
      </c>
      <c r="W183" t="s">
        <v>720</v>
      </c>
      <c r="X183" t="s">
        <v>123</v>
      </c>
      <c r="Y183">
        <f>COUNTA(Table1[[#This Row],[Customer_Name]])</f>
        <v>1</v>
      </c>
      <c r="Z183" t="str">
        <f>SUBSTITUTE(Table1[[#This Row],[Customer_Name]]," ","_")</f>
        <v>Aman_Singh</v>
      </c>
      <c r="AA183" s="10">
        <f>IFERROR(SEARCH("a",Table1[[#This Row],[Customer_Name]]),"N/A")</f>
        <v>1</v>
      </c>
      <c r="AB183">
        <f>SEARCH(" ",Table1[[#This Row],[Customer_Name]])</f>
        <v>5</v>
      </c>
      <c r="AC183" s="11">
        <f>IFERROR(FIND("a",Table1[[#This Row],[Customer_Name]]),"N/A")</f>
        <v>3</v>
      </c>
      <c r="AD183">
        <f>FIND(" ",Table1[[#This Row],[Customer_Name]])</f>
        <v>5</v>
      </c>
      <c r="AE183" t="str">
        <f>TRIM(Table1[[#This Row],[Customer_Name]])</f>
        <v>Aman Singh</v>
      </c>
      <c r="AF183">
        <f>LEN(Table1[[#This Row],[Trimmed]])</f>
        <v>10</v>
      </c>
      <c r="AG183">
        <f>MAX(Table1[Length])</f>
        <v>15</v>
      </c>
      <c r="AH183" t="str">
        <f>PROPER(Table1[[#This Row],[Customer_Name]])</f>
        <v>Aman Singh</v>
      </c>
      <c r="AI183" t="str">
        <f>LOWER(Table1[[#This Row],[Customer_Name]])</f>
        <v>aman singh</v>
      </c>
      <c r="AJ183" t="str">
        <f>UPPER(Table1[[#This Row],[Customer_Name]])</f>
        <v>AMAN SINGH</v>
      </c>
      <c r="AK183" t="str">
        <f>CONCATENATE(Table1[[#This Row],[Customer_ID]],Table1[[#This Row],[Customer_Name]])</f>
        <v>C1053Aman Singh</v>
      </c>
      <c r="AL183" t="s">
        <v>124</v>
      </c>
      <c r="AM183" t="s">
        <v>125</v>
      </c>
      <c r="AN183" t="s">
        <v>126</v>
      </c>
      <c r="AO183" t="s">
        <v>124</v>
      </c>
      <c r="AP183" t="s">
        <v>125</v>
      </c>
      <c r="AQ183" t="s">
        <v>423</v>
      </c>
      <c r="AR183" t="str">
        <f>TRIM(Table1[[#This Row],[City]])</f>
        <v>Ahmedabad</v>
      </c>
      <c r="AS183" t="str">
        <f>PROPER(Table1[[#This Row],[City]])</f>
        <v>Ahmedabad</v>
      </c>
      <c r="AT183" t="s">
        <v>424</v>
      </c>
      <c r="AU183" t="str">
        <f>CONCATENATE(Table1[[#This Row],[City]],Table1[[#This Row],[State]])</f>
        <v>AhmedabadGujarat</v>
      </c>
      <c r="AV183" t="s">
        <v>129</v>
      </c>
      <c r="AW183" t="s">
        <v>201</v>
      </c>
      <c r="AX183" t="str">
        <f>REPLACE(Table1[[#This Row],[Product_ID]],1,1,"s")</f>
        <v>s104</v>
      </c>
      <c r="AY183" t="s">
        <v>967</v>
      </c>
      <c r="AZ183">
        <f>SEARCH("-",Table1[[#This Row],[Product ID]])</f>
        <v>2</v>
      </c>
      <c r="BA183">
        <f>FIND("-",Table1[[#This Row],[Product ID]])</f>
        <v>2</v>
      </c>
      <c r="BB183" t="str">
        <f>MID(Table1[[#This Row],[Product_ID]],2,3)</f>
        <v>104</v>
      </c>
      <c r="BC183" t="str">
        <f>RIGHT(Table1[[#This Row],[Product_ID]],3)</f>
        <v>104</v>
      </c>
      <c r="BD183" t="str">
        <f>LEFT(Table1[[#This Row],[Product_ID]],3)</f>
        <v>P10</v>
      </c>
      <c r="BE183" t="str">
        <f>_xlfn.XLOOKUP(Table1[[#This Row],[Product_ID]],AW:AW,BF:BF,,0)</f>
        <v>USB-C Hub</v>
      </c>
      <c r="BF183" t="s">
        <v>203</v>
      </c>
      <c r="BG183">
        <f>LEN(Table1[[#This Row],[Product_Name]])</f>
        <v>9</v>
      </c>
      <c r="BH183" t="s">
        <v>154</v>
      </c>
      <c r="BI183">
        <f t="shared" si="21"/>
        <v>75</v>
      </c>
      <c r="BJ183" t="str">
        <f>SUBSTITUTE(Table1[[#This Row],[Category]],"Electronics","ELECTRONICS")</f>
        <v>ELECTRONICS</v>
      </c>
      <c r="BN183" t="s">
        <v>155</v>
      </c>
      <c r="BS183" s="14">
        <v>1</v>
      </c>
      <c r="BT183" s="3">
        <v>1899</v>
      </c>
      <c r="BU183" s="4">
        <v>20</v>
      </c>
      <c r="BV183" s="4" t="str">
        <f>IF(AND(Table1[[#This Row],[Quantity]]&gt;=3,Table1[[#This Row],[Discount_%]]&gt;=15%),"Bulk Discount","no")</f>
        <v>no</v>
      </c>
      <c r="BW183" s="4" t="str">
        <f>IF(AND(Table1[[#This Row],[Quantity]]&gt;3,Table1[[#This Row],[Discount_%]]&gt;15%),"Bulk Customer","Normal")</f>
        <v>Normal</v>
      </c>
      <c r="BX183" t="s">
        <v>172</v>
      </c>
      <c r="BY183" t="s">
        <v>156</v>
      </c>
      <c r="CC183" t="str">
        <f>IF(OR(Table1[[#This Row],[Order_Status]]="Returned",Table1[[#This Row],[Order_Status]]="Cancelled"),"Attention Required","Not")</f>
        <v>Attention Required</v>
      </c>
      <c r="CD183" t="str">
        <f>IF(OR(Table1[[#This Row],[Order_Status]]="Returned",Table1[[#This Row],[Order_Status]]="Cancelled"),"Review","no")</f>
        <v>Review</v>
      </c>
      <c r="CE183" t="str">
        <f>SUBSTITUTE(Table1[[#This Row],[Order_Status]],"Delivered","Completed")</f>
        <v>Cancelled</v>
      </c>
      <c r="CF183" s="2">
        <v>45774</v>
      </c>
      <c r="CG183" s="17">
        <f>NETWORKDAYS(Table1[[#This Row],[Order_Date]],Table1[[#This Row],[Delivery_Date]])</f>
        <v>0</v>
      </c>
      <c r="CH183" s="17">
        <f>Table1[[#This Row],[Delivery_Date]]-Table1[[#This Row],[Order_Date]]</f>
        <v>1</v>
      </c>
      <c r="CI183" t="s">
        <v>137</v>
      </c>
      <c r="CJ183" t="str">
        <f>IF(Table1[[#This Row],[Rating]]&gt;=4,"Good","Needs Improvement")</f>
        <v>Good</v>
      </c>
      <c r="CK183" t="str">
        <f>IF(OR(Table1[[#This Row],[Rating]]&lt;=2,Table1[[#This Row],[Profit]]&lt;0),"Review","NO")</f>
        <v>NO</v>
      </c>
      <c r="CL183" t="str" cm="1">
        <f t="array" ref="CL183">_xlfn.IFS(Table1[[#This Row],[Rating]]&gt;2,"Poor",Table1[[#This Row],[Rating]]=3,"Average",Table1[[#This Row],[Rating]]=4,"Good",CP183=5,"Excellent")</f>
        <v>Poor</v>
      </c>
      <c r="CM183">
        <f>COUNT(Table1[[#This Row],[Rating]])</f>
        <v>1</v>
      </c>
      <c r="CN183">
        <f>COUNTBLANK(Table1[[#This Row],[Rating]])</f>
        <v>0</v>
      </c>
      <c r="CP183" t="s">
        <v>266</v>
      </c>
      <c r="CQ183" s="14">
        <v>4</v>
      </c>
      <c r="CR183" t="s">
        <v>139</v>
      </c>
      <c r="CS183" t="s">
        <v>267</v>
      </c>
      <c r="CU183" s="3">
        <v>1519.2</v>
      </c>
      <c r="CV183" s="3">
        <f>ROUND(Table1[[#This Row],[Sales_Amount]],0)</f>
        <v>1519</v>
      </c>
      <c r="CW183" s="3"/>
      <c r="CX183" s="3"/>
      <c r="CY183" s="3" t="b">
        <f>IF(AND(Table1[[#This Row],[Sales_Amount]]&gt;=10000,Table1[[#This Row],[Profit]]&gt;0),"Good Order")</f>
        <v>0</v>
      </c>
      <c r="CZ183" s="3" t="str">
        <f>IF(Table1[[#This Row],[Sales_Amount]]&gt;=10000,"High","Normal")</f>
        <v>Normal</v>
      </c>
      <c r="DA183" s="3">
        <v>419.2</v>
      </c>
      <c r="DB183" s="3">
        <f>ROUND(Table1[[#This Row],[Profit]],0)</f>
        <v>419</v>
      </c>
      <c r="DC183" s="3">
        <f>ABS(Table1[[#This Row],[Profit]])</f>
        <v>419.2</v>
      </c>
      <c r="DD183" s="3"/>
      <c r="DE183" s="3"/>
      <c r="DF183" s="3"/>
      <c r="DG183" s="3" t="str">
        <f>IF(Table1[[#This Row],[Profit]]&gt;0,"Profit","Loss")</f>
        <v>Profit</v>
      </c>
      <c r="DH183" s="3" t="str">
        <f>IF(AND(Table1[[#This Row],[Sales_Amount]]&gt;=10000,Table1[[#This Row],[Profit]]&gt;0),"Priority","Normal")</f>
        <v>Normal</v>
      </c>
      <c r="DI183" s="3">
        <f t="shared" ca="1" si="16"/>
        <v>0.67530979227569166</v>
      </c>
      <c r="DJ183" s="3">
        <f t="shared" ca="1" si="17"/>
        <v>63</v>
      </c>
      <c r="DK183" s="3"/>
      <c r="DL183" s="3"/>
      <c r="DM183" s="3"/>
      <c r="DN183" s="3"/>
      <c r="DO183" s="3"/>
      <c r="DP183" s="3"/>
    </row>
    <row r="184" spans="1:120">
      <c r="A184" t="s">
        <v>968</v>
      </c>
      <c r="B184" t="str">
        <f>REPLACE(Table1[[#This Row],[Order_ID]],1,3,"YOO")</f>
        <v>YOO10183</v>
      </c>
      <c r="C184" t="str">
        <f>MID(Table1[[#This Row],[Order_ID]],4,4)</f>
        <v>1018</v>
      </c>
      <c r="D184" t="str">
        <f>LEFT(Table1[[#This Row],[Order_ID]],4)</f>
        <v>ORD1</v>
      </c>
      <c r="E184" t="str">
        <f>RIGHT(Table1[[#This Row],[Order_ID]],5)</f>
        <v>10183</v>
      </c>
      <c r="F184" t="s">
        <v>5</v>
      </c>
      <c r="G184">
        <v>10183</v>
      </c>
      <c r="H184" t="s">
        <v>969</v>
      </c>
      <c r="I184" s="2">
        <f>EDATE(Table1[[#This Row],[Order_Date]],3)</f>
        <v>45796</v>
      </c>
      <c r="J184" s="2">
        <f>EDATE(Table1[[#This Row],[Order_Date]],6)</f>
        <v>45888</v>
      </c>
      <c r="K184">
        <f ca="1">YEAR(Table1[[#This Row],[Today]])</f>
        <v>2026</v>
      </c>
      <c r="L184">
        <v>183</v>
      </c>
      <c r="M184">
        <f ca="1">DAY(Table1[[#This Row],[Today]])</f>
        <v>11</v>
      </c>
      <c r="N184" s="19">
        <f t="shared" ca="1" si="20"/>
        <v>46245.589795370368</v>
      </c>
      <c r="O184" s="2">
        <f t="shared" ca="1" si="15"/>
        <v>46245</v>
      </c>
      <c r="P184" s="17">
        <f ca="1">Table1[[#This Row],[Today]]-Table1[[#This Row],[Order_Date]]</f>
        <v>538</v>
      </c>
      <c r="Q184" s="2">
        <v>45840</v>
      </c>
      <c r="R184" s="2">
        <v>45707</v>
      </c>
      <c r="S184" s="6">
        <f t="shared" si="18"/>
        <v>2025</v>
      </c>
      <c r="T184" s="7" t="str">
        <f t="shared" si="19"/>
        <v>February</v>
      </c>
      <c r="U184" s="2">
        <f>WORKDAY(Table1[[#This Row],[Order_Date]],5)</f>
        <v>45714</v>
      </c>
      <c r="V184" s="7" t="str">
        <f>CONCATENATE(Table1[[#This Row],[Customer_ID]],Table1[[#This Row],[Customer_Name]])</f>
        <v>C1139Karan Patel</v>
      </c>
      <c r="W184" t="s">
        <v>256</v>
      </c>
      <c r="X184" t="s">
        <v>280</v>
      </c>
      <c r="Y184">
        <f>COUNTA(Table1[[#This Row],[Customer_Name]])</f>
        <v>1</v>
      </c>
      <c r="Z184" t="str">
        <f>SUBSTITUTE(Table1[[#This Row],[Customer_Name]]," ","_")</f>
        <v>Karan_Patel</v>
      </c>
      <c r="AA184" s="10">
        <f>IFERROR(SEARCH("a",Table1[[#This Row],[Customer_Name]]),"N/A")</f>
        <v>2</v>
      </c>
      <c r="AB184">
        <f>SEARCH(" ",Table1[[#This Row],[Customer_Name]])</f>
        <v>6</v>
      </c>
      <c r="AC184" s="11">
        <f>IFERROR(FIND("a",Table1[[#This Row],[Customer_Name]]),"N/A")</f>
        <v>2</v>
      </c>
      <c r="AD184">
        <f>FIND(" ",Table1[[#This Row],[Customer_Name]])</f>
        <v>6</v>
      </c>
      <c r="AE184" t="str">
        <f>TRIM(Table1[[#This Row],[Customer_Name]])</f>
        <v>Karan Patel</v>
      </c>
      <c r="AF184">
        <f>LEN(Table1[[#This Row],[Trimmed]])</f>
        <v>11</v>
      </c>
      <c r="AG184">
        <f>MAX(Table1[Length])</f>
        <v>15</v>
      </c>
      <c r="AH184" t="str">
        <f>PROPER(Table1[[#This Row],[Customer_Name]])</f>
        <v>Karan Patel</v>
      </c>
      <c r="AI184" t="str">
        <f>LOWER(Table1[[#This Row],[Customer_Name]])</f>
        <v>karan patel</v>
      </c>
      <c r="AJ184" t="str">
        <f>UPPER(Table1[[#This Row],[Customer_Name]])</f>
        <v>KARAN PATEL</v>
      </c>
      <c r="AK184" t="str">
        <f>CONCATENATE(Table1[[#This Row],[Customer_ID]],Table1[[#This Row],[Customer_Name]])</f>
        <v>C1139Karan Patel</v>
      </c>
      <c r="AL184" t="s">
        <v>281</v>
      </c>
      <c r="AM184" t="s">
        <v>282</v>
      </c>
      <c r="AN184" t="s">
        <v>283</v>
      </c>
      <c r="AO184" t="s">
        <v>281</v>
      </c>
      <c r="AP184" t="s">
        <v>282</v>
      </c>
      <c r="AQ184" t="s">
        <v>199</v>
      </c>
      <c r="AR184" t="str">
        <f>TRIM(Table1[[#This Row],[City]])</f>
        <v>Lucknow</v>
      </c>
      <c r="AS184" t="str">
        <f>PROPER(Table1[[#This Row],[City]])</f>
        <v>Lucknow</v>
      </c>
      <c r="AT184" t="s">
        <v>200</v>
      </c>
      <c r="AU184" t="str">
        <f>CONCATENATE(Table1[[#This Row],[City]],Table1[[#This Row],[State]])</f>
        <v>LucknowUttar Pradesh</v>
      </c>
      <c r="AV184" t="s">
        <v>150</v>
      </c>
      <c r="AW184" t="s">
        <v>363</v>
      </c>
      <c r="AX184" t="str">
        <f>REPLACE(Table1[[#This Row],[Product_ID]],1,1,"s")</f>
        <v>s110</v>
      </c>
      <c r="AY184" t="s">
        <v>970</v>
      </c>
      <c r="AZ184">
        <f>SEARCH("-",Table1[[#This Row],[Product ID]])</f>
        <v>2</v>
      </c>
      <c r="BA184">
        <f>FIND("-",Table1[[#This Row],[Product ID]])</f>
        <v>2</v>
      </c>
      <c r="BB184" t="str">
        <f>MID(Table1[[#This Row],[Product_ID]],2,3)</f>
        <v>110</v>
      </c>
      <c r="BC184" t="str">
        <f>RIGHT(Table1[[#This Row],[Product_ID]],3)</f>
        <v>110</v>
      </c>
      <c r="BD184" t="str">
        <f>LEFT(Table1[[#This Row],[Product_ID]],3)</f>
        <v>P11</v>
      </c>
      <c r="BE184" t="str">
        <f>_xlfn.XLOOKUP(Table1[[#This Row],[Product_ID]],AW:AW,BF:BF,,0)</f>
        <v>Smart Watch</v>
      </c>
      <c r="BF184" t="s">
        <v>365</v>
      </c>
      <c r="BG184">
        <f>LEN(Table1[[#This Row],[Product_Name]])</f>
        <v>11</v>
      </c>
      <c r="BH184" t="s">
        <v>154</v>
      </c>
      <c r="BI184">
        <f t="shared" si="21"/>
        <v>75</v>
      </c>
      <c r="BJ184" t="str">
        <f>SUBSTITUTE(Table1[[#This Row],[Category]],"Electronics","ELECTRONICS")</f>
        <v>ELECTRONICS</v>
      </c>
      <c r="BN184" t="s">
        <v>366</v>
      </c>
      <c r="BS184" s="14">
        <v>2</v>
      </c>
      <c r="BT184" s="3">
        <v>4999</v>
      </c>
      <c r="BU184" s="4">
        <v>0</v>
      </c>
      <c r="BV184" s="4" t="str">
        <f>IF(AND(Table1[[#This Row],[Quantity]]&gt;=3,Table1[[#This Row],[Discount_%]]&gt;=15%),"Bulk Discount","no")</f>
        <v>no</v>
      </c>
      <c r="BW184" s="4" t="str">
        <f>IF(AND(Table1[[#This Row],[Quantity]]&gt;3,Table1[[#This Row],[Discount_%]]&gt;15%),"Bulk Customer","Normal")</f>
        <v>Normal</v>
      </c>
      <c r="BX184" t="s">
        <v>172</v>
      </c>
      <c r="BY184" t="s">
        <v>136</v>
      </c>
      <c r="CC184" t="str">
        <f>IF(OR(Table1[[#This Row],[Order_Status]]="Returned",Table1[[#This Row],[Order_Status]]="Cancelled"),"Attention Required","Not")</f>
        <v>Not</v>
      </c>
      <c r="CD184" t="str">
        <f>IF(OR(Table1[[#This Row],[Order_Status]]="Returned",Table1[[#This Row],[Order_Status]]="Cancelled"),"Review","no")</f>
        <v>no</v>
      </c>
      <c r="CE184" t="str">
        <f>SUBSTITUTE(Table1[[#This Row],[Order_Status]],"Delivered","Completed")</f>
        <v>Completed</v>
      </c>
      <c r="CF184" s="2">
        <v>45715</v>
      </c>
      <c r="CG184" s="17">
        <f>NETWORKDAYS(Table1[[#This Row],[Order_Date]],Table1[[#This Row],[Delivery_Date]])</f>
        <v>7</v>
      </c>
      <c r="CH184" s="17">
        <f>Table1[[#This Row],[Delivery_Date]]-Table1[[#This Row],[Order_Date]]</f>
        <v>8</v>
      </c>
      <c r="CI184" t="s">
        <v>137</v>
      </c>
      <c r="CJ184" t="str">
        <f>IF(Table1[[#This Row],[Rating]]&gt;=4,"Good","Needs Improvement")</f>
        <v>Good</v>
      </c>
      <c r="CK184" t="str">
        <f>IF(OR(Table1[[#This Row],[Rating]]&lt;=2,Table1[[#This Row],[Profit]]&lt;0),"Review","NO")</f>
        <v>NO</v>
      </c>
      <c r="CL184" t="str" cm="1">
        <f t="array" ref="CL184">_xlfn.IFS(Table1[[#This Row],[Rating]]&gt;2,"Poor",Table1[[#This Row],[Rating]]=3,"Average",Table1[[#This Row],[Rating]]=4,"Good",CP184=5,"Excellent")</f>
        <v>Poor</v>
      </c>
      <c r="CM184">
        <f>COUNT(Table1[[#This Row],[Rating]])</f>
        <v>1</v>
      </c>
      <c r="CN184">
        <f>COUNTBLANK(Table1[[#This Row],[Rating]])</f>
        <v>0</v>
      </c>
      <c r="CP184" t="s">
        <v>194</v>
      </c>
      <c r="CQ184" s="14">
        <v>4</v>
      </c>
      <c r="CR184" t="s">
        <v>204</v>
      </c>
      <c r="CS184" t="s">
        <v>195</v>
      </c>
      <c r="CU184" s="3">
        <v>9998</v>
      </c>
      <c r="CV184" s="3">
        <f>ROUND(Table1[[#This Row],[Sales_Amount]],0)</f>
        <v>9998</v>
      </c>
      <c r="CW184" s="3"/>
      <c r="CX184" s="3"/>
      <c r="CY184" s="3" t="b">
        <f>IF(AND(Table1[[#This Row],[Sales_Amount]]&gt;=10000,Table1[[#This Row],[Profit]]&gt;0),"Good Order")</f>
        <v>0</v>
      </c>
      <c r="CZ184" s="3" t="str">
        <f>IF(Table1[[#This Row],[Sales_Amount]]&gt;=10000,"High","Normal")</f>
        <v>Normal</v>
      </c>
      <c r="DA184" s="3">
        <v>3798</v>
      </c>
      <c r="DB184" s="3">
        <f>ROUND(Table1[[#This Row],[Profit]],0)</f>
        <v>3798</v>
      </c>
      <c r="DC184" s="3">
        <f>ABS(Table1[[#This Row],[Profit]])</f>
        <v>3798</v>
      </c>
      <c r="DD184" s="3"/>
      <c r="DE184" s="3"/>
      <c r="DF184" s="3"/>
      <c r="DG184" s="3" t="str">
        <f>IF(Table1[[#This Row],[Profit]]&gt;0,"Profit","Loss")</f>
        <v>Profit</v>
      </c>
      <c r="DH184" s="3" t="str">
        <f>IF(AND(Table1[[#This Row],[Sales_Amount]]&gt;=10000,Table1[[#This Row],[Profit]]&gt;0),"Priority","Normal")</f>
        <v>Normal</v>
      </c>
      <c r="DI184" s="3">
        <f t="shared" ca="1" si="16"/>
        <v>0.64804391111380111</v>
      </c>
      <c r="DJ184" s="3">
        <f t="shared" ca="1" si="17"/>
        <v>23</v>
      </c>
      <c r="DK184" s="3"/>
      <c r="DL184" s="3"/>
      <c r="DM184" s="3"/>
      <c r="DN184" s="3"/>
      <c r="DO184" s="3"/>
      <c r="DP184" s="3"/>
    </row>
    <row r="185" spans="1:120">
      <c r="A185" t="s">
        <v>971</v>
      </c>
      <c r="B185" t="str">
        <f>REPLACE(Table1[[#This Row],[Order_ID]],1,3,"YOO")</f>
        <v>YOO10184</v>
      </c>
      <c r="C185" t="str">
        <f>MID(Table1[[#This Row],[Order_ID]],4,4)</f>
        <v>1018</v>
      </c>
      <c r="D185" t="str">
        <f>LEFT(Table1[[#This Row],[Order_ID]],4)</f>
        <v>ORD1</v>
      </c>
      <c r="E185" t="str">
        <f>RIGHT(Table1[[#This Row],[Order_ID]],5)</f>
        <v>10184</v>
      </c>
      <c r="F185" t="s">
        <v>5</v>
      </c>
      <c r="G185">
        <v>10184</v>
      </c>
      <c r="H185" t="s">
        <v>972</v>
      </c>
      <c r="I185" s="2">
        <f>EDATE(Table1[[#This Row],[Order_Date]],3)</f>
        <v>46076</v>
      </c>
      <c r="J185" s="2">
        <f>EDATE(Table1[[#This Row],[Order_Date]],6)</f>
        <v>46165</v>
      </c>
      <c r="K185">
        <f ca="1">YEAR(Table1[[#This Row],[Today]])</f>
        <v>2026</v>
      </c>
      <c r="L185">
        <v>184</v>
      </c>
      <c r="M185">
        <f ca="1">DAY(Table1[[#This Row],[Today]])</f>
        <v>11</v>
      </c>
      <c r="N185" s="19">
        <f t="shared" ca="1" si="20"/>
        <v>46245.589795138891</v>
      </c>
      <c r="O185" s="2">
        <f t="shared" ca="1" si="15"/>
        <v>46245</v>
      </c>
      <c r="P185" s="17">
        <f ca="1">Table1[[#This Row],[Today]]-Table1[[#This Row],[Order_Date]]</f>
        <v>261</v>
      </c>
      <c r="Q185" s="2">
        <v>45841</v>
      </c>
      <c r="R185" s="2">
        <v>45984</v>
      </c>
      <c r="S185" s="6">
        <f t="shared" si="18"/>
        <v>2025</v>
      </c>
      <c r="T185" s="7" t="str">
        <f t="shared" si="19"/>
        <v>November</v>
      </c>
      <c r="U185" s="2">
        <f>WORKDAY(Table1[[#This Row],[Order_Date]],5)</f>
        <v>45989</v>
      </c>
      <c r="V185" s="7" t="str">
        <f>CONCATENATE(Table1[[#This Row],[Customer_ID]],Table1[[#This Row],[Customer_Name]])</f>
        <v>C1134Anjali Joshi</v>
      </c>
      <c r="W185" t="s">
        <v>973</v>
      </c>
      <c r="X185" t="s">
        <v>310</v>
      </c>
      <c r="Y185">
        <f>COUNTA(Table1[[#This Row],[Customer_Name]])</f>
        <v>1</v>
      </c>
      <c r="Z185" t="str">
        <f>SUBSTITUTE(Table1[[#This Row],[Customer_Name]]," ","_")</f>
        <v>Anjali_Joshi</v>
      </c>
      <c r="AA185" s="10">
        <f>IFERROR(SEARCH("a",Table1[[#This Row],[Customer_Name]]),"N/A")</f>
        <v>1</v>
      </c>
      <c r="AB185">
        <f>SEARCH(" ",Table1[[#This Row],[Customer_Name]])</f>
        <v>7</v>
      </c>
      <c r="AC185" s="11">
        <f>IFERROR(FIND("a",Table1[[#This Row],[Customer_Name]]),"N/A")</f>
        <v>4</v>
      </c>
      <c r="AD185">
        <f>FIND(" ",Table1[[#This Row],[Customer_Name]])</f>
        <v>7</v>
      </c>
      <c r="AE185" t="str">
        <f>TRIM(Table1[[#This Row],[Customer_Name]])</f>
        <v>Anjali Joshi</v>
      </c>
      <c r="AF185">
        <f>LEN(Table1[[#This Row],[Trimmed]])</f>
        <v>12</v>
      </c>
      <c r="AG185">
        <f>MAX(Table1[Length])</f>
        <v>15</v>
      </c>
      <c r="AH185" t="str">
        <f>PROPER(Table1[[#This Row],[Customer_Name]])</f>
        <v>Anjali Joshi</v>
      </c>
      <c r="AI185" t="str">
        <f>LOWER(Table1[[#This Row],[Customer_Name]])</f>
        <v>anjali joshi</v>
      </c>
      <c r="AJ185" t="str">
        <f>UPPER(Table1[[#This Row],[Customer_Name]])</f>
        <v>ANJALI JOSHI</v>
      </c>
      <c r="AK185" t="str">
        <f>CONCATENATE(Table1[[#This Row],[Customer_ID]],Table1[[#This Row],[Customer_Name]])</f>
        <v>C1134Anjali Joshi</v>
      </c>
      <c r="AL185" t="s">
        <v>311</v>
      </c>
      <c r="AM185" t="s">
        <v>312</v>
      </c>
      <c r="AN185" t="s">
        <v>313</v>
      </c>
      <c r="AO185" t="s">
        <v>311</v>
      </c>
      <c r="AP185" t="s">
        <v>312</v>
      </c>
      <c r="AQ185" t="s">
        <v>423</v>
      </c>
      <c r="AR185" t="str">
        <f>TRIM(Table1[[#This Row],[City]])</f>
        <v>Ahmedabad</v>
      </c>
      <c r="AS185" t="str">
        <f>PROPER(Table1[[#This Row],[City]])</f>
        <v>Ahmedabad</v>
      </c>
      <c r="AT185" t="s">
        <v>424</v>
      </c>
      <c r="AU185" t="str">
        <f>CONCATENATE(Table1[[#This Row],[City]],Table1[[#This Row],[State]])</f>
        <v>AhmedabadGujarat</v>
      </c>
      <c r="AV185" t="s">
        <v>129</v>
      </c>
      <c r="AW185" t="s">
        <v>201</v>
      </c>
      <c r="AX185" t="str">
        <f>REPLACE(Table1[[#This Row],[Product_ID]],1,1,"s")</f>
        <v>s104</v>
      </c>
      <c r="AY185" t="s">
        <v>974</v>
      </c>
      <c r="AZ185">
        <f>SEARCH("-",Table1[[#This Row],[Product ID]])</f>
        <v>2</v>
      </c>
      <c r="BA185">
        <f>FIND("-",Table1[[#This Row],[Product ID]])</f>
        <v>2</v>
      </c>
      <c r="BB185" t="str">
        <f>MID(Table1[[#This Row],[Product_ID]],2,3)</f>
        <v>104</v>
      </c>
      <c r="BC185" t="str">
        <f>RIGHT(Table1[[#This Row],[Product_ID]],3)</f>
        <v>104</v>
      </c>
      <c r="BD185" t="str">
        <f>LEFT(Table1[[#This Row],[Product_ID]],3)</f>
        <v>P10</v>
      </c>
      <c r="BE185" t="str">
        <f>_xlfn.XLOOKUP(Table1[[#This Row],[Product_ID]],AW:AW,BF:BF,,0)</f>
        <v>USB-C Hub</v>
      </c>
      <c r="BF185" t="s">
        <v>203</v>
      </c>
      <c r="BG185">
        <f>LEN(Table1[[#This Row],[Product_Name]])</f>
        <v>9</v>
      </c>
      <c r="BH185" t="s">
        <v>154</v>
      </c>
      <c r="BI185">
        <f t="shared" si="21"/>
        <v>75</v>
      </c>
      <c r="BJ185" t="str">
        <f>SUBSTITUTE(Table1[[#This Row],[Category]],"Electronics","ELECTRONICS")</f>
        <v>ELECTRONICS</v>
      </c>
      <c r="BN185" t="s">
        <v>155</v>
      </c>
      <c r="BS185" s="14">
        <v>5</v>
      </c>
      <c r="BT185" s="3">
        <v>1899</v>
      </c>
      <c r="BU185" s="4">
        <v>15</v>
      </c>
      <c r="BV185" s="4" t="str">
        <f>IF(AND(Table1[[#This Row],[Quantity]]&gt;=3,Table1[[#This Row],[Discount_%]]&gt;=15%),"Bulk Discount","no")</f>
        <v>Bulk Discount</v>
      </c>
      <c r="BW185" s="4" t="str">
        <f>IF(AND(Table1[[#This Row],[Quantity]]&gt;3,Table1[[#This Row],[Discount_%]]&gt;15%),"Bulk Customer","Normal")</f>
        <v>Bulk Customer</v>
      </c>
      <c r="BX185" t="s">
        <v>330</v>
      </c>
      <c r="BY185" t="s">
        <v>136</v>
      </c>
      <c r="CC185" t="str">
        <f>IF(OR(Table1[[#This Row],[Order_Status]]="Returned",Table1[[#This Row],[Order_Status]]="Cancelled"),"Attention Required","Not")</f>
        <v>Not</v>
      </c>
      <c r="CD185" t="str">
        <f>IF(OR(Table1[[#This Row],[Order_Status]]="Returned",Table1[[#This Row],[Order_Status]]="Cancelled"),"Review","no")</f>
        <v>no</v>
      </c>
      <c r="CE185" t="str">
        <f>SUBSTITUTE(Table1[[#This Row],[Order_Status]],"Delivered","Completed")</f>
        <v>Completed</v>
      </c>
      <c r="CF185" s="2">
        <v>45989</v>
      </c>
      <c r="CG185" s="17">
        <f>NETWORKDAYS(Table1[[#This Row],[Order_Date]],Table1[[#This Row],[Delivery_Date]])</f>
        <v>5</v>
      </c>
      <c r="CH185" s="17">
        <f>Table1[[#This Row],[Delivery_Date]]-Table1[[#This Row],[Order_Date]]</f>
        <v>5</v>
      </c>
      <c r="CI185" t="s">
        <v>137</v>
      </c>
      <c r="CJ185" t="str">
        <f>IF(Table1[[#This Row],[Rating]]&gt;=4,"Good","Needs Improvement")</f>
        <v>Needs Improvement</v>
      </c>
      <c r="CK185" t="str">
        <f>IF(OR(Table1[[#This Row],[Rating]]&lt;=2,Table1[[#This Row],[Profit]]&lt;0),"Review","NO")</f>
        <v>NO</v>
      </c>
      <c r="CL185" t="str" cm="1">
        <f t="array" ref="CL185">_xlfn.IFS(Table1[[#This Row],[Rating]]&gt;2,"Poor",Table1[[#This Row],[Rating]]=3,"Average",Table1[[#This Row],[Rating]]=4,"Good",CP185=5,"Excellent")</f>
        <v>Poor</v>
      </c>
      <c r="CM185">
        <f>COUNT(Table1[[#This Row],[Rating]])</f>
        <v>1</v>
      </c>
      <c r="CN185">
        <f>COUNTBLANK(Table1[[#This Row],[Rating]])</f>
        <v>0</v>
      </c>
      <c r="CP185" t="s">
        <v>157</v>
      </c>
      <c r="CQ185" s="14">
        <v>3</v>
      </c>
      <c r="CR185" t="s">
        <v>173</v>
      </c>
      <c r="CS185" t="s">
        <v>140</v>
      </c>
      <c r="CU185" s="3">
        <v>8070.75</v>
      </c>
      <c r="CV185" s="3">
        <f>ROUND(Table1[[#This Row],[Sales_Amount]],0)</f>
        <v>8071</v>
      </c>
      <c r="CW185" s="3"/>
      <c r="CX185" s="3"/>
      <c r="CY185" s="3" t="b">
        <f>IF(AND(Table1[[#This Row],[Sales_Amount]]&gt;=10000,Table1[[#This Row],[Profit]]&gt;0),"Good Order")</f>
        <v>0</v>
      </c>
      <c r="CZ185" s="3" t="str">
        <f>IF(Table1[[#This Row],[Sales_Amount]]&gt;=10000,"High","Normal")</f>
        <v>Normal</v>
      </c>
      <c r="DA185" s="3">
        <v>2570.75</v>
      </c>
      <c r="DB185" s="3">
        <f>ROUND(Table1[[#This Row],[Profit]],0)</f>
        <v>2571</v>
      </c>
      <c r="DC185" s="3">
        <f>ABS(Table1[[#This Row],[Profit]])</f>
        <v>2570.75</v>
      </c>
      <c r="DD185" s="3"/>
      <c r="DE185" s="3"/>
      <c r="DF185" s="3"/>
      <c r="DG185" s="3" t="str">
        <f>IF(Table1[[#This Row],[Profit]]&gt;0,"Profit","Loss")</f>
        <v>Profit</v>
      </c>
      <c r="DH185" s="3" t="str">
        <f>IF(AND(Table1[[#This Row],[Sales_Amount]]&gt;=10000,Table1[[#This Row],[Profit]]&gt;0),"Priority","Normal")</f>
        <v>Normal</v>
      </c>
      <c r="DI185" s="3">
        <f t="shared" ca="1" si="16"/>
        <v>0.15868608622311886</v>
      </c>
      <c r="DJ185" s="3">
        <f t="shared" ca="1" si="17"/>
        <v>3</v>
      </c>
      <c r="DK185" s="3"/>
      <c r="DL185" s="3"/>
      <c r="DM185" s="3"/>
      <c r="DN185" s="3"/>
      <c r="DO185" s="3"/>
      <c r="DP185" s="3"/>
    </row>
    <row r="186" spans="1:120">
      <c r="A186" t="s">
        <v>975</v>
      </c>
      <c r="B186" t="str">
        <f>REPLACE(Table1[[#This Row],[Order_ID]],1,3,"YOO")</f>
        <v>YOO10185</v>
      </c>
      <c r="C186" t="str">
        <f>MID(Table1[[#This Row],[Order_ID]],4,4)</f>
        <v>1018</v>
      </c>
      <c r="D186" t="str">
        <f>LEFT(Table1[[#This Row],[Order_ID]],4)</f>
        <v>ORD1</v>
      </c>
      <c r="E186" t="str">
        <f>RIGHT(Table1[[#This Row],[Order_ID]],5)</f>
        <v>10185</v>
      </c>
      <c r="F186" t="s">
        <v>5</v>
      </c>
      <c r="G186">
        <v>10185</v>
      </c>
      <c r="H186" t="s">
        <v>976</v>
      </c>
      <c r="I186" s="2">
        <f>EDATE(Table1[[#This Row],[Order_Date]],3)</f>
        <v>45929</v>
      </c>
      <c r="J186" s="2">
        <f>EDATE(Table1[[#This Row],[Order_Date]],6)</f>
        <v>46020</v>
      </c>
      <c r="K186">
        <f ca="1">YEAR(Table1[[#This Row],[Today]])</f>
        <v>2026</v>
      </c>
      <c r="L186">
        <v>185</v>
      </c>
      <c r="M186">
        <f ca="1">DAY(Table1[[#This Row],[Today]])</f>
        <v>11</v>
      </c>
      <c r="N186" s="19">
        <f t="shared" ca="1" si="20"/>
        <v>46245.589795370368</v>
      </c>
      <c r="O186" s="2">
        <f t="shared" ca="1" si="15"/>
        <v>46245</v>
      </c>
      <c r="P186" s="17">
        <f ca="1">Table1[[#This Row],[Today]]-Table1[[#This Row],[Order_Date]]</f>
        <v>408</v>
      </c>
      <c r="Q186" s="2">
        <v>45842</v>
      </c>
      <c r="R186" s="2">
        <v>45837</v>
      </c>
      <c r="S186" s="6">
        <f t="shared" si="18"/>
        <v>2025</v>
      </c>
      <c r="T186" s="7" t="str">
        <f t="shared" si="19"/>
        <v>June</v>
      </c>
      <c r="U186" s="2">
        <f>WORKDAY(Table1[[#This Row],[Order_Date]],5)</f>
        <v>45842</v>
      </c>
      <c r="V186" s="7" t="str">
        <f>CONCATENATE(Table1[[#This Row],[Customer_ID]],Table1[[#This Row],[Customer_Name]])</f>
        <v>C1135Arjun Rao</v>
      </c>
      <c r="W186" t="s">
        <v>678</v>
      </c>
      <c r="X186" t="s">
        <v>355</v>
      </c>
      <c r="Y186">
        <f>COUNTA(Table1[[#This Row],[Customer_Name]])</f>
        <v>1</v>
      </c>
      <c r="Z186" t="str">
        <f>SUBSTITUTE(Table1[[#This Row],[Customer_Name]]," ","_")</f>
        <v>Arjun_Rao</v>
      </c>
      <c r="AA186" s="10">
        <f>IFERROR(SEARCH("a",Table1[[#This Row],[Customer_Name]]),"N/A")</f>
        <v>1</v>
      </c>
      <c r="AB186">
        <f>SEARCH(" ",Table1[[#This Row],[Customer_Name]])</f>
        <v>6</v>
      </c>
      <c r="AC186" s="11">
        <f>IFERROR(FIND("a",Table1[[#This Row],[Customer_Name]]),"N/A")</f>
        <v>8</v>
      </c>
      <c r="AD186">
        <f>FIND(" ",Table1[[#This Row],[Customer_Name]])</f>
        <v>6</v>
      </c>
      <c r="AE186" t="str">
        <f>TRIM(Table1[[#This Row],[Customer_Name]])</f>
        <v>Arjun Rao</v>
      </c>
      <c r="AF186">
        <f>LEN(Table1[[#This Row],[Trimmed]])</f>
        <v>9</v>
      </c>
      <c r="AG186">
        <f>MAX(Table1[Length])</f>
        <v>15</v>
      </c>
      <c r="AH186" t="str">
        <f>PROPER(Table1[[#This Row],[Customer_Name]])</f>
        <v>Arjun Rao</v>
      </c>
      <c r="AI186" t="str">
        <f>LOWER(Table1[[#This Row],[Customer_Name]])</f>
        <v>arjun rao</v>
      </c>
      <c r="AJ186" t="str">
        <f>UPPER(Table1[[#This Row],[Customer_Name]])</f>
        <v>ARJUN RAO</v>
      </c>
      <c r="AK186" t="str">
        <f>CONCATENATE(Table1[[#This Row],[Customer_ID]],Table1[[#This Row],[Customer_Name]])</f>
        <v>C1135Arjun Rao</v>
      </c>
      <c r="AL186" t="s">
        <v>356</v>
      </c>
      <c r="AM186" t="s">
        <v>357</v>
      </c>
      <c r="AN186" t="s">
        <v>358</v>
      </c>
      <c r="AO186" t="s">
        <v>356</v>
      </c>
      <c r="AP186" t="s">
        <v>357</v>
      </c>
      <c r="AQ186" t="s">
        <v>233</v>
      </c>
      <c r="AR186" t="str">
        <f>TRIM(Table1[[#This Row],[City]])</f>
        <v>Kolkata</v>
      </c>
      <c r="AS186" t="str">
        <f>PROPER(Table1[[#This Row],[City]])</f>
        <v>Kolkata</v>
      </c>
      <c r="AT186" t="s">
        <v>234</v>
      </c>
      <c r="AU186" t="str">
        <f>CONCATENATE(Table1[[#This Row],[City]],Table1[[#This Row],[State]])</f>
        <v>KolkataWest Bengal</v>
      </c>
      <c r="AV186" t="s">
        <v>235</v>
      </c>
      <c r="AW186" t="s">
        <v>477</v>
      </c>
      <c r="AX186" t="str">
        <f>REPLACE(Table1[[#This Row],[Product_ID]],1,1,"s")</f>
        <v>s109</v>
      </c>
      <c r="AY186" t="s">
        <v>977</v>
      </c>
      <c r="AZ186">
        <f>SEARCH("-",Table1[[#This Row],[Product ID]])</f>
        <v>2</v>
      </c>
      <c r="BA186">
        <f>FIND("-",Table1[[#This Row],[Product ID]])</f>
        <v>2</v>
      </c>
      <c r="BB186" t="str">
        <f>MID(Table1[[#This Row],[Product_ID]],2,3)</f>
        <v>109</v>
      </c>
      <c r="BC186" t="str">
        <f>RIGHT(Table1[[#This Row],[Product_ID]],3)</f>
        <v>109</v>
      </c>
      <c r="BD186" t="str">
        <f>LEFT(Table1[[#This Row],[Product_ID]],3)</f>
        <v>P10</v>
      </c>
      <c r="BE186" t="str">
        <f>_xlfn.XLOOKUP(Table1[[#This Row],[Product_ID]],AW:AW,BF:BF,,0)</f>
        <v>Backpack</v>
      </c>
      <c r="BF186" t="s">
        <v>479</v>
      </c>
      <c r="BG186">
        <f>LEN(Table1[[#This Row],[Product_Name]])</f>
        <v>8</v>
      </c>
      <c r="BH186" t="s">
        <v>224</v>
      </c>
      <c r="BI186">
        <f t="shared" si="21"/>
        <v>75</v>
      </c>
      <c r="BJ186" t="str">
        <f>SUBSTITUTE(Table1[[#This Row],[Category]],"Electronics","ELECTRONICS")</f>
        <v>Fashion</v>
      </c>
      <c r="BN186" t="s">
        <v>480</v>
      </c>
      <c r="BS186" s="14">
        <v>4</v>
      </c>
      <c r="BT186" s="3">
        <v>2299</v>
      </c>
      <c r="BU186" s="4">
        <v>25</v>
      </c>
      <c r="BV186" s="4" t="str">
        <f>IF(AND(Table1[[#This Row],[Quantity]]&gt;=3,Table1[[#This Row],[Discount_%]]&gt;=15%),"Bulk Discount","no")</f>
        <v>Bulk Discount</v>
      </c>
      <c r="BW186" s="4" t="str">
        <f>IF(AND(Table1[[#This Row],[Quantity]]&gt;3,Table1[[#This Row],[Discount_%]]&gt;15%),"Bulk Customer","Normal")</f>
        <v>Bulk Customer</v>
      </c>
      <c r="BX186" t="s">
        <v>330</v>
      </c>
      <c r="BY186" t="s">
        <v>136</v>
      </c>
      <c r="CC186" t="str">
        <f>IF(OR(Table1[[#This Row],[Order_Status]]="Returned",Table1[[#This Row],[Order_Status]]="Cancelled"),"Attention Required","Not")</f>
        <v>Not</v>
      </c>
      <c r="CD186" t="str">
        <f>IF(OR(Table1[[#This Row],[Order_Status]]="Returned",Table1[[#This Row],[Order_Status]]="Cancelled"),"Review","no")</f>
        <v>no</v>
      </c>
      <c r="CE186" t="str">
        <f>SUBSTITUTE(Table1[[#This Row],[Order_Status]],"Delivered","Completed")</f>
        <v>Completed</v>
      </c>
      <c r="CF186" s="2">
        <v>45843</v>
      </c>
      <c r="CG186" s="17">
        <f>NETWORKDAYS(Table1[[#This Row],[Order_Date]],Table1[[#This Row],[Delivery_Date]])</f>
        <v>5</v>
      </c>
      <c r="CH186" s="17">
        <f>Table1[[#This Row],[Delivery_Date]]-Table1[[#This Row],[Order_Date]]</f>
        <v>6</v>
      </c>
      <c r="CI186" t="s">
        <v>137</v>
      </c>
      <c r="CJ186" t="str">
        <f>IF(Table1[[#This Row],[Rating]]&gt;=4,"Good","Needs Improvement")</f>
        <v>Good</v>
      </c>
      <c r="CK186" t="str">
        <f>IF(OR(Table1[[#This Row],[Rating]]&lt;=2,Table1[[#This Row],[Profit]]&lt;0),"Review","NO")</f>
        <v>NO</v>
      </c>
      <c r="CL186" t="str" cm="1">
        <f t="array" ref="CL186">_xlfn.IFS(Table1[[#This Row],[Rating]]&gt;2,"Poor",Table1[[#This Row],[Rating]]=3,"Average",Table1[[#This Row],[Rating]]=4,"Good",CP186=5,"Excellent")</f>
        <v>Poor</v>
      </c>
      <c r="CM186">
        <f>COUNT(Table1[[#This Row],[Rating]])</f>
        <v>1</v>
      </c>
      <c r="CN186">
        <f>COUNTBLANK(Table1[[#This Row],[Rating]])</f>
        <v>0</v>
      </c>
      <c r="CP186" t="s">
        <v>138</v>
      </c>
      <c r="CQ186" s="14">
        <v>5</v>
      </c>
      <c r="CR186" t="s">
        <v>139</v>
      </c>
      <c r="CS186" t="s">
        <v>195</v>
      </c>
      <c r="CU186" s="3">
        <v>6897</v>
      </c>
      <c r="CV186" s="3">
        <f>ROUND(Table1[[#This Row],[Sales_Amount]],0)</f>
        <v>6897</v>
      </c>
      <c r="CW186" s="3"/>
      <c r="CX186" s="3"/>
      <c r="CY186" s="3" t="b">
        <f>IF(AND(Table1[[#This Row],[Sales_Amount]]&gt;=10000,Table1[[#This Row],[Profit]]&gt;0),"Good Order")</f>
        <v>0</v>
      </c>
      <c r="CZ186" s="3" t="str">
        <f>IF(Table1[[#This Row],[Sales_Amount]]&gt;=10000,"High","Normal")</f>
        <v>Normal</v>
      </c>
      <c r="DA186" s="3">
        <v>1897</v>
      </c>
      <c r="DB186" s="3">
        <f>ROUND(Table1[[#This Row],[Profit]],0)</f>
        <v>1897</v>
      </c>
      <c r="DC186" s="3">
        <f>ABS(Table1[[#This Row],[Profit]])</f>
        <v>1897</v>
      </c>
      <c r="DD186" s="3"/>
      <c r="DE186" s="3"/>
      <c r="DF186" s="3"/>
      <c r="DG186" s="3" t="str">
        <f>IF(Table1[[#This Row],[Profit]]&gt;0,"Profit","Loss")</f>
        <v>Profit</v>
      </c>
      <c r="DH186" s="3" t="str">
        <f>IF(AND(Table1[[#This Row],[Sales_Amount]]&gt;=10000,Table1[[#This Row],[Profit]]&gt;0),"Priority","Normal")</f>
        <v>Normal</v>
      </c>
      <c r="DI186" s="3">
        <f t="shared" ca="1" si="16"/>
        <v>0.22974031110326421</v>
      </c>
      <c r="DJ186" s="3">
        <f t="shared" ca="1" si="17"/>
        <v>21</v>
      </c>
      <c r="DK186" s="3"/>
      <c r="DL186" s="3"/>
      <c r="DM186" s="3"/>
      <c r="DN186" s="3"/>
      <c r="DO186" s="3"/>
      <c r="DP186" s="3"/>
    </row>
    <row r="187" spans="1:120">
      <c r="A187" t="s">
        <v>978</v>
      </c>
      <c r="B187" t="str">
        <f>REPLACE(Table1[[#This Row],[Order_ID]],1,3,"YOO")</f>
        <v>YOO10186</v>
      </c>
      <c r="C187" t="str">
        <f>MID(Table1[[#This Row],[Order_ID]],4,4)</f>
        <v>1018</v>
      </c>
      <c r="D187" t="str">
        <f>LEFT(Table1[[#This Row],[Order_ID]],4)</f>
        <v>ORD1</v>
      </c>
      <c r="E187" t="str">
        <f>RIGHT(Table1[[#This Row],[Order_ID]],5)</f>
        <v>10186</v>
      </c>
      <c r="F187" t="s">
        <v>5</v>
      </c>
      <c r="G187">
        <v>10186</v>
      </c>
      <c r="H187" t="s">
        <v>979</v>
      </c>
      <c r="I187" s="2">
        <f>EDATE(Table1[[#This Row],[Order_Date]],3)</f>
        <v>46300</v>
      </c>
      <c r="J187" s="2">
        <f>EDATE(Table1[[#This Row],[Order_Date]],6)</f>
        <v>46392</v>
      </c>
      <c r="K187">
        <f ca="1">YEAR(Table1[[#This Row],[Today]])</f>
        <v>2026</v>
      </c>
      <c r="L187">
        <v>186</v>
      </c>
      <c r="M187">
        <f ca="1">DAY(Table1[[#This Row],[Today]])</f>
        <v>11</v>
      </c>
      <c r="N187" s="19">
        <f t="shared" ca="1" si="20"/>
        <v>46245.589795370368</v>
      </c>
      <c r="O187" s="2">
        <f t="shared" ca="1" si="15"/>
        <v>46245</v>
      </c>
      <c r="P187" s="17">
        <f ca="1">Table1[[#This Row],[Today]]-Table1[[#This Row],[Order_Date]]</f>
        <v>37</v>
      </c>
      <c r="Q187" s="2">
        <v>45843</v>
      </c>
      <c r="R187" s="2">
        <v>46208</v>
      </c>
      <c r="S187" s="6">
        <f t="shared" si="18"/>
        <v>2026</v>
      </c>
      <c r="T187" s="7" t="str">
        <f t="shared" si="19"/>
        <v>July</v>
      </c>
      <c r="U187" s="2">
        <f>WORKDAY(Table1[[#This Row],[Order_Date]],5)</f>
        <v>46213</v>
      </c>
      <c r="V187" s="7" t="str">
        <f>CONCATENATE(Table1[[#This Row],[Customer_ID]],Table1[[#This Row],[Customer_Name]])</f>
        <v>C1037Nitin Soni</v>
      </c>
      <c r="W187" t="s">
        <v>557</v>
      </c>
      <c r="X187" t="s">
        <v>144</v>
      </c>
      <c r="Y187">
        <f>COUNTA(Table1[[#This Row],[Customer_Name]])</f>
        <v>1</v>
      </c>
      <c r="Z187" t="str">
        <f>SUBSTITUTE(Table1[[#This Row],[Customer_Name]]," ","_")</f>
        <v>Nitin_Soni</v>
      </c>
      <c r="AA187" s="10" t="str">
        <f>IFERROR(SEARCH("a",Table1[[#This Row],[Customer_Name]]),"N/A")</f>
        <v>N/A</v>
      </c>
      <c r="AB187">
        <f>SEARCH(" ",Table1[[#This Row],[Customer_Name]])</f>
        <v>6</v>
      </c>
      <c r="AC187" s="11" t="str">
        <f>IFERROR(FIND("a",Table1[[#This Row],[Customer_Name]]),"N/A")</f>
        <v>N/A</v>
      </c>
      <c r="AD187">
        <f>FIND(" ",Table1[[#This Row],[Customer_Name]])</f>
        <v>6</v>
      </c>
      <c r="AE187" t="str">
        <f>TRIM(Table1[[#This Row],[Customer_Name]])</f>
        <v>Nitin Soni</v>
      </c>
      <c r="AF187">
        <f>LEN(Table1[[#This Row],[Trimmed]])</f>
        <v>10</v>
      </c>
      <c r="AG187">
        <f>MAX(Table1[Length])</f>
        <v>15</v>
      </c>
      <c r="AH187" t="str">
        <f>PROPER(Table1[[#This Row],[Customer_Name]])</f>
        <v>Nitin Soni</v>
      </c>
      <c r="AI187" t="str">
        <f>LOWER(Table1[[#This Row],[Customer_Name]])</f>
        <v>nitin soni</v>
      </c>
      <c r="AJ187" t="str">
        <f>UPPER(Table1[[#This Row],[Customer_Name]])</f>
        <v>NITIN SONI</v>
      </c>
      <c r="AK187" t="str">
        <f>CONCATENATE(Table1[[#This Row],[Customer_ID]],Table1[[#This Row],[Customer_Name]])</f>
        <v>C1037Nitin Soni</v>
      </c>
      <c r="AL187" t="s">
        <v>145</v>
      </c>
      <c r="AM187" t="s">
        <v>146</v>
      </c>
      <c r="AN187" t="s">
        <v>147</v>
      </c>
      <c r="AO187" t="s">
        <v>145</v>
      </c>
      <c r="AP187" t="s">
        <v>146</v>
      </c>
      <c r="AQ187" t="s">
        <v>569</v>
      </c>
      <c r="AR187" t="str">
        <f>TRIM(Table1[[#This Row],[City]])</f>
        <v>Delhi</v>
      </c>
      <c r="AS187" t="str">
        <f>PROPER(Table1[[#This Row],[City]])</f>
        <v>Delhi</v>
      </c>
      <c r="AT187" t="s">
        <v>569</v>
      </c>
      <c r="AU187" t="str">
        <f>CONCATENATE(Table1[[#This Row],[City]],Table1[[#This Row],[State]])</f>
        <v>DelhiDelhi</v>
      </c>
      <c r="AV187" t="s">
        <v>150</v>
      </c>
      <c r="AW187" t="s">
        <v>236</v>
      </c>
      <c r="AX187" t="str">
        <f>REPLACE(Table1[[#This Row],[Product_ID]],1,1,"s")</f>
        <v>s107</v>
      </c>
      <c r="AY187" t="s">
        <v>980</v>
      </c>
      <c r="AZ187">
        <f>SEARCH("-",Table1[[#This Row],[Product ID]])</f>
        <v>2</v>
      </c>
      <c r="BA187">
        <f>FIND("-",Table1[[#This Row],[Product ID]])</f>
        <v>2</v>
      </c>
      <c r="BB187" t="str">
        <f>MID(Table1[[#This Row],[Product_ID]],2,3)</f>
        <v>107</v>
      </c>
      <c r="BC187" t="str">
        <f>RIGHT(Table1[[#This Row],[Product_ID]],3)</f>
        <v>107</v>
      </c>
      <c r="BD187" t="str">
        <f>LEFT(Table1[[#This Row],[Product_ID]],3)</f>
        <v>P10</v>
      </c>
      <c r="BE187" t="str">
        <f>_xlfn.XLOOKUP(Table1[[#This Row],[Product_ID]],AW:AW,BF:BF,,0)</f>
        <v>Casual Sneakers</v>
      </c>
      <c r="BF187" t="s">
        <v>238</v>
      </c>
      <c r="BG187">
        <f>LEN(Table1[[#This Row],[Product_Name]])</f>
        <v>15</v>
      </c>
      <c r="BH187" t="s">
        <v>224</v>
      </c>
      <c r="BI187">
        <f t="shared" si="21"/>
        <v>75</v>
      </c>
      <c r="BJ187" t="str">
        <f>SUBSTITUTE(Table1[[#This Row],[Category]],"Electronics","ELECTRONICS")</f>
        <v>Fashion</v>
      </c>
      <c r="BN187" t="s">
        <v>225</v>
      </c>
      <c r="BS187" s="14">
        <v>4</v>
      </c>
      <c r="BT187" s="3">
        <v>2799</v>
      </c>
      <c r="BU187" s="4">
        <v>10</v>
      </c>
      <c r="BV187" s="4" t="str">
        <f>IF(AND(Table1[[#This Row],[Quantity]]&gt;=3,Table1[[#This Row],[Discount_%]]&gt;=15%),"Bulk Discount","no")</f>
        <v>Bulk Discount</v>
      </c>
      <c r="BW187" s="4" t="str">
        <f>IF(AND(Table1[[#This Row],[Quantity]]&gt;3,Table1[[#This Row],[Discount_%]]&gt;15%),"Bulk Customer","Normal")</f>
        <v>Bulk Customer</v>
      </c>
      <c r="BX187" t="s">
        <v>172</v>
      </c>
      <c r="BY187" t="s">
        <v>193</v>
      </c>
      <c r="CC187" t="str">
        <f>IF(OR(Table1[[#This Row],[Order_Status]]="Returned",Table1[[#This Row],[Order_Status]]="Cancelled"),"Attention Required","Not")</f>
        <v>Not</v>
      </c>
      <c r="CD187" t="str">
        <f>IF(OR(Table1[[#This Row],[Order_Status]]="Returned",Table1[[#This Row],[Order_Status]]="Cancelled"),"Review","no")</f>
        <v>no</v>
      </c>
      <c r="CE187" t="str">
        <f>SUBSTITUTE(Table1[[#This Row],[Order_Status]],"Delivered","Completed")</f>
        <v>Shipped</v>
      </c>
      <c r="CF187" s="2">
        <v>46212</v>
      </c>
      <c r="CG187" s="17">
        <f>NETWORKDAYS(Table1[[#This Row],[Order_Date]],Table1[[#This Row],[Delivery_Date]])</f>
        <v>4</v>
      </c>
      <c r="CH187" s="17">
        <f>Table1[[#This Row],[Delivery_Date]]-Table1[[#This Row],[Order_Date]]</f>
        <v>4</v>
      </c>
      <c r="CI187" t="s">
        <v>137</v>
      </c>
      <c r="CJ187" t="str">
        <f>IF(Table1[[#This Row],[Rating]]&gt;=4,"Good","Needs Improvement")</f>
        <v>Good</v>
      </c>
      <c r="CK187" t="str">
        <f>IF(OR(Table1[[#This Row],[Rating]]&lt;=2,Table1[[#This Row],[Profit]]&lt;0),"Review","NO")</f>
        <v>NO</v>
      </c>
      <c r="CL187" t="str" cm="1">
        <f t="array" ref="CL187">_xlfn.IFS(Table1[[#This Row],[Rating]]&gt;2,"Poor",Table1[[#This Row],[Rating]]=3,"Average",Table1[[#This Row],[Rating]]=4,"Good",CP187=5,"Excellent")</f>
        <v>Poor</v>
      </c>
      <c r="CM187">
        <f>COUNT(Table1[[#This Row],[Rating]])</f>
        <v>1</v>
      </c>
      <c r="CN187">
        <f>COUNTBLANK(Table1[[#This Row],[Rating]])</f>
        <v>0</v>
      </c>
      <c r="CP187" t="s">
        <v>266</v>
      </c>
      <c r="CQ187" s="14">
        <v>4</v>
      </c>
      <c r="CR187" t="s">
        <v>173</v>
      </c>
      <c r="CS187" t="s">
        <v>267</v>
      </c>
      <c r="CU187" s="3">
        <v>10076.4</v>
      </c>
      <c r="CV187" s="3">
        <f>ROUND(Table1[[#This Row],[Sales_Amount]],0)</f>
        <v>10076</v>
      </c>
      <c r="CW187" s="3"/>
      <c r="CX187" s="3"/>
      <c r="CY187" s="3" t="str">
        <f>IF(AND(Table1[[#This Row],[Sales_Amount]]&gt;=10000,Table1[[#This Row],[Profit]]&gt;0),"Good Order")</f>
        <v>Good Order</v>
      </c>
      <c r="CZ187" s="3" t="str">
        <f>IF(Table1[[#This Row],[Sales_Amount]]&gt;=10000,"High","Normal")</f>
        <v>High</v>
      </c>
      <c r="DA187" s="3">
        <v>4076.4</v>
      </c>
      <c r="DB187" s="3">
        <f>ROUND(Table1[[#This Row],[Profit]],0)</f>
        <v>4076</v>
      </c>
      <c r="DC187" s="3">
        <f>ABS(Table1[[#This Row],[Profit]])</f>
        <v>4076.4</v>
      </c>
      <c r="DD187" s="3"/>
      <c r="DE187" s="3"/>
      <c r="DF187" s="3"/>
      <c r="DG187" s="3" t="str">
        <f>IF(Table1[[#This Row],[Profit]]&gt;0,"Profit","Loss")</f>
        <v>Profit</v>
      </c>
      <c r="DH187" s="3" t="str">
        <f>IF(AND(Table1[[#This Row],[Sales_Amount]]&gt;=10000,Table1[[#This Row],[Profit]]&gt;0),"Priority","Normal")</f>
        <v>Priority</v>
      </c>
      <c r="DI187" s="3">
        <f t="shared" ca="1" si="16"/>
        <v>0.97375092726282653</v>
      </c>
      <c r="DJ187" s="3">
        <f t="shared" ca="1" si="17"/>
        <v>65</v>
      </c>
      <c r="DK187" s="3"/>
      <c r="DL187" s="3"/>
      <c r="DM187" s="3"/>
      <c r="DN187" s="3"/>
      <c r="DO187" s="3"/>
      <c r="DP187" s="3"/>
    </row>
    <row r="188" spans="1:120">
      <c r="A188" t="s">
        <v>981</v>
      </c>
      <c r="B188" t="str">
        <f>REPLACE(Table1[[#This Row],[Order_ID]],1,3,"YOO")</f>
        <v>YOO10187</v>
      </c>
      <c r="C188" t="str">
        <f>MID(Table1[[#This Row],[Order_ID]],4,4)</f>
        <v>1018</v>
      </c>
      <c r="D188" t="str">
        <f>LEFT(Table1[[#This Row],[Order_ID]],4)</f>
        <v>ORD1</v>
      </c>
      <c r="E188" t="str">
        <f>RIGHT(Table1[[#This Row],[Order_ID]],5)</f>
        <v>10187</v>
      </c>
      <c r="F188" t="s">
        <v>5</v>
      </c>
      <c r="G188">
        <v>10187</v>
      </c>
      <c r="H188" t="s">
        <v>982</v>
      </c>
      <c r="I188" s="2">
        <f>EDATE(Table1[[#This Row],[Order_Date]],3)</f>
        <v>45887</v>
      </c>
      <c r="J188" s="2">
        <f>EDATE(Table1[[#This Row],[Order_Date]],6)</f>
        <v>45979</v>
      </c>
      <c r="K188">
        <f ca="1">YEAR(Table1[[#This Row],[Today]])</f>
        <v>2026</v>
      </c>
      <c r="L188">
        <v>187</v>
      </c>
      <c r="M188">
        <f ca="1">DAY(Table1[[#This Row],[Today]])</f>
        <v>11</v>
      </c>
      <c r="N188" s="19">
        <f t="shared" ca="1" si="20"/>
        <v>46245.589795138891</v>
      </c>
      <c r="O188" s="2">
        <f t="shared" ca="1" si="15"/>
        <v>46245</v>
      </c>
      <c r="P188" s="17">
        <f ca="1">Table1[[#This Row],[Today]]-Table1[[#This Row],[Order_Date]]</f>
        <v>450</v>
      </c>
      <c r="Q188" s="2">
        <v>45844</v>
      </c>
      <c r="R188" s="2">
        <v>45795</v>
      </c>
      <c r="S188" s="6">
        <f t="shared" si="18"/>
        <v>2025</v>
      </c>
      <c r="T188" s="7" t="str">
        <f t="shared" si="19"/>
        <v>May</v>
      </c>
      <c r="U188" s="2">
        <f>WORKDAY(Table1[[#This Row],[Order_Date]],5)</f>
        <v>45800</v>
      </c>
      <c r="V188" s="7" t="str">
        <f>CONCATENATE(Table1[[#This Row],[Customer_ID]],Table1[[#This Row],[Customer_Name]])</f>
        <v>C1021Nitin Soni</v>
      </c>
      <c r="W188" t="s">
        <v>940</v>
      </c>
      <c r="X188" t="s">
        <v>144</v>
      </c>
      <c r="Y188">
        <f>COUNTA(Table1[[#This Row],[Customer_Name]])</f>
        <v>1</v>
      </c>
      <c r="Z188" t="str">
        <f>SUBSTITUTE(Table1[[#This Row],[Customer_Name]]," ","_")</f>
        <v>Nitin_Soni</v>
      </c>
      <c r="AA188" s="10" t="str">
        <f>IFERROR(SEARCH("a",Table1[[#This Row],[Customer_Name]]),"N/A")</f>
        <v>N/A</v>
      </c>
      <c r="AB188">
        <f>SEARCH(" ",Table1[[#This Row],[Customer_Name]])</f>
        <v>6</v>
      </c>
      <c r="AC188" s="11" t="str">
        <f>IFERROR(FIND("a",Table1[[#This Row],[Customer_Name]]),"N/A")</f>
        <v>N/A</v>
      </c>
      <c r="AD188">
        <f>FIND(" ",Table1[[#This Row],[Customer_Name]])</f>
        <v>6</v>
      </c>
      <c r="AE188" t="str">
        <f>TRIM(Table1[[#This Row],[Customer_Name]])</f>
        <v>Nitin Soni</v>
      </c>
      <c r="AF188">
        <f>LEN(Table1[[#This Row],[Trimmed]])</f>
        <v>10</v>
      </c>
      <c r="AG188">
        <f>MAX(Table1[Length])</f>
        <v>15</v>
      </c>
      <c r="AH188" t="str">
        <f>PROPER(Table1[[#This Row],[Customer_Name]])</f>
        <v>Nitin Soni</v>
      </c>
      <c r="AI188" t="str">
        <f>LOWER(Table1[[#This Row],[Customer_Name]])</f>
        <v>nitin soni</v>
      </c>
      <c r="AJ188" t="str">
        <f>UPPER(Table1[[#This Row],[Customer_Name]])</f>
        <v>NITIN SONI</v>
      </c>
      <c r="AK188" t="str">
        <f>CONCATENATE(Table1[[#This Row],[Customer_ID]],Table1[[#This Row],[Customer_Name]])</f>
        <v>C1021Nitin Soni</v>
      </c>
      <c r="AL188" t="s">
        <v>145</v>
      </c>
      <c r="AM188" t="s">
        <v>146</v>
      </c>
      <c r="AN188" t="s">
        <v>147</v>
      </c>
      <c r="AO188" t="s">
        <v>145</v>
      </c>
      <c r="AP188" t="s">
        <v>146</v>
      </c>
      <c r="AQ188" t="s">
        <v>304</v>
      </c>
      <c r="AR188" t="str">
        <f>TRIM(Table1[[#This Row],[City]])</f>
        <v>Chennai</v>
      </c>
      <c r="AS188" t="str">
        <f>PROPER(Table1[[#This Row],[City]])</f>
        <v>Chennai</v>
      </c>
      <c r="AT188" t="s">
        <v>305</v>
      </c>
      <c r="AU188" t="str">
        <f>CONCATENATE(Table1[[#This Row],[City]],Table1[[#This Row],[State]])</f>
        <v>ChennaiTamil Nadu</v>
      </c>
      <c r="AV188" t="s">
        <v>168</v>
      </c>
      <c r="AW188" t="s">
        <v>477</v>
      </c>
      <c r="AX188" t="str">
        <f>REPLACE(Table1[[#This Row],[Product_ID]],1,1,"s")</f>
        <v>s109</v>
      </c>
      <c r="AY188" t="s">
        <v>983</v>
      </c>
      <c r="AZ188">
        <f>SEARCH("-",Table1[[#This Row],[Product ID]])</f>
        <v>2</v>
      </c>
      <c r="BA188">
        <f>FIND("-",Table1[[#This Row],[Product ID]])</f>
        <v>2</v>
      </c>
      <c r="BB188" t="str">
        <f>MID(Table1[[#This Row],[Product_ID]],2,3)</f>
        <v>109</v>
      </c>
      <c r="BC188" t="str">
        <f>RIGHT(Table1[[#This Row],[Product_ID]],3)</f>
        <v>109</v>
      </c>
      <c r="BD188" t="str">
        <f>LEFT(Table1[[#This Row],[Product_ID]],3)</f>
        <v>P10</v>
      </c>
      <c r="BE188" t="str">
        <f>_xlfn.XLOOKUP(Table1[[#This Row],[Product_ID]],AW:AW,BF:BF,,0)</f>
        <v>Backpack</v>
      </c>
      <c r="BF188" t="s">
        <v>479</v>
      </c>
      <c r="BG188">
        <f>LEN(Table1[[#This Row],[Product_Name]])</f>
        <v>8</v>
      </c>
      <c r="BH188" t="s">
        <v>224</v>
      </c>
      <c r="BI188">
        <f t="shared" si="21"/>
        <v>75</v>
      </c>
      <c r="BJ188" t="str">
        <f>SUBSTITUTE(Table1[[#This Row],[Category]],"Electronics","ELECTRONICS")</f>
        <v>Fashion</v>
      </c>
      <c r="BN188" t="s">
        <v>480</v>
      </c>
      <c r="BS188" s="14">
        <v>4</v>
      </c>
      <c r="BT188" s="3">
        <v>2299</v>
      </c>
      <c r="BU188" s="4">
        <v>10</v>
      </c>
      <c r="BV188" s="4" t="str">
        <f>IF(AND(Table1[[#This Row],[Quantity]]&gt;=3,Table1[[#This Row],[Discount_%]]&gt;=15%),"Bulk Discount","no")</f>
        <v>Bulk Discount</v>
      </c>
      <c r="BW188" s="4" t="str">
        <f>IF(AND(Table1[[#This Row],[Quantity]]&gt;3,Table1[[#This Row],[Discount_%]]&gt;15%),"Bulk Customer","Normal")</f>
        <v>Bulk Customer</v>
      </c>
      <c r="BX188" t="s">
        <v>192</v>
      </c>
      <c r="BY188" t="s">
        <v>136</v>
      </c>
      <c r="CC188" t="str">
        <f>IF(OR(Table1[[#This Row],[Order_Status]]="Returned",Table1[[#This Row],[Order_Status]]="Cancelled"),"Attention Required","Not")</f>
        <v>Not</v>
      </c>
      <c r="CD188" t="str">
        <f>IF(OR(Table1[[#This Row],[Order_Status]]="Returned",Table1[[#This Row],[Order_Status]]="Cancelled"),"Review","no")</f>
        <v>no</v>
      </c>
      <c r="CE188" t="str">
        <f>SUBSTITUTE(Table1[[#This Row],[Order_Status]],"Delivered","Completed")</f>
        <v>Completed</v>
      </c>
      <c r="CF188" s="2">
        <v>45799</v>
      </c>
      <c r="CG188" s="17">
        <f>NETWORKDAYS(Table1[[#This Row],[Order_Date]],Table1[[#This Row],[Delivery_Date]])</f>
        <v>4</v>
      </c>
      <c r="CH188" s="17">
        <f>Table1[[#This Row],[Delivery_Date]]-Table1[[#This Row],[Order_Date]]</f>
        <v>4</v>
      </c>
      <c r="CI188" t="s">
        <v>137</v>
      </c>
      <c r="CJ188" t="str">
        <f>IF(Table1[[#This Row],[Rating]]&gt;=4,"Good","Needs Improvement")</f>
        <v>Needs Improvement</v>
      </c>
      <c r="CK188" t="str">
        <f>IF(OR(Table1[[#This Row],[Rating]]&lt;=2,Table1[[#This Row],[Profit]]&lt;0),"Review","NO")</f>
        <v>Review</v>
      </c>
      <c r="CL188" t="e" cm="1">
        <f t="array" ref="CL188">_xlfn.IFS(Table1[[#This Row],[Rating]]&gt;2,"Poor",Table1[[#This Row],[Rating]]=3,"Average",Table1[[#This Row],[Rating]]=4,"Good",CP188=5,"Excellent")</f>
        <v>#N/A</v>
      </c>
      <c r="CM188">
        <f>COUNT(Table1[[#This Row],[Rating]])</f>
        <v>0</v>
      </c>
      <c r="CN188">
        <f>COUNTBLANK(Table1[[#This Row],[Rating]])</f>
        <v>1</v>
      </c>
      <c r="CP188" t="s">
        <v>331</v>
      </c>
      <c r="CR188" t="s">
        <v>204</v>
      </c>
      <c r="CS188" t="s">
        <v>213</v>
      </c>
      <c r="CU188" s="3">
        <v>8276.4</v>
      </c>
      <c r="CV188" s="3">
        <f>ROUND(Table1[[#This Row],[Sales_Amount]],0)</f>
        <v>8276</v>
      </c>
      <c r="CW188" s="3"/>
      <c r="CX188" s="3"/>
      <c r="CY188" s="3" t="b">
        <f>IF(AND(Table1[[#This Row],[Sales_Amount]]&gt;=10000,Table1[[#This Row],[Profit]]&gt;0),"Good Order")</f>
        <v>0</v>
      </c>
      <c r="CZ188" s="3" t="str">
        <f>IF(Table1[[#This Row],[Sales_Amount]]&gt;=10000,"High","Normal")</f>
        <v>Normal</v>
      </c>
      <c r="DA188" s="3">
        <v>3276.4</v>
      </c>
      <c r="DB188" s="3">
        <f>ROUND(Table1[[#This Row],[Profit]],0)</f>
        <v>3276</v>
      </c>
      <c r="DC188" s="3">
        <f>ABS(Table1[[#This Row],[Profit]])</f>
        <v>3276.4</v>
      </c>
      <c r="DD188" s="3"/>
      <c r="DE188" s="3"/>
      <c r="DF188" s="3"/>
      <c r="DG188" s="3" t="str">
        <f>IF(Table1[[#This Row],[Profit]]&gt;0,"Profit","Loss")</f>
        <v>Profit</v>
      </c>
      <c r="DH188" s="3" t="str">
        <f>IF(AND(Table1[[#This Row],[Sales_Amount]]&gt;=10000,Table1[[#This Row],[Profit]]&gt;0),"Priority","Normal")</f>
        <v>Normal</v>
      </c>
      <c r="DI188" s="3">
        <f t="shared" ca="1" si="16"/>
        <v>0.53400464356095734</v>
      </c>
      <c r="DJ188" s="3">
        <f t="shared" ca="1" si="17"/>
        <v>45</v>
      </c>
      <c r="DK188" s="3"/>
      <c r="DL188" s="3"/>
      <c r="DM188" s="3"/>
      <c r="DN188" s="3"/>
      <c r="DO188" s="3"/>
      <c r="DP188" s="3"/>
    </row>
    <row r="189" spans="1:120">
      <c r="A189" t="s">
        <v>984</v>
      </c>
      <c r="B189" t="str">
        <f>REPLACE(Table1[[#This Row],[Order_ID]],1,3,"YOO")</f>
        <v>YOO10188</v>
      </c>
      <c r="C189" t="str">
        <f>MID(Table1[[#This Row],[Order_ID]],4,4)</f>
        <v>1018</v>
      </c>
      <c r="D189" t="str">
        <f>LEFT(Table1[[#This Row],[Order_ID]],4)</f>
        <v>ORD1</v>
      </c>
      <c r="E189" t="str">
        <f>RIGHT(Table1[[#This Row],[Order_ID]],5)</f>
        <v>10188</v>
      </c>
      <c r="F189" t="s">
        <v>5</v>
      </c>
      <c r="G189">
        <v>10188</v>
      </c>
      <c r="H189" t="s">
        <v>985</v>
      </c>
      <c r="I189" s="2">
        <f>EDATE(Table1[[#This Row],[Order_Date]],3)</f>
        <v>45799</v>
      </c>
      <c r="J189" s="2">
        <f>EDATE(Table1[[#This Row],[Order_Date]],6)</f>
        <v>45891</v>
      </c>
      <c r="K189">
        <f ca="1">YEAR(Table1[[#This Row],[Today]])</f>
        <v>2026</v>
      </c>
      <c r="L189">
        <v>188</v>
      </c>
      <c r="M189">
        <f ca="1">DAY(Table1[[#This Row],[Today]])</f>
        <v>11</v>
      </c>
      <c r="N189" s="19">
        <f t="shared" ca="1" si="20"/>
        <v>46245.589795370368</v>
      </c>
      <c r="O189" s="2">
        <f t="shared" ca="1" si="15"/>
        <v>46245</v>
      </c>
      <c r="P189" s="17">
        <f ca="1">Table1[[#This Row],[Today]]-Table1[[#This Row],[Order_Date]]</f>
        <v>535</v>
      </c>
      <c r="Q189" s="2">
        <v>45845</v>
      </c>
      <c r="R189" s="2">
        <v>45710</v>
      </c>
      <c r="S189" s="6">
        <f t="shared" si="18"/>
        <v>2025</v>
      </c>
      <c r="T189" s="7" t="str">
        <f t="shared" si="19"/>
        <v>February</v>
      </c>
      <c r="U189" s="2">
        <f>WORKDAY(Table1[[#This Row],[Order_Date]],5)</f>
        <v>45716</v>
      </c>
      <c r="V189" s="7" t="str">
        <f>CONCATENATE(Table1[[#This Row],[Customer_ID]],Table1[[#This Row],[Customer_Name]])</f>
        <v>C1049Varun Tiwari</v>
      </c>
      <c r="W189" t="s">
        <v>303</v>
      </c>
      <c r="X189" t="s">
        <v>178</v>
      </c>
      <c r="Y189">
        <f>COUNTA(Table1[[#This Row],[Customer_Name]])</f>
        <v>1</v>
      </c>
      <c r="Z189" t="str">
        <f>SUBSTITUTE(Table1[[#This Row],[Customer_Name]]," ","_")</f>
        <v>Varun_Tiwari</v>
      </c>
      <c r="AA189" s="10">
        <f>IFERROR(SEARCH("a",Table1[[#This Row],[Customer_Name]]),"N/A")</f>
        <v>2</v>
      </c>
      <c r="AB189">
        <f>SEARCH(" ",Table1[[#This Row],[Customer_Name]])</f>
        <v>6</v>
      </c>
      <c r="AC189" s="11">
        <f>IFERROR(FIND("a",Table1[[#This Row],[Customer_Name]]),"N/A")</f>
        <v>2</v>
      </c>
      <c r="AD189">
        <f>FIND(" ",Table1[[#This Row],[Customer_Name]])</f>
        <v>6</v>
      </c>
      <c r="AE189" t="str">
        <f>TRIM(Table1[[#This Row],[Customer_Name]])</f>
        <v>Varun Tiwari</v>
      </c>
      <c r="AF189">
        <f>LEN(Table1[[#This Row],[Trimmed]])</f>
        <v>12</v>
      </c>
      <c r="AG189">
        <f>MAX(Table1[Length])</f>
        <v>15</v>
      </c>
      <c r="AH189" t="str">
        <f>PROPER(Table1[[#This Row],[Customer_Name]])</f>
        <v>Varun Tiwari</v>
      </c>
      <c r="AI189" t="str">
        <f>LOWER(Table1[[#This Row],[Customer_Name]])</f>
        <v>varun tiwari</v>
      </c>
      <c r="AJ189" t="str">
        <f>UPPER(Table1[[#This Row],[Customer_Name]])</f>
        <v>VARUN TIWARI</v>
      </c>
      <c r="AK189" t="str">
        <f>CONCATENATE(Table1[[#This Row],[Customer_ID]],Table1[[#This Row],[Customer_Name]])</f>
        <v>C1049Varun Tiwari</v>
      </c>
      <c r="AL189" t="s">
        <v>179</v>
      </c>
      <c r="AM189" t="s">
        <v>180</v>
      </c>
      <c r="AN189" t="s">
        <v>181</v>
      </c>
      <c r="AO189" t="s">
        <v>179</v>
      </c>
      <c r="AP189" t="s">
        <v>180</v>
      </c>
      <c r="AQ189" t="s">
        <v>986</v>
      </c>
      <c r="AR189" t="str">
        <f>TRIM(Table1[[#This Row],[City]])</f>
        <v>Jaipur</v>
      </c>
      <c r="AS189" t="str">
        <f>PROPER(Table1[[#This Row],[City]])</f>
        <v xml:space="preserve"> Jaipur </v>
      </c>
      <c r="AT189" t="s">
        <v>149</v>
      </c>
      <c r="AU189" t="str">
        <f>CONCATENATE(Table1[[#This Row],[City]],Table1[[#This Row],[State]])</f>
        <v xml:space="preserve"> Jaipur Rajasthan</v>
      </c>
      <c r="AV189" t="s">
        <v>150</v>
      </c>
      <c r="AW189" t="s">
        <v>261</v>
      </c>
      <c r="AX189" t="str">
        <f>REPLACE(Table1[[#This Row],[Product_ID]],1,1,"s")</f>
        <v>s114</v>
      </c>
      <c r="AY189" t="s">
        <v>987</v>
      </c>
      <c r="AZ189">
        <f>SEARCH("-",Table1[[#This Row],[Product ID]])</f>
        <v>2</v>
      </c>
      <c r="BA189">
        <f>FIND("-",Table1[[#This Row],[Product ID]])</f>
        <v>2</v>
      </c>
      <c r="BB189" t="str">
        <f>MID(Table1[[#This Row],[Product_ID]],2,3)</f>
        <v>114</v>
      </c>
      <c r="BC189" t="str">
        <f>RIGHT(Table1[[#This Row],[Product_ID]],3)</f>
        <v>114</v>
      </c>
      <c r="BD189" t="str">
        <f>LEFT(Table1[[#This Row],[Product_ID]],3)</f>
        <v>P11</v>
      </c>
      <c r="BE189" t="str">
        <f>_xlfn.XLOOKUP(Table1[[#This Row],[Product_ID]],AW:AW,BF:BF,,0)</f>
        <v>Yoga Mat</v>
      </c>
      <c r="BF189" t="s">
        <v>263</v>
      </c>
      <c r="BG189">
        <f>LEN(Table1[[#This Row],[Product_Name]])</f>
        <v>8</v>
      </c>
      <c r="BH189" t="s">
        <v>264</v>
      </c>
      <c r="BI189">
        <f t="shared" si="21"/>
        <v>75</v>
      </c>
      <c r="BJ189" t="str">
        <f>SUBSTITUTE(Table1[[#This Row],[Category]],"Electronics","ELECTRONICS")</f>
        <v>Sports</v>
      </c>
      <c r="BN189" t="s">
        <v>265</v>
      </c>
      <c r="BS189" s="14">
        <v>3</v>
      </c>
      <c r="BT189" s="3">
        <v>999</v>
      </c>
      <c r="BU189" s="4">
        <v>20</v>
      </c>
      <c r="BV189" s="4" t="str">
        <f>IF(AND(Table1[[#This Row],[Quantity]]&gt;=3,Table1[[#This Row],[Discount_%]]&gt;=15%),"Bulk Discount","no")</f>
        <v>Bulk Discount</v>
      </c>
      <c r="BW189" s="4" t="str">
        <f>IF(AND(Table1[[#This Row],[Quantity]]&gt;3,Table1[[#This Row],[Discount_%]]&gt;15%),"Bulk Customer","Normal")</f>
        <v>Normal</v>
      </c>
      <c r="BX189" t="s">
        <v>135</v>
      </c>
      <c r="BY189" t="s">
        <v>374</v>
      </c>
      <c r="CC189" t="str">
        <f>IF(OR(Table1[[#This Row],[Order_Status]]="Returned",Table1[[#This Row],[Order_Status]]="Cancelled"),"Attention Required","Not")</f>
        <v>Attention Required</v>
      </c>
      <c r="CD189" t="str">
        <f>IF(OR(Table1[[#This Row],[Order_Status]]="Returned",Table1[[#This Row],[Order_Status]]="Cancelled"),"Review","no")</f>
        <v>Review</v>
      </c>
      <c r="CE189" t="str">
        <f>SUBSTITUTE(Table1[[#This Row],[Order_Status]],"Delivered","Completed")</f>
        <v>Returned</v>
      </c>
      <c r="CF189" s="2">
        <v>45711</v>
      </c>
      <c r="CG189" s="17">
        <f>NETWORKDAYS(Table1[[#This Row],[Order_Date]],Table1[[#This Row],[Delivery_Date]])</f>
        <v>0</v>
      </c>
      <c r="CH189" s="17">
        <f>Table1[[#This Row],[Delivery_Date]]-Table1[[#This Row],[Order_Date]]</f>
        <v>1</v>
      </c>
      <c r="CI189" t="s">
        <v>375</v>
      </c>
      <c r="CJ189" t="str">
        <f>IF(Table1[[#This Row],[Rating]]&gt;=4,"Good","Needs Improvement")</f>
        <v>Needs Improvement</v>
      </c>
      <c r="CK189" t="str">
        <f>IF(OR(Table1[[#This Row],[Rating]]&lt;=2,Table1[[#This Row],[Profit]]&lt;0),"Review","NO")</f>
        <v>Review</v>
      </c>
      <c r="CL189" t="e" cm="1">
        <f t="array" ref="CL189">_xlfn.IFS(Table1[[#This Row],[Rating]]&gt;2,"Poor",Table1[[#This Row],[Rating]]=3,"Average",Table1[[#This Row],[Rating]]=4,"Good",CP189=5,"Excellent")</f>
        <v>#N/A</v>
      </c>
      <c r="CM189">
        <f>COUNT(Table1[[#This Row],[Rating]])</f>
        <v>1</v>
      </c>
      <c r="CN189">
        <f>COUNTBLANK(Table1[[#This Row],[Rating]])</f>
        <v>0</v>
      </c>
      <c r="CP189" t="s">
        <v>194</v>
      </c>
      <c r="CQ189" s="14">
        <v>2</v>
      </c>
      <c r="CR189" t="s">
        <v>173</v>
      </c>
      <c r="CS189" t="s">
        <v>158</v>
      </c>
      <c r="CU189" s="3">
        <v>2397.6</v>
      </c>
      <c r="CV189" s="3">
        <f>ROUND(Table1[[#This Row],[Sales_Amount]],0)</f>
        <v>2398</v>
      </c>
      <c r="CW189" s="3"/>
      <c r="CX189" s="3"/>
      <c r="CY189" s="3" t="b">
        <f>IF(AND(Table1[[#This Row],[Sales_Amount]]&gt;=10000,Table1[[#This Row],[Profit]]&gt;0),"Good Order")</f>
        <v>0</v>
      </c>
      <c r="CZ189" s="3" t="str">
        <f>IF(Table1[[#This Row],[Sales_Amount]]&gt;=10000,"High","Normal")</f>
        <v>Normal</v>
      </c>
      <c r="DA189" s="3">
        <v>1047.5999999999999</v>
      </c>
      <c r="DB189" s="3">
        <f>ROUND(Table1[[#This Row],[Profit]],0)</f>
        <v>1048</v>
      </c>
      <c r="DC189" s="3">
        <f>ABS(Table1[[#This Row],[Profit]])</f>
        <v>1047.5999999999999</v>
      </c>
      <c r="DD189" s="3"/>
      <c r="DE189" s="3"/>
      <c r="DF189" s="3"/>
      <c r="DG189" s="3" t="str">
        <f>IF(Table1[[#This Row],[Profit]]&gt;0,"Profit","Loss")</f>
        <v>Profit</v>
      </c>
      <c r="DH189" s="3" t="str">
        <f>IF(AND(Table1[[#This Row],[Sales_Amount]]&gt;=10000,Table1[[#This Row],[Profit]]&gt;0),"Priority","Normal")</f>
        <v>Normal</v>
      </c>
      <c r="DI189" s="3">
        <f t="shared" ca="1" si="16"/>
        <v>0.32498131293972254</v>
      </c>
      <c r="DJ189" s="3">
        <f t="shared" ca="1" si="17"/>
        <v>65</v>
      </c>
      <c r="DK189" s="3"/>
      <c r="DL189" s="3"/>
      <c r="DM189" s="3"/>
      <c r="DN189" s="3"/>
      <c r="DO189" s="3"/>
      <c r="DP189" s="3"/>
    </row>
    <row r="190" spans="1:120">
      <c r="A190" t="s">
        <v>988</v>
      </c>
      <c r="B190" t="str">
        <f>REPLACE(Table1[[#This Row],[Order_ID]],1,3,"YOO")</f>
        <v>YOO10189</v>
      </c>
      <c r="C190" t="str">
        <f>MID(Table1[[#This Row],[Order_ID]],4,4)</f>
        <v>1018</v>
      </c>
      <c r="D190" t="str">
        <f>LEFT(Table1[[#This Row],[Order_ID]],4)</f>
        <v>ORD1</v>
      </c>
      <c r="E190" t="str">
        <f>RIGHT(Table1[[#This Row],[Order_ID]],5)</f>
        <v>10189</v>
      </c>
      <c r="F190" t="s">
        <v>5</v>
      </c>
      <c r="G190">
        <v>10189</v>
      </c>
      <c r="H190" t="s">
        <v>989</v>
      </c>
      <c r="I190" s="2">
        <f>EDATE(Table1[[#This Row],[Order_Date]],3)</f>
        <v>46060</v>
      </c>
      <c r="J190" s="2">
        <f>EDATE(Table1[[#This Row],[Order_Date]],6)</f>
        <v>46149</v>
      </c>
      <c r="K190">
        <f ca="1">YEAR(Table1[[#This Row],[Today]])</f>
        <v>2026</v>
      </c>
      <c r="L190">
        <v>189</v>
      </c>
      <c r="M190">
        <f ca="1">DAY(Table1[[#This Row],[Today]])</f>
        <v>11</v>
      </c>
      <c r="N190" s="19">
        <f t="shared" ca="1" si="20"/>
        <v>46245.589795370368</v>
      </c>
      <c r="O190" s="2">
        <f t="shared" ca="1" si="15"/>
        <v>46245</v>
      </c>
      <c r="P190" s="17">
        <f ca="1">Table1[[#This Row],[Today]]-Table1[[#This Row],[Order_Date]]</f>
        <v>277</v>
      </c>
      <c r="Q190" s="2">
        <v>45846</v>
      </c>
      <c r="R190" s="2">
        <v>45968</v>
      </c>
      <c r="S190" s="6">
        <f t="shared" si="18"/>
        <v>2025</v>
      </c>
      <c r="T190" s="7" t="str">
        <f t="shared" si="19"/>
        <v>November</v>
      </c>
      <c r="U190" s="2">
        <f>WORKDAY(Table1[[#This Row],[Order_Date]],5)</f>
        <v>45975</v>
      </c>
      <c r="V190" s="7" t="str">
        <f>CONCATENATE(Table1[[#This Row],[Customer_ID]],Table1[[#This Row],[Customer_Name]])</f>
        <v>C1063Meera Nair</v>
      </c>
      <c r="W190" t="s">
        <v>589</v>
      </c>
      <c r="X190" t="s">
        <v>429</v>
      </c>
      <c r="Y190">
        <f>COUNTA(Table1[[#This Row],[Customer_Name]])</f>
        <v>1</v>
      </c>
      <c r="Z190" t="str">
        <f>SUBSTITUTE(Table1[[#This Row],[Customer_Name]]," ","_")</f>
        <v>Meera_Nair</v>
      </c>
      <c r="AA190" s="10">
        <f>IFERROR(SEARCH("a",Table1[[#This Row],[Customer_Name]]),"N/A")</f>
        <v>5</v>
      </c>
      <c r="AB190">
        <f>SEARCH(" ",Table1[[#This Row],[Customer_Name]])</f>
        <v>6</v>
      </c>
      <c r="AC190" s="11">
        <f>IFERROR(FIND("a",Table1[[#This Row],[Customer_Name]]),"N/A")</f>
        <v>5</v>
      </c>
      <c r="AD190">
        <f>FIND(" ",Table1[[#This Row],[Customer_Name]])</f>
        <v>6</v>
      </c>
      <c r="AE190" t="str">
        <f>TRIM(Table1[[#This Row],[Customer_Name]])</f>
        <v>Meera Nair</v>
      </c>
      <c r="AF190">
        <f>LEN(Table1[[#This Row],[Trimmed]])</f>
        <v>10</v>
      </c>
      <c r="AG190">
        <f>MAX(Table1[Length])</f>
        <v>15</v>
      </c>
      <c r="AH190" t="str">
        <f>PROPER(Table1[[#This Row],[Customer_Name]])</f>
        <v>Meera Nair</v>
      </c>
      <c r="AI190" t="str">
        <f>LOWER(Table1[[#This Row],[Customer_Name]])</f>
        <v>meera nair</v>
      </c>
      <c r="AJ190" t="str">
        <f>UPPER(Table1[[#This Row],[Customer_Name]])</f>
        <v>MEERA NAIR</v>
      </c>
      <c r="AK190" t="str">
        <f>CONCATENATE(Table1[[#This Row],[Customer_ID]],Table1[[#This Row],[Customer_Name]])</f>
        <v>C1063Meera Nair</v>
      </c>
      <c r="AL190" t="s">
        <v>430</v>
      </c>
      <c r="AM190" t="s">
        <v>431</v>
      </c>
      <c r="AN190" t="s">
        <v>432</v>
      </c>
      <c r="AO190" t="s">
        <v>430</v>
      </c>
      <c r="AP190" t="s">
        <v>431</v>
      </c>
      <c r="AQ190" t="s">
        <v>344</v>
      </c>
      <c r="AR190" t="str">
        <f>TRIM(Table1[[#This Row],[City]])</f>
        <v>Bhopal</v>
      </c>
      <c r="AS190" t="str">
        <f>PROPER(Table1[[#This Row],[City]])</f>
        <v>Bhopal</v>
      </c>
      <c r="AT190" t="s">
        <v>345</v>
      </c>
      <c r="AU190" t="str">
        <f>CONCATENATE(Table1[[#This Row],[City]],Table1[[#This Row],[State]])</f>
        <v>BhopalMadhya Pradesh</v>
      </c>
      <c r="AV190" t="s">
        <v>346</v>
      </c>
      <c r="AW190" t="s">
        <v>261</v>
      </c>
      <c r="AX190" t="str">
        <f>REPLACE(Table1[[#This Row],[Product_ID]],1,1,"s")</f>
        <v>s114</v>
      </c>
      <c r="AY190" t="s">
        <v>990</v>
      </c>
      <c r="AZ190">
        <f>SEARCH("-",Table1[[#This Row],[Product ID]])</f>
        <v>2</v>
      </c>
      <c r="BA190">
        <f>FIND("-",Table1[[#This Row],[Product ID]])</f>
        <v>2</v>
      </c>
      <c r="BB190" t="str">
        <f>MID(Table1[[#This Row],[Product_ID]],2,3)</f>
        <v>114</v>
      </c>
      <c r="BC190" t="str">
        <f>RIGHT(Table1[[#This Row],[Product_ID]],3)</f>
        <v>114</v>
      </c>
      <c r="BD190" t="str">
        <f>LEFT(Table1[[#This Row],[Product_ID]],3)</f>
        <v>P11</v>
      </c>
      <c r="BE190" t="str">
        <f>_xlfn.XLOOKUP(Table1[[#This Row],[Product_ID]],AW:AW,BF:BF,,0)</f>
        <v>Yoga Mat</v>
      </c>
      <c r="BF190" t="s">
        <v>263</v>
      </c>
      <c r="BG190">
        <f>LEN(Table1[[#This Row],[Product_Name]])</f>
        <v>8</v>
      </c>
      <c r="BH190" t="s">
        <v>264</v>
      </c>
      <c r="BI190">
        <f t="shared" si="21"/>
        <v>75</v>
      </c>
      <c r="BJ190" t="str">
        <f>SUBSTITUTE(Table1[[#This Row],[Category]],"Electronics","ELECTRONICS")</f>
        <v>Sports</v>
      </c>
      <c r="BN190" t="s">
        <v>265</v>
      </c>
      <c r="BS190" s="14">
        <v>1</v>
      </c>
      <c r="BT190" s="3">
        <v>999</v>
      </c>
      <c r="BU190" s="4">
        <v>10</v>
      </c>
      <c r="BV190" s="4" t="str">
        <f>IF(AND(Table1[[#This Row],[Quantity]]&gt;=3,Table1[[#This Row],[Discount_%]]&gt;=15%),"Bulk Discount","no")</f>
        <v>no</v>
      </c>
      <c r="BW190" s="4" t="str">
        <f>IF(AND(Table1[[#This Row],[Quantity]]&gt;3,Table1[[#This Row],[Discount_%]]&gt;15%),"Bulk Customer","Normal")</f>
        <v>Normal</v>
      </c>
      <c r="BX190" t="s">
        <v>187</v>
      </c>
      <c r="BY190" t="s">
        <v>136</v>
      </c>
      <c r="CC190" t="str">
        <f>IF(OR(Table1[[#This Row],[Order_Status]]="Returned",Table1[[#This Row],[Order_Status]]="Cancelled"),"Attention Required","Not")</f>
        <v>Not</v>
      </c>
      <c r="CD190" t="str">
        <f>IF(OR(Table1[[#This Row],[Order_Status]]="Returned",Table1[[#This Row],[Order_Status]]="Cancelled"),"Review","no")</f>
        <v>no</v>
      </c>
      <c r="CE190" t="str">
        <f>SUBSTITUTE(Table1[[#This Row],[Order_Status]],"Delivered","Completed")</f>
        <v>Completed</v>
      </c>
      <c r="CF190" s="2">
        <v>45970</v>
      </c>
      <c r="CG190" s="17">
        <f>NETWORKDAYS(Table1[[#This Row],[Order_Date]],Table1[[#This Row],[Delivery_Date]])</f>
        <v>1</v>
      </c>
      <c r="CH190" s="17">
        <f>Table1[[#This Row],[Delivery_Date]]-Table1[[#This Row],[Order_Date]]</f>
        <v>2</v>
      </c>
      <c r="CI190" t="s">
        <v>137</v>
      </c>
      <c r="CJ190" t="str">
        <f>IF(Table1[[#This Row],[Rating]]&gt;=4,"Good","Needs Improvement")</f>
        <v>Needs Improvement</v>
      </c>
      <c r="CK190" t="str">
        <f>IF(OR(Table1[[#This Row],[Rating]]&lt;=2,Table1[[#This Row],[Profit]]&lt;0),"Review","NO")</f>
        <v>Review</v>
      </c>
      <c r="CL190" t="e" cm="1">
        <f t="array" ref="CL190">_xlfn.IFS(Table1[[#This Row],[Rating]]&gt;2,"Poor",Table1[[#This Row],[Rating]]=3,"Average",Table1[[#This Row],[Rating]]=4,"Good",CP190=5,"Excellent")</f>
        <v>#N/A</v>
      </c>
      <c r="CM190">
        <f>COUNT(Table1[[#This Row],[Rating]])</f>
        <v>0</v>
      </c>
      <c r="CN190">
        <f>COUNTBLANK(Table1[[#This Row],[Rating]])</f>
        <v>1</v>
      </c>
      <c r="CP190" t="s">
        <v>138</v>
      </c>
      <c r="CR190" t="s">
        <v>139</v>
      </c>
      <c r="CS190" t="s">
        <v>174</v>
      </c>
      <c r="CU190" s="3">
        <v>899.1</v>
      </c>
      <c r="CV190" s="3">
        <f>ROUND(Table1[[#This Row],[Sales_Amount]],0)</f>
        <v>899</v>
      </c>
      <c r="CW190" s="3"/>
      <c r="CX190" s="3"/>
      <c r="CY190" s="3" t="b">
        <f>IF(AND(Table1[[#This Row],[Sales_Amount]]&gt;=10000,Table1[[#This Row],[Profit]]&gt;0),"Good Order")</f>
        <v>0</v>
      </c>
      <c r="CZ190" s="3" t="str">
        <f>IF(Table1[[#This Row],[Sales_Amount]]&gt;=10000,"High","Normal")</f>
        <v>Normal</v>
      </c>
      <c r="DA190" s="3">
        <v>449.1</v>
      </c>
      <c r="DB190" s="3">
        <f>ROUND(Table1[[#This Row],[Profit]],0)</f>
        <v>449</v>
      </c>
      <c r="DC190" s="3">
        <f>ABS(Table1[[#This Row],[Profit]])</f>
        <v>449.1</v>
      </c>
      <c r="DD190" s="3"/>
      <c r="DE190" s="3"/>
      <c r="DF190" s="3"/>
      <c r="DG190" s="3" t="str">
        <f>IF(Table1[[#This Row],[Profit]]&gt;0,"Profit","Loss")</f>
        <v>Profit</v>
      </c>
      <c r="DH190" s="3" t="str">
        <f>IF(AND(Table1[[#This Row],[Sales_Amount]]&gt;=10000,Table1[[#This Row],[Profit]]&gt;0),"Priority","Normal")</f>
        <v>Normal</v>
      </c>
      <c r="DI190" s="3">
        <f t="shared" ca="1" si="16"/>
        <v>6.2675627196615014E-2</v>
      </c>
      <c r="DJ190" s="3">
        <f t="shared" ca="1" si="17"/>
        <v>57</v>
      </c>
      <c r="DK190" s="3"/>
      <c r="DL190" s="3"/>
      <c r="DM190" s="3"/>
      <c r="DN190" s="3"/>
      <c r="DO190" s="3"/>
      <c r="DP190" s="3"/>
    </row>
    <row r="191" spans="1:120">
      <c r="A191" t="s">
        <v>991</v>
      </c>
      <c r="B191" t="str">
        <f>REPLACE(Table1[[#This Row],[Order_ID]],1,3,"YOO")</f>
        <v>YOO10190</v>
      </c>
      <c r="C191" t="str">
        <f>MID(Table1[[#This Row],[Order_ID]],4,4)</f>
        <v>1019</v>
      </c>
      <c r="D191" t="str">
        <f>LEFT(Table1[[#This Row],[Order_ID]],4)</f>
        <v>ORD1</v>
      </c>
      <c r="E191" t="str">
        <f>RIGHT(Table1[[#This Row],[Order_ID]],5)</f>
        <v>10190</v>
      </c>
      <c r="F191" t="s">
        <v>5</v>
      </c>
      <c r="G191">
        <v>10190</v>
      </c>
      <c r="H191" t="s">
        <v>992</v>
      </c>
      <c r="I191" s="2">
        <f>EDATE(Table1[[#This Row],[Order_Date]],3)</f>
        <v>46137</v>
      </c>
      <c r="J191" s="2">
        <f>EDATE(Table1[[#This Row],[Order_Date]],6)</f>
        <v>46228</v>
      </c>
      <c r="K191">
        <f ca="1">YEAR(Table1[[#This Row],[Today]])</f>
        <v>2026</v>
      </c>
      <c r="L191">
        <v>190</v>
      </c>
      <c r="M191">
        <f ca="1">DAY(Table1[[#This Row],[Today]])</f>
        <v>11</v>
      </c>
      <c r="N191" s="19">
        <f t="shared" ca="1" si="20"/>
        <v>46245.589795138891</v>
      </c>
      <c r="O191" s="2">
        <f t="shared" ca="1" si="15"/>
        <v>46245</v>
      </c>
      <c r="P191" s="17">
        <f ca="1">Table1[[#This Row],[Today]]-Table1[[#This Row],[Order_Date]]</f>
        <v>198</v>
      </c>
      <c r="Q191" s="2">
        <v>45847</v>
      </c>
      <c r="R191" s="2">
        <v>46047</v>
      </c>
      <c r="S191" s="6">
        <f t="shared" si="18"/>
        <v>2026</v>
      </c>
      <c r="T191" s="7" t="str">
        <f t="shared" si="19"/>
        <v>January</v>
      </c>
      <c r="U191" s="2">
        <f>WORKDAY(Table1[[#This Row],[Order_Date]],5)</f>
        <v>46052</v>
      </c>
      <c r="V191" s="7" t="str">
        <f>CONCATENATE(Table1[[#This Row],[Customer_ID]],Table1[[#This Row],[Customer_Name]])</f>
        <v>C1132Kavya Shah</v>
      </c>
      <c r="W191" t="s">
        <v>993</v>
      </c>
      <c r="X191" t="s">
        <v>271</v>
      </c>
      <c r="Y191">
        <f>COUNTA(Table1[[#This Row],[Customer_Name]])</f>
        <v>1</v>
      </c>
      <c r="Z191" t="str">
        <f>SUBSTITUTE(Table1[[#This Row],[Customer_Name]]," ","_")</f>
        <v>Kavya_Shah</v>
      </c>
      <c r="AA191" s="10">
        <f>IFERROR(SEARCH("a",Table1[[#This Row],[Customer_Name]]),"N/A")</f>
        <v>2</v>
      </c>
      <c r="AB191">
        <f>SEARCH(" ",Table1[[#This Row],[Customer_Name]])</f>
        <v>6</v>
      </c>
      <c r="AC191" s="11">
        <f>IFERROR(FIND("a",Table1[[#This Row],[Customer_Name]]),"N/A")</f>
        <v>2</v>
      </c>
      <c r="AD191">
        <f>FIND(" ",Table1[[#This Row],[Customer_Name]])</f>
        <v>6</v>
      </c>
      <c r="AE191" t="str">
        <f>TRIM(Table1[[#This Row],[Customer_Name]])</f>
        <v>Kavya Shah</v>
      </c>
      <c r="AF191">
        <f>LEN(Table1[[#This Row],[Trimmed]])</f>
        <v>10</v>
      </c>
      <c r="AG191">
        <f>MAX(Table1[Length])</f>
        <v>15</v>
      </c>
      <c r="AH191" t="str">
        <f>PROPER(Table1[[#This Row],[Customer_Name]])</f>
        <v>Kavya Shah</v>
      </c>
      <c r="AI191" t="str">
        <f>LOWER(Table1[[#This Row],[Customer_Name]])</f>
        <v>kavya shah</v>
      </c>
      <c r="AJ191" t="str">
        <f>UPPER(Table1[[#This Row],[Customer_Name]])</f>
        <v>KAVYA SHAH</v>
      </c>
      <c r="AK191" t="str">
        <f>CONCATENATE(Table1[[#This Row],[Customer_ID]],Table1[[#This Row],[Customer_Name]])</f>
        <v>C1132Kavya Shah</v>
      </c>
      <c r="AL191" t="s">
        <v>272</v>
      </c>
      <c r="AM191" t="s">
        <v>273</v>
      </c>
      <c r="AN191" t="s">
        <v>274</v>
      </c>
      <c r="AO191" t="s">
        <v>272</v>
      </c>
      <c r="AP191" t="s">
        <v>273</v>
      </c>
      <c r="AQ191" t="s">
        <v>379</v>
      </c>
      <c r="AR191" t="str">
        <f>TRIM(Table1[[#This Row],[City]])</f>
        <v>Indore</v>
      </c>
      <c r="AS191" t="str">
        <f>PROPER(Table1[[#This Row],[City]])</f>
        <v>Indore</v>
      </c>
      <c r="AT191" t="s">
        <v>345</v>
      </c>
      <c r="AU191" t="str">
        <f>CONCATENATE(Table1[[#This Row],[City]],Table1[[#This Row],[State]])</f>
        <v>IndoreMadhya Pradesh</v>
      </c>
      <c r="AV191" t="s">
        <v>346</v>
      </c>
      <c r="AW191" t="s">
        <v>221</v>
      </c>
      <c r="AX191" t="str">
        <f>REPLACE(Table1[[#This Row],[Product_ID]],1,1,"s")</f>
        <v>s106</v>
      </c>
      <c r="AY191" t="s">
        <v>994</v>
      </c>
      <c r="AZ191">
        <f>SEARCH("-",Table1[[#This Row],[Product ID]])</f>
        <v>2</v>
      </c>
      <c r="BA191">
        <f>FIND("-",Table1[[#This Row],[Product ID]])</f>
        <v>2</v>
      </c>
      <c r="BB191" t="str">
        <f>MID(Table1[[#This Row],[Product_ID]],2,3)</f>
        <v>106</v>
      </c>
      <c r="BC191" t="str">
        <f>RIGHT(Table1[[#This Row],[Product_ID]],3)</f>
        <v>106</v>
      </c>
      <c r="BD191" t="str">
        <f>LEFT(Table1[[#This Row],[Product_ID]],3)</f>
        <v>P10</v>
      </c>
      <c r="BE191" t="str">
        <f>_xlfn.XLOOKUP(Table1[[#This Row],[Product_ID]],AW:AW,BF:BF,,0)</f>
        <v>Running Shoes</v>
      </c>
      <c r="BF191" t="s">
        <v>223</v>
      </c>
      <c r="BG191">
        <f>LEN(Table1[[#This Row],[Product_Name]])</f>
        <v>13</v>
      </c>
      <c r="BH191" t="s">
        <v>224</v>
      </c>
      <c r="BI191">
        <f t="shared" si="21"/>
        <v>75</v>
      </c>
      <c r="BJ191" t="str">
        <f>SUBSTITUTE(Table1[[#This Row],[Category]],"Electronics","ELECTRONICS")</f>
        <v>Fashion</v>
      </c>
      <c r="BN191" t="s">
        <v>225</v>
      </c>
      <c r="BS191" s="14">
        <v>4</v>
      </c>
      <c r="BT191" s="3">
        <v>3499</v>
      </c>
      <c r="BU191" s="4">
        <v>15</v>
      </c>
      <c r="BV191" s="4" t="str">
        <f>IF(AND(Table1[[#This Row],[Quantity]]&gt;=3,Table1[[#This Row],[Discount_%]]&gt;=15%),"Bulk Discount","no")</f>
        <v>Bulk Discount</v>
      </c>
      <c r="BW191" s="4" t="str">
        <f>IF(AND(Table1[[#This Row],[Quantity]]&gt;3,Table1[[#This Row],[Discount_%]]&gt;15%),"Bulk Customer","Normal")</f>
        <v>Bulk Customer</v>
      </c>
      <c r="BX191" t="s">
        <v>330</v>
      </c>
      <c r="BY191" t="s">
        <v>136</v>
      </c>
      <c r="CC191" t="str">
        <f>IF(OR(Table1[[#This Row],[Order_Status]]="Returned",Table1[[#This Row],[Order_Status]]="Cancelled"),"Attention Required","Not")</f>
        <v>Not</v>
      </c>
      <c r="CD191" t="str">
        <f>IF(OR(Table1[[#This Row],[Order_Status]]="Returned",Table1[[#This Row],[Order_Status]]="Cancelled"),"Review","no")</f>
        <v>no</v>
      </c>
      <c r="CE191" t="str">
        <f>SUBSTITUTE(Table1[[#This Row],[Order_Status]],"Delivered","Completed")</f>
        <v>Completed</v>
      </c>
      <c r="CF191" s="2">
        <v>46052</v>
      </c>
      <c r="CG191" s="17">
        <f>NETWORKDAYS(Table1[[#This Row],[Order_Date]],Table1[[#This Row],[Delivery_Date]])</f>
        <v>5</v>
      </c>
      <c r="CH191" s="17">
        <f>Table1[[#This Row],[Delivery_Date]]-Table1[[#This Row],[Order_Date]]</f>
        <v>5</v>
      </c>
      <c r="CI191" t="s">
        <v>137</v>
      </c>
      <c r="CJ191" t="str">
        <f>IF(Table1[[#This Row],[Rating]]&gt;=4,"Good","Needs Improvement")</f>
        <v>Good</v>
      </c>
      <c r="CK191" t="str">
        <f>IF(OR(Table1[[#This Row],[Rating]]&lt;=2,Table1[[#This Row],[Profit]]&lt;0),"Review","NO")</f>
        <v>NO</v>
      </c>
      <c r="CL191" t="str" cm="1">
        <f t="array" ref="CL191">_xlfn.IFS(Table1[[#This Row],[Rating]]&gt;2,"Poor",Table1[[#This Row],[Rating]]=3,"Average",Table1[[#This Row],[Rating]]=4,"Good",CP191=5,"Excellent")</f>
        <v>Poor</v>
      </c>
      <c r="CM191">
        <f>COUNT(Table1[[#This Row],[Rating]])</f>
        <v>1</v>
      </c>
      <c r="CN191">
        <f>COUNTBLANK(Table1[[#This Row],[Rating]])</f>
        <v>0</v>
      </c>
      <c r="CP191" t="s">
        <v>331</v>
      </c>
      <c r="CQ191" s="14">
        <v>5</v>
      </c>
      <c r="CR191" t="s">
        <v>204</v>
      </c>
      <c r="CS191" t="s">
        <v>267</v>
      </c>
      <c r="CU191" s="3">
        <v>11896.6</v>
      </c>
      <c r="CV191" s="3">
        <f>ROUND(Table1[[#This Row],[Sales_Amount]],0)</f>
        <v>11897</v>
      </c>
      <c r="CW191" s="3"/>
      <c r="CX191" s="3"/>
      <c r="CY191" s="3" t="str">
        <f>IF(AND(Table1[[#This Row],[Sales_Amount]]&gt;=10000,Table1[[#This Row],[Profit]]&gt;0),"Good Order")</f>
        <v>Good Order</v>
      </c>
      <c r="CZ191" s="3" t="str">
        <f>IF(Table1[[#This Row],[Sales_Amount]]&gt;=10000,"High","Normal")</f>
        <v>High</v>
      </c>
      <c r="DA191" s="3">
        <v>4296.6000000000004</v>
      </c>
      <c r="DB191" s="3">
        <f>ROUND(Table1[[#This Row],[Profit]],0)</f>
        <v>4297</v>
      </c>
      <c r="DC191" s="3">
        <f>ABS(Table1[[#This Row],[Profit]])</f>
        <v>4296.6000000000004</v>
      </c>
      <c r="DD191" s="3"/>
      <c r="DE191" s="3"/>
      <c r="DF191" s="3"/>
      <c r="DG191" s="3" t="str">
        <f>IF(Table1[[#This Row],[Profit]]&gt;0,"Profit","Loss")</f>
        <v>Profit</v>
      </c>
      <c r="DH191" s="3" t="str">
        <f>IF(AND(Table1[[#This Row],[Sales_Amount]]&gt;=10000,Table1[[#This Row],[Profit]]&gt;0),"Priority","Normal")</f>
        <v>Priority</v>
      </c>
      <c r="DI191" s="3">
        <f t="shared" ca="1" si="16"/>
        <v>0.56957875172314631</v>
      </c>
      <c r="DJ191" s="3">
        <f t="shared" ca="1" si="17"/>
        <v>7</v>
      </c>
      <c r="DK191" s="3"/>
      <c r="DL191" s="3"/>
      <c r="DM191" s="3"/>
      <c r="DN191" s="3"/>
      <c r="DO191" s="3"/>
      <c r="DP191" s="3"/>
    </row>
    <row r="192" spans="1:120">
      <c r="A192" t="s">
        <v>995</v>
      </c>
      <c r="B192" t="str">
        <f>REPLACE(Table1[[#This Row],[Order_ID]],1,3,"YOO")</f>
        <v>YOO10191</v>
      </c>
      <c r="C192" t="str">
        <f>MID(Table1[[#This Row],[Order_ID]],4,4)</f>
        <v>1019</v>
      </c>
      <c r="D192" t="str">
        <f>LEFT(Table1[[#This Row],[Order_ID]],4)</f>
        <v>ORD1</v>
      </c>
      <c r="E192" t="str">
        <f>RIGHT(Table1[[#This Row],[Order_ID]],5)</f>
        <v>10191</v>
      </c>
      <c r="F192" t="s">
        <v>5</v>
      </c>
      <c r="G192">
        <v>10191</v>
      </c>
      <c r="H192" t="s">
        <v>996</v>
      </c>
      <c r="I192" s="2">
        <f>EDATE(Table1[[#This Row],[Order_Date]],3)</f>
        <v>45958</v>
      </c>
      <c r="J192" s="2">
        <f>EDATE(Table1[[#This Row],[Order_Date]],6)</f>
        <v>46050</v>
      </c>
      <c r="K192">
        <f ca="1">YEAR(Table1[[#This Row],[Today]])</f>
        <v>2026</v>
      </c>
      <c r="L192">
        <v>191</v>
      </c>
      <c r="M192">
        <f ca="1">DAY(Table1[[#This Row],[Today]])</f>
        <v>11</v>
      </c>
      <c r="N192" s="19">
        <f t="shared" ca="1" si="20"/>
        <v>46245.589795370368</v>
      </c>
      <c r="O192" s="2">
        <f t="shared" ca="1" si="15"/>
        <v>46245</v>
      </c>
      <c r="P192" s="17">
        <f ca="1">Table1[[#This Row],[Today]]-Table1[[#This Row],[Order_Date]]</f>
        <v>379</v>
      </c>
      <c r="Q192" s="2">
        <v>45848</v>
      </c>
      <c r="R192" s="2">
        <v>45866</v>
      </c>
      <c r="S192" s="6">
        <f t="shared" si="18"/>
        <v>2025</v>
      </c>
      <c r="T192" s="7" t="str">
        <f t="shared" si="19"/>
        <v>July</v>
      </c>
      <c r="U192" s="2">
        <f>WORKDAY(Table1[[#This Row],[Order_Date]],5)</f>
        <v>45873</v>
      </c>
      <c r="V192" s="7" t="str">
        <f>CONCATENATE(Table1[[#This Row],[Customer_ID]],Table1[[#This Row],[Customer_Name]])</f>
        <v>C1038Rahul Sharma</v>
      </c>
      <c r="W192" t="s">
        <v>997</v>
      </c>
      <c r="X192" t="s">
        <v>290</v>
      </c>
      <c r="Y192">
        <f>COUNTA(Table1[[#This Row],[Customer_Name]])</f>
        <v>1</v>
      </c>
      <c r="Z192" t="str">
        <f>SUBSTITUTE(Table1[[#This Row],[Customer_Name]]," ","_")</f>
        <v>Rahul_Sharma</v>
      </c>
      <c r="AA192" s="10">
        <f>IFERROR(SEARCH("a",Table1[[#This Row],[Customer_Name]]),"N/A")</f>
        <v>2</v>
      </c>
      <c r="AB192">
        <f>SEARCH(" ",Table1[[#This Row],[Customer_Name]])</f>
        <v>6</v>
      </c>
      <c r="AC192" s="11">
        <f>IFERROR(FIND("a",Table1[[#This Row],[Customer_Name]]),"N/A")</f>
        <v>2</v>
      </c>
      <c r="AD192">
        <f>FIND(" ",Table1[[#This Row],[Customer_Name]])</f>
        <v>6</v>
      </c>
      <c r="AE192" t="str">
        <f>TRIM(Table1[[#This Row],[Customer_Name]])</f>
        <v>Rahul Sharma</v>
      </c>
      <c r="AF192">
        <f>LEN(Table1[[#This Row],[Trimmed]])</f>
        <v>12</v>
      </c>
      <c r="AG192">
        <f>MAX(Table1[Length])</f>
        <v>15</v>
      </c>
      <c r="AH192" t="str">
        <f>PROPER(Table1[[#This Row],[Customer_Name]])</f>
        <v>Rahul Sharma</v>
      </c>
      <c r="AI192" t="str">
        <f>LOWER(Table1[[#This Row],[Customer_Name]])</f>
        <v>rahul sharma</v>
      </c>
      <c r="AJ192" t="str">
        <f>UPPER(Table1[[#This Row],[Customer_Name]])</f>
        <v>RAHUL SHARMA</v>
      </c>
      <c r="AK192" t="str">
        <f>CONCATENATE(Table1[[#This Row],[Customer_ID]],Table1[[#This Row],[Customer_Name]])</f>
        <v>C1038Rahul Sharma</v>
      </c>
      <c r="AL192" t="s">
        <v>291</v>
      </c>
      <c r="AM192" t="s">
        <v>292</v>
      </c>
      <c r="AN192" t="s">
        <v>245</v>
      </c>
      <c r="AO192" t="s">
        <v>291</v>
      </c>
      <c r="AP192" t="s">
        <v>292</v>
      </c>
      <c r="AQ192" t="s">
        <v>344</v>
      </c>
      <c r="AR192" t="str">
        <f>TRIM(Table1[[#This Row],[City]])</f>
        <v>Bhopal</v>
      </c>
      <c r="AS192" t="str">
        <f>PROPER(Table1[[#This Row],[City]])</f>
        <v>Bhopal</v>
      </c>
      <c r="AT192" t="s">
        <v>345</v>
      </c>
      <c r="AU192" t="str">
        <f>CONCATENATE(Table1[[#This Row],[City]],Table1[[#This Row],[State]])</f>
        <v>BhopalMadhya Pradesh</v>
      </c>
      <c r="AV192" t="s">
        <v>346</v>
      </c>
      <c r="AW192" t="s">
        <v>250</v>
      </c>
      <c r="AX192" t="str">
        <f>REPLACE(Table1[[#This Row],[Product_ID]],1,1,"s")</f>
        <v>s113</v>
      </c>
      <c r="AY192" t="s">
        <v>998</v>
      </c>
      <c r="AZ192">
        <f>SEARCH("-",Table1[[#This Row],[Product ID]])</f>
        <v>2</v>
      </c>
      <c r="BA192">
        <f>FIND("-",Table1[[#This Row],[Product ID]])</f>
        <v>2</v>
      </c>
      <c r="BB192" t="str">
        <f>MID(Table1[[#This Row],[Product_ID]],2,3)</f>
        <v>113</v>
      </c>
      <c r="BC192" t="str">
        <f>RIGHT(Table1[[#This Row],[Product_ID]],3)</f>
        <v>113</v>
      </c>
      <c r="BD192" t="str">
        <f>LEFT(Table1[[#This Row],[Product_ID]],3)</f>
        <v>P11</v>
      </c>
      <c r="BE192" t="str">
        <f>_xlfn.XLOOKUP(Table1[[#This Row],[Product_ID]],AW:AW,BF:BF,,0)</f>
        <v>Desk Lamp</v>
      </c>
      <c r="BF192" t="s">
        <v>252</v>
      </c>
      <c r="BG192">
        <f>LEN(Table1[[#This Row],[Product_Name]])</f>
        <v>9</v>
      </c>
      <c r="BH192" t="s">
        <v>133</v>
      </c>
      <c r="BI192">
        <f t="shared" si="21"/>
        <v>75</v>
      </c>
      <c r="BJ192" t="str">
        <f>SUBSTITUTE(Table1[[#This Row],[Category]],"Electronics","ELECTRONICS")</f>
        <v>Home</v>
      </c>
      <c r="BN192" t="s">
        <v>253</v>
      </c>
      <c r="BS192" s="14">
        <v>3</v>
      </c>
      <c r="BT192" s="3">
        <v>1299</v>
      </c>
      <c r="BU192" s="4">
        <v>15</v>
      </c>
      <c r="BV192" s="4" t="str">
        <f>IF(AND(Table1[[#This Row],[Quantity]]&gt;=3,Table1[[#This Row],[Discount_%]]&gt;=15%),"Bulk Discount","no")</f>
        <v>Bulk Discount</v>
      </c>
      <c r="BW192" s="4" t="str">
        <f>IF(AND(Table1[[#This Row],[Quantity]]&gt;3,Table1[[#This Row],[Discount_%]]&gt;15%),"Bulk Customer","Normal")</f>
        <v>Normal</v>
      </c>
      <c r="BX192" t="s">
        <v>192</v>
      </c>
      <c r="BY192" t="s">
        <v>136</v>
      </c>
      <c r="CC192" t="str">
        <f>IF(OR(Table1[[#This Row],[Order_Status]]="Returned",Table1[[#This Row],[Order_Status]]="Cancelled"),"Attention Required","Not")</f>
        <v>Not</v>
      </c>
      <c r="CD192" t="str">
        <f>IF(OR(Table1[[#This Row],[Order_Status]]="Returned",Table1[[#This Row],[Order_Status]]="Cancelled"),"Review","no")</f>
        <v>no</v>
      </c>
      <c r="CE192" t="str">
        <f>SUBSTITUTE(Table1[[#This Row],[Order_Status]],"Delivered","Completed")</f>
        <v>Completed</v>
      </c>
      <c r="CF192" s="2">
        <v>45867</v>
      </c>
      <c r="CG192" s="17">
        <f>NETWORKDAYS(Table1[[#This Row],[Order_Date]],Table1[[#This Row],[Delivery_Date]])</f>
        <v>2</v>
      </c>
      <c r="CH192" s="17">
        <f>Table1[[#This Row],[Delivery_Date]]-Table1[[#This Row],[Order_Date]]</f>
        <v>1</v>
      </c>
      <c r="CI192" t="s">
        <v>137</v>
      </c>
      <c r="CJ192" t="str">
        <f>IF(Table1[[#This Row],[Rating]]&gt;=4,"Good","Needs Improvement")</f>
        <v>Good</v>
      </c>
      <c r="CK192" t="str">
        <f>IF(OR(Table1[[#This Row],[Rating]]&lt;=2,Table1[[#This Row],[Profit]]&lt;0),"Review","NO")</f>
        <v>NO</v>
      </c>
      <c r="CL192" t="str" cm="1">
        <f t="array" ref="CL192">_xlfn.IFS(Table1[[#This Row],[Rating]]&gt;2,"Poor",Table1[[#This Row],[Rating]]=3,"Average",Table1[[#This Row],[Rating]]=4,"Good",CP192=5,"Excellent")</f>
        <v>Poor</v>
      </c>
      <c r="CM192">
        <f>COUNT(Table1[[#This Row],[Rating]])</f>
        <v>1</v>
      </c>
      <c r="CN192">
        <f>COUNTBLANK(Table1[[#This Row],[Rating]])</f>
        <v>0</v>
      </c>
      <c r="CP192" t="s">
        <v>266</v>
      </c>
      <c r="CQ192" s="14">
        <v>4</v>
      </c>
      <c r="CR192" t="s">
        <v>204</v>
      </c>
      <c r="CS192" t="s">
        <v>174</v>
      </c>
      <c r="CU192" s="3">
        <v>3312.45</v>
      </c>
      <c r="CV192" s="3">
        <f>ROUND(Table1[[#This Row],[Sales_Amount]],0)</f>
        <v>3312</v>
      </c>
      <c r="CW192" s="3"/>
      <c r="CX192" s="3"/>
      <c r="CY192" s="3" t="b">
        <f>IF(AND(Table1[[#This Row],[Sales_Amount]]&gt;=10000,Table1[[#This Row],[Profit]]&gt;0),"Good Order")</f>
        <v>0</v>
      </c>
      <c r="CZ192" s="3" t="str">
        <f>IF(Table1[[#This Row],[Sales_Amount]]&gt;=10000,"High","Normal")</f>
        <v>Normal</v>
      </c>
      <c r="DA192" s="3">
        <v>1362.45</v>
      </c>
      <c r="DB192" s="3">
        <f>ROUND(Table1[[#This Row],[Profit]],0)</f>
        <v>1362</v>
      </c>
      <c r="DC192" s="3">
        <f>ABS(Table1[[#This Row],[Profit]])</f>
        <v>1362.45</v>
      </c>
      <c r="DD192" s="3"/>
      <c r="DE192" s="3"/>
      <c r="DF192" s="3"/>
      <c r="DG192" s="3" t="str">
        <f>IF(Table1[[#This Row],[Profit]]&gt;0,"Profit","Loss")</f>
        <v>Profit</v>
      </c>
      <c r="DH192" s="3" t="str">
        <f>IF(AND(Table1[[#This Row],[Sales_Amount]]&gt;=10000,Table1[[#This Row],[Profit]]&gt;0),"Priority","Normal")</f>
        <v>Normal</v>
      </c>
      <c r="DI192" s="3">
        <f t="shared" ca="1" si="16"/>
        <v>0.30572023622560551</v>
      </c>
      <c r="DJ192" s="3">
        <f t="shared" ca="1" si="17"/>
        <v>43</v>
      </c>
      <c r="DK192" s="3"/>
      <c r="DL192" s="3"/>
      <c r="DM192" s="3"/>
      <c r="DN192" s="3"/>
      <c r="DO192" s="3"/>
      <c r="DP192" s="3"/>
    </row>
    <row r="193" spans="1:120">
      <c r="A193" t="s">
        <v>999</v>
      </c>
      <c r="B193" t="str">
        <f>REPLACE(Table1[[#This Row],[Order_ID]],1,3,"YOO")</f>
        <v>YOO10192</v>
      </c>
      <c r="C193" t="str">
        <f>MID(Table1[[#This Row],[Order_ID]],4,4)</f>
        <v>1019</v>
      </c>
      <c r="D193" t="str">
        <f>LEFT(Table1[[#This Row],[Order_ID]],4)</f>
        <v>ORD1</v>
      </c>
      <c r="E193" t="str">
        <f>RIGHT(Table1[[#This Row],[Order_ID]],5)</f>
        <v>10192</v>
      </c>
      <c r="F193" t="s">
        <v>5</v>
      </c>
      <c r="G193">
        <v>10192</v>
      </c>
      <c r="H193" t="s">
        <v>1000</v>
      </c>
      <c r="I193" s="2">
        <f>EDATE(Table1[[#This Row],[Order_Date]],3)</f>
        <v>46052</v>
      </c>
      <c r="J193" s="2">
        <f>EDATE(Table1[[#This Row],[Order_Date]],6)</f>
        <v>46142</v>
      </c>
      <c r="K193">
        <f ca="1">YEAR(Table1[[#This Row],[Today]])</f>
        <v>2026</v>
      </c>
      <c r="L193">
        <v>192</v>
      </c>
      <c r="M193">
        <f ca="1">DAY(Table1[[#This Row],[Today]])</f>
        <v>11</v>
      </c>
      <c r="N193" s="19">
        <f t="shared" ca="1" si="20"/>
        <v>46245.589795370368</v>
      </c>
      <c r="O193" s="2">
        <f t="shared" ca="1" si="15"/>
        <v>46245</v>
      </c>
      <c r="P193" s="17">
        <f ca="1">Table1[[#This Row],[Today]]-Table1[[#This Row],[Order_Date]]</f>
        <v>285</v>
      </c>
      <c r="Q193" s="2">
        <v>45849</v>
      </c>
      <c r="R193" s="2">
        <v>45960</v>
      </c>
      <c r="S193" s="6">
        <f t="shared" si="18"/>
        <v>2025</v>
      </c>
      <c r="T193" s="7" t="str">
        <f t="shared" si="19"/>
        <v>October</v>
      </c>
      <c r="U193" s="2">
        <f>WORKDAY(Table1[[#This Row],[Order_Date]],5)</f>
        <v>45967</v>
      </c>
      <c r="V193" s="7" t="str">
        <f>CONCATENATE(Table1[[#This Row],[Customer_ID]],Table1[[#This Row],[Customer_Name]])</f>
        <v>C1146Anjali Joshi</v>
      </c>
      <c r="W193" t="s">
        <v>926</v>
      </c>
      <c r="X193" t="s">
        <v>310</v>
      </c>
      <c r="Y193">
        <f>COUNTA(Table1[[#This Row],[Customer_Name]])</f>
        <v>1</v>
      </c>
      <c r="Z193" t="str">
        <f>SUBSTITUTE(Table1[[#This Row],[Customer_Name]]," ","_")</f>
        <v>Anjali_Joshi</v>
      </c>
      <c r="AA193" s="10">
        <f>IFERROR(SEARCH("a",Table1[[#This Row],[Customer_Name]]),"N/A")</f>
        <v>1</v>
      </c>
      <c r="AB193">
        <f>SEARCH(" ",Table1[[#This Row],[Customer_Name]])</f>
        <v>7</v>
      </c>
      <c r="AC193" s="11">
        <f>IFERROR(FIND("a",Table1[[#This Row],[Customer_Name]]),"N/A")</f>
        <v>4</v>
      </c>
      <c r="AD193">
        <f>FIND(" ",Table1[[#This Row],[Customer_Name]])</f>
        <v>7</v>
      </c>
      <c r="AE193" t="str">
        <f>TRIM(Table1[[#This Row],[Customer_Name]])</f>
        <v>Anjali Joshi</v>
      </c>
      <c r="AF193">
        <f>LEN(Table1[[#This Row],[Trimmed]])</f>
        <v>12</v>
      </c>
      <c r="AG193">
        <f>MAX(Table1[Length])</f>
        <v>15</v>
      </c>
      <c r="AH193" t="str">
        <f>PROPER(Table1[[#This Row],[Customer_Name]])</f>
        <v>Anjali Joshi</v>
      </c>
      <c r="AI193" t="str">
        <f>LOWER(Table1[[#This Row],[Customer_Name]])</f>
        <v>anjali joshi</v>
      </c>
      <c r="AJ193" t="str">
        <f>UPPER(Table1[[#This Row],[Customer_Name]])</f>
        <v>ANJALI JOSHI</v>
      </c>
      <c r="AK193" t="str">
        <f>CONCATENATE(Table1[[#This Row],[Customer_ID]],Table1[[#This Row],[Customer_Name]])</f>
        <v>C1146Anjali Joshi</v>
      </c>
      <c r="AL193" t="s">
        <v>311</v>
      </c>
      <c r="AM193" t="s">
        <v>312</v>
      </c>
      <c r="AN193" t="s">
        <v>313</v>
      </c>
      <c r="AO193" t="s">
        <v>311</v>
      </c>
      <c r="AP193" t="s">
        <v>312</v>
      </c>
      <c r="AQ193" t="s">
        <v>166</v>
      </c>
      <c r="AR193" t="str">
        <f>TRIM(Table1[[#This Row],[City]])</f>
        <v>Bengaluru</v>
      </c>
      <c r="AS193" t="str">
        <f>PROPER(Table1[[#This Row],[City]])</f>
        <v>Bengaluru</v>
      </c>
      <c r="AT193" t="s">
        <v>167</v>
      </c>
      <c r="AU193" t="str">
        <f>CONCATENATE(Table1[[#This Row],[City]],Table1[[#This Row],[State]])</f>
        <v>BengaluruKarnataka</v>
      </c>
      <c r="AV193" t="s">
        <v>168</v>
      </c>
      <c r="AW193" t="s">
        <v>169</v>
      </c>
      <c r="AX193" t="str">
        <f>REPLACE(Table1[[#This Row],[Product_ID]],1,1,"s")</f>
        <v>s112</v>
      </c>
      <c r="AY193" t="s">
        <v>1001</v>
      </c>
      <c r="AZ193">
        <f>SEARCH("-",Table1[[#This Row],[Product ID]])</f>
        <v>2</v>
      </c>
      <c r="BA193">
        <f>FIND("-",Table1[[#This Row],[Product ID]])</f>
        <v>2</v>
      </c>
      <c r="BB193" t="str">
        <f>MID(Table1[[#This Row],[Product_ID]],2,3)</f>
        <v>112</v>
      </c>
      <c r="BC193" t="str">
        <f>RIGHT(Table1[[#This Row],[Product_ID]],3)</f>
        <v>112</v>
      </c>
      <c r="BD193" t="str">
        <f>LEFT(Table1[[#This Row],[Product_ID]],3)</f>
        <v>P11</v>
      </c>
      <c r="BE193" t="str">
        <f>_xlfn.XLOOKUP(Table1[[#This Row],[Product_ID]],AW:AW,BF:BF,,0)</f>
        <v>Air Fryer</v>
      </c>
      <c r="BF193" t="s">
        <v>171</v>
      </c>
      <c r="BG193">
        <f>LEN(Table1[[#This Row],[Product_Name]])</f>
        <v>9</v>
      </c>
      <c r="BH193" t="s">
        <v>133</v>
      </c>
      <c r="BI193">
        <f t="shared" si="21"/>
        <v>75</v>
      </c>
      <c r="BJ193" t="str">
        <f>SUBSTITUTE(Table1[[#This Row],[Category]],"Electronics","ELECTRONICS")</f>
        <v>Home</v>
      </c>
      <c r="BN193" t="s">
        <v>134</v>
      </c>
      <c r="BS193" s="14">
        <v>2</v>
      </c>
      <c r="BT193" s="3">
        <v>6499</v>
      </c>
      <c r="BU193" s="4">
        <v>10</v>
      </c>
      <c r="BV193" s="4" t="str">
        <f>IF(AND(Table1[[#This Row],[Quantity]]&gt;=3,Table1[[#This Row],[Discount_%]]&gt;=15%),"Bulk Discount","no")</f>
        <v>no</v>
      </c>
      <c r="BW193" s="4" t="str">
        <f>IF(AND(Table1[[#This Row],[Quantity]]&gt;3,Table1[[#This Row],[Discount_%]]&gt;15%),"Bulk Customer","Normal")</f>
        <v>Normal</v>
      </c>
      <c r="BX193" t="s">
        <v>330</v>
      </c>
      <c r="BY193" t="s">
        <v>136</v>
      </c>
      <c r="CC193" t="str">
        <f>IF(OR(Table1[[#This Row],[Order_Status]]="Returned",Table1[[#This Row],[Order_Status]]="Cancelled"),"Attention Required","Not")</f>
        <v>Not</v>
      </c>
      <c r="CD193" t="str">
        <f>IF(OR(Table1[[#This Row],[Order_Status]]="Returned",Table1[[#This Row],[Order_Status]]="Cancelled"),"Review","no")</f>
        <v>no</v>
      </c>
      <c r="CE193" t="str">
        <f>SUBSTITUTE(Table1[[#This Row],[Order_Status]],"Delivered","Completed")</f>
        <v>Completed</v>
      </c>
      <c r="CF193" s="2">
        <v>45964</v>
      </c>
      <c r="CG193" s="17">
        <f>NETWORKDAYS(Table1[[#This Row],[Order_Date]],Table1[[#This Row],[Delivery_Date]])</f>
        <v>3</v>
      </c>
      <c r="CH193" s="17">
        <f>Table1[[#This Row],[Delivery_Date]]-Table1[[#This Row],[Order_Date]]</f>
        <v>4</v>
      </c>
      <c r="CI193" t="s">
        <v>137</v>
      </c>
      <c r="CJ193" t="str">
        <f>IF(Table1[[#This Row],[Rating]]&gt;=4,"Good","Needs Improvement")</f>
        <v>Good</v>
      </c>
      <c r="CK193" t="str">
        <f>IF(OR(Table1[[#This Row],[Rating]]&lt;=2,Table1[[#This Row],[Profit]]&lt;0),"Review","NO")</f>
        <v>NO</v>
      </c>
      <c r="CL193" t="str" cm="1">
        <f t="array" ref="CL193">_xlfn.IFS(Table1[[#This Row],[Rating]]&gt;2,"Poor",Table1[[#This Row],[Rating]]=3,"Average",Table1[[#This Row],[Rating]]=4,"Good",CP193=5,"Excellent")</f>
        <v>Poor</v>
      </c>
      <c r="CM193">
        <f>COUNT(Table1[[#This Row],[Rating]])</f>
        <v>1</v>
      </c>
      <c r="CN193">
        <f>COUNTBLANK(Table1[[#This Row],[Rating]])</f>
        <v>0</v>
      </c>
      <c r="CP193" t="s">
        <v>266</v>
      </c>
      <c r="CQ193" s="14">
        <v>5</v>
      </c>
      <c r="CR193" t="s">
        <v>204</v>
      </c>
      <c r="CS193" t="s">
        <v>213</v>
      </c>
      <c r="CU193" s="3">
        <v>11698.2</v>
      </c>
      <c r="CV193" s="3">
        <f>ROUND(Table1[[#This Row],[Sales_Amount]],0)</f>
        <v>11698</v>
      </c>
      <c r="CW193" s="3"/>
      <c r="CX193" s="3"/>
      <c r="CY193" s="3" t="str">
        <f>IF(AND(Table1[[#This Row],[Sales_Amount]]&gt;=10000,Table1[[#This Row],[Profit]]&gt;0),"Good Order")</f>
        <v>Good Order</v>
      </c>
      <c r="CZ193" s="3" t="str">
        <f>IF(Table1[[#This Row],[Sales_Amount]]&gt;=10000,"High","Normal")</f>
        <v>High</v>
      </c>
      <c r="DA193" s="3">
        <v>3098.2</v>
      </c>
      <c r="DB193" s="3">
        <f>ROUND(Table1[[#This Row],[Profit]],0)</f>
        <v>3098</v>
      </c>
      <c r="DC193" s="3">
        <f>ABS(Table1[[#This Row],[Profit]])</f>
        <v>3098.2</v>
      </c>
      <c r="DD193" s="3"/>
      <c r="DE193" s="3"/>
      <c r="DF193" s="3"/>
      <c r="DG193" s="3" t="str">
        <f>IF(Table1[[#This Row],[Profit]]&gt;0,"Profit","Loss")</f>
        <v>Profit</v>
      </c>
      <c r="DH193" s="3" t="str">
        <f>IF(AND(Table1[[#This Row],[Sales_Amount]]&gt;=10000,Table1[[#This Row],[Profit]]&gt;0),"Priority","Normal")</f>
        <v>Priority</v>
      </c>
      <c r="DI193" s="3">
        <f t="shared" ca="1" si="16"/>
        <v>0.95539148909258764</v>
      </c>
      <c r="DJ193" s="3">
        <f t="shared" ca="1" si="17"/>
        <v>33</v>
      </c>
      <c r="DK193" s="3"/>
      <c r="DL193" s="3"/>
      <c r="DM193" s="3"/>
      <c r="DN193" s="3"/>
      <c r="DO193" s="3"/>
      <c r="DP193" s="3"/>
    </row>
    <row r="194" spans="1:120">
      <c r="A194" t="s">
        <v>1002</v>
      </c>
      <c r="B194" t="str">
        <f>REPLACE(Table1[[#This Row],[Order_ID]],1,3,"YOO")</f>
        <v>YOO10193</v>
      </c>
      <c r="C194" t="str">
        <f>MID(Table1[[#This Row],[Order_ID]],4,4)</f>
        <v>1019</v>
      </c>
      <c r="D194" t="str">
        <f>LEFT(Table1[[#This Row],[Order_ID]],4)</f>
        <v>ORD1</v>
      </c>
      <c r="E194" t="str">
        <f>RIGHT(Table1[[#This Row],[Order_ID]],5)</f>
        <v>10193</v>
      </c>
      <c r="F194" t="s">
        <v>5</v>
      </c>
      <c r="G194">
        <v>10193</v>
      </c>
      <c r="H194" t="s">
        <v>1003</v>
      </c>
      <c r="I194" s="2">
        <f>EDATE(Table1[[#This Row],[Order_Date]],3)</f>
        <v>46250</v>
      </c>
      <c r="J194" s="2">
        <f>EDATE(Table1[[#This Row],[Order_Date]],6)</f>
        <v>46342</v>
      </c>
      <c r="K194">
        <f ca="1">YEAR(Table1[[#This Row],[Today]])</f>
        <v>2026</v>
      </c>
      <c r="L194">
        <v>193</v>
      </c>
      <c r="M194">
        <f ca="1">DAY(Table1[[#This Row],[Today]])</f>
        <v>11</v>
      </c>
      <c r="N194" s="19">
        <f t="shared" ca="1" si="20"/>
        <v>46245.589795138891</v>
      </c>
      <c r="O194" s="2">
        <f t="shared" ref="O194:O257" ca="1" si="22">TODAY()</f>
        <v>46245</v>
      </c>
      <c r="P194" s="17">
        <f ca="1">Table1[[#This Row],[Today]]-Table1[[#This Row],[Order_Date]]</f>
        <v>87</v>
      </c>
      <c r="Q194" s="2">
        <v>45850</v>
      </c>
      <c r="R194" s="2">
        <v>46158</v>
      </c>
      <c r="S194" s="6">
        <f t="shared" si="18"/>
        <v>2026</v>
      </c>
      <c r="T194" s="7" t="str">
        <f t="shared" si="19"/>
        <v>May</v>
      </c>
      <c r="U194" s="2">
        <f>WORKDAY(Table1[[#This Row],[Order_Date]],5)</f>
        <v>46164</v>
      </c>
      <c r="V194" s="7" t="str">
        <f>CONCATENATE(Table1[[#This Row],[Customer_ID]],Table1[[#This Row],[Customer_Name]])</f>
        <v>C1036Riya Agarwal</v>
      </c>
      <c r="W194" t="s">
        <v>637</v>
      </c>
      <c r="X194" t="s">
        <v>217</v>
      </c>
      <c r="Y194">
        <f>COUNTA(Table1[[#This Row],[Customer_Name]])</f>
        <v>1</v>
      </c>
      <c r="Z194" t="str">
        <f>SUBSTITUTE(Table1[[#This Row],[Customer_Name]]," ","_")</f>
        <v>Riya_Agarwal</v>
      </c>
      <c r="AA194" s="10">
        <f>IFERROR(SEARCH("a",Table1[[#This Row],[Customer_Name]]),"N/A")</f>
        <v>4</v>
      </c>
      <c r="AB194">
        <f>SEARCH(" ",Table1[[#This Row],[Customer_Name]])</f>
        <v>5</v>
      </c>
      <c r="AC194" s="11">
        <f>IFERROR(FIND("a",Table1[[#This Row],[Customer_Name]]),"N/A")</f>
        <v>4</v>
      </c>
      <c r="AD194">
        <f>FIND(" ",Table1[[#This Row],[Customer_Name]])</f>
        <v>5</v>
      </c>
      <c r="AE194" t="str">
        <f>TRIM(Table1[[#This Row],[Customer_Name]])</f>
        <v>Riya Agarwal</v>
      </c>
      <c r="AF194">
        <f>LEN(Table1[[#This Row],[Trimmed]])</f>
        <v>12</v>
      </c>
      <c r="AG194">
        <f>MAX(Table1[Length])</f>
        <v>15</v>
      </c>
      <c r="AH194" t="str">
        <f>PROPER(Table1[[#This Row],[Customer_Name]])</f>
        <v>Riya Agarwal</v>
      </c>
      <c r="AI194" t="str">
        <f>LOWER(Table1[[#This Row],[Customer_Name]])</f>
        <v>riya agarwal</v>
      </c>
      <c r="AJ194" t="str">
        <f>UPPER(Table1[[#This Row],[Customer_Name]])</f>
        <v>RIYA AGARWAL</v>
      </c>
      <c r="AK194" t="str">
        <f>CONCATENATE(Table1[[#This Row],[Customer_ID]],Table1[[#This Row],[Customer_Name]])</f>
        <v>C1036Riya Agarwal</v>
      </c>
      <c r="AL194" t="s">
        <v>218</v>
      </c>
      <c r="AM194" t="s">
        <v>219</v>
      </c>
      <c r="AN194" t="s">
        <v>220</v>
      </c>
      <c r="AO194" t="s">
        <v>218</v>
      </c>
      <c r="AP194" t="s">
        <v>219</v>
      </c>
      <c r="AQ194" t="s">
        <v>379</v>
      </c>
      <c r="AR194" t="str">
        <f>TRIM(Table1[[#This Row],[City]])</f>
        <v>Indore</v>
      </c>
      <c r="AS194" t="str">
        <f>PROPER(Table1[[#This Row],[City]])</f>
        <v>Indore</v>
      </c>
      <c r="AT194" t="s">
        <v>345</v>
      </c>
      <c r="AU194" t="str">
        <f>CONCATENATE(Table1[[#This Row],[City]],Table1[[#This Row],[State]])</f>
        <v>IndoreMadhya Pradesh</v>
      </c>
      <c r="AV194" t="s">
        <v>346</v>
      </c>
      <c r="AW194" t="s">
        <v>221</v>
      </c>
      <c r="AX194" t="str">
        <f>REPLACE(Table1[[#This Row],[Product_ID]],1,1,"s")</f>
        <v>s106</v>
      </c>
      <c r="AY194" t="s">
        <v>1004</v>
      </c>
      <c r="AZ194">
        <f>SEARCH("-",Table1[[#This Row],[Product ID]])</f>
        <v>2</v>
      </c>
      <c r="BA194">
        <f>FIND("-",Table1[[#This Row],[Product ID]])</f>
        <v>2</v>
      </c>
      <c r="BB194" t="str">
        <f>MID(Table1[[#This Row],[Product_ID]],2,3)</f>
        <v>106</v>
      </c>
      <c r="BC194" t="str">
        <f>RIGHT(Table1[[#This Row],[Product_ID]],3)</f>
        <v>106</v>
      </c>
      <c r="BD194" t="str">
        <f>LEFT(Table1[[#This Row],[Product_ID]],3)</f>
        <v>P10</v>
      </c>
      <c r="BE194" t="str">
        <f>_xlfn.XLOOKUP(Table1[[#This Row],[Product_ID]],AW:AW,BF:BF,,0)</f>
        <v>Running Shoes</v>
      </c>
      <c r="BF194" t="s">
        <v>223</v>
      </c>
      <c r="BG194">
        <f>LEN(Table1[[#This Row],[Product_Name]])</f>
        <v>13</v>
      </c>
      <c r="BH194" t="s">
        <v>224</v>
      </c>
      <c r="BI194">
        <f t="shared" si="21"/>
        <v>75</v>
      </c>
      <c r="BJ194" t="str">
        <f>SUBSTITUTE(Table1[[#This Row],[Category]],"Electronics","ELECTRONICS")</f>
        <v>Fashion</v>
      </c>
      <c r="BN194" t="s">
        <v>225</v>
      </c>
      <c r="BS194" s="14">
        <v>4</v>
      </c>
      <c r="BT194" s="3">
        <v>3499</v>
      </c>
      <c r="BU194" s="4">
        <v>25</v>
      </c>
      <c r="BV194" s="4" t="str">
        <f>IF(AND(Table1[[#This Row],[Quantity]]&gt;=3,Table1[[#This Row],[Discount_%]]&gt;=15%),"Bulk Discount","no")</f>
        <v>Bulk Discount</v>
      </c>
      <c r="BW194" s="4" t="str">
        <f>IF(AND(Table1[[#This Row],[Quantity]]&gt;3,Table1[[#This Row],[Discount_%]]&gt;15%),"Bulk Customer","Normal")</f>
        <v>Bulk Customer</v>
      </c>
      <c r="BX194" t="s">
        <v>330</v>
      </c>
      <c r="BY194" t="s">
        <v>136</v>
      </c>
      <c r="CC194" t="str">
        <f>IF(OR(Table1[[#This Row],[Order_Status]]="Returned",Table1[[#This Row],[Order_Status]]="Cancelled"),"Attention Required","Not")</f>
        <v>Not</v>
      </c>
      <c r="CD194" t="str">
        <f>IF(OR(Table1[[#This Row],[Order_Status]]="Returned",Table1[[#This Row],[Order_Status]]="Cancelled"),"Review","no")</f>
        <v>no</v>
      </c>
      <c r="CE194" t="str">
        <f>SUBSTITUTE(Table1[[#This Row],[Order_Status]],"Delivered","Completed")</f>
        <v>Completed</v>
      </c>
      <c r="CF194" s="2">
        <v>46164</v>
      </c>
      <c r="CG194" s="17">
        <f>NETWORKDAYS(Table1[[#This Row],[Order_Date]],Table1[[#This Row],[Delivery_Date]])</f>
        <v>5</v>
      </c>
      <c r="CH194" s="17">
        <f>Table1[[#This Row],[Delivery_Date]]-Table1[[#This Row],[Order_Date]]</f>
        <v>6</v>
      </c>
      <c r="CI194" t="s">
        <v>137</v>
      </c>
      <c r="CJ194" t="str">
        <f>IF(Table1[[#This Row],[Rating]]&gt;=4,"Good","Needs Improvement")</f>
        <v>Needs Improvement</v>
      </c>
      <c r="CK194" t="str">
        <f>IF(OR(Table1[[#This Row],[Rating]]&lt;=2,Table1[[#This Row],[Profit]]&lt;0),"Review","NO")</f>
        <v>NO</v>
      </c>
      <c r="CL194" t="str" cm="1">
        <f t="array" ref="CL194">_xlfn.IFS(Table1[[#This Row],[Rating]]&gt;2,"Poor",Table1[[#This Row],[Rating]]=3,"Average",Table1[[#This Row],[Rating]]=4,"Good",CP194=5,"Excellent")</f>
        <v>Poor</v>
      </c>
      <c r="CM194">
        <f>COUNT(Table1[[#This Row],[Rating]])</f>
        <v>1</v>
      </c>
      <c r="CN194">
        <f>COUNTBLANK(Table1[[#This Row],[Rating]])</f>
        <v>0</v>
      </c>
      <c r="CP194" t="s">
        <v>194</v>
      </c>
      <c r="CQ194" s="14">
        <v>3</v>
      </c>
      <c r="CR194" t="s">
        <v>204</v>
      </c>
      <c r="CS194" t="s">
        <v>213</v>
      </c>
      <c r="CU194" s="3">
        <v>10497</v>
      </c>
      <c r="CV194" s="3">
        <f>ROUND(Table1[[#This Row],[Sales_Amount]],0)</f>
        <v>10497</v>
      </c>
      <c r="CW194" s="3"/>
      <c r="CX194" s="3"/>
      <c r="CY194" s="3" t="str">
        <f>IF(AND(Table1[[#This Row],[Sales_Amount]]&gt;=10000,Table1[[#This Row],[Profit]]&gt;0),"Good Order")</f>
        <v>Good Order</v>
      </c>
      <c r="CZ194" s="3" t="str">
        <f>IF(Table1[[#This Row],[Sales_Amount]]&gt;=10000,"High","Normal")</f>
        <v>High</v>
      </c>
      <c r="DA194" s="3">
        <v>2897</v>
      </c>
      <c r="DB194" s="3">
        <f>ROUND(Table1[[#This Row],[Profit]],0)</f>
        <v>2897</v>
      </c>
      <c r="DC194" s="3">
        <f>ABS(Table1[[#This Row],[Profit]])</f>
        <v>2897</v>
      </c>
      <c r="DD194" s="3"/>
      <c r="DE194" s="3"/>
      <c r="DF194" s="3"/>
      <c r="DG194" s="3" t="str">
        <f>IF(Table1[[#This Row],[Profit]]&gt;0,"Profit","Loss")</f>
        <v>Profit</v>
      </c>
      <c r="DH194" s="3" t="str">
        <f>IF(AND(Table1[[#This Row],[Sales_Amount]]&gt;=10000,Table1[[#This Row],[Profit]]&gt;0),"Priority","Normal")</f>
        <v>Priority</v>
      </c>
      <c r="DI194" s="3">
        <f t="shared" ref="DI194:DI257" ca="1" si="23">RAND()</f>
        <v>0.90970293068506425</v>
      </c>
      <c r="DJ194" s="3">
        <f t="shared" ref="DJ194:DJ257" ca="1" si="24">RANDBETWEEN(1,100)</f>
        <v>62</v>
      </c>
      <c r="DK194" s="3"/>
      <c r="DL194" s="3"/>
      <c r="DM194" s="3"/>
      <c r="DN194" s="3"/>
      <c r="DO194" s="3"/>
      <c r="DP194" s="3"/>
    </row>
    <row r="195" spans="1:120">
      <c r="A195" t="s">
        <v>1005</v>
      </c>
      <c r="B195" t="str">
        <f>REPLACE(Table1[[#This Row],[Order_ID]],1,3,"YOO")</f>
        <v>YOO10194</v>
      </c>
      <c r="C195" t="str">
        <f>MID(Table1[[#This Row],[Order_ID]],4,4)</f>
        <v>1019</v>
      </c>
      <c r="D195" t="str">
        <f>LEFT(Table1[[#This Row],[Order_ID]],4)</f>
        <v>ORD1</v>
      </c>
      <c r="E195" t="str">
        <f>RIGHT(Table1[[#This Row],[Order_ID]],5)</f>
        <v>10194</v>
      </c>
      <c r="F195" t="s">
        <v>5</v>
      </c>
      <c r="G195">
        <v>10194</v>
      </c>
      <c r="H195" t="s">
        <v>1006</v>
      </c>
      <c r="I195" s="2">
        <f>EDATE(Table1[[#This Row],[Order_Date]],3)</f>
        <v>45781</v>
      </c>
      <c r="J195" s="2">
        <f>EDATE(Table1[[#This Row],[Order_Date]],6)</f>
        <v>45873</v>
      </c>
      <c r="K195">
        <f ca="1">YEAR(Table1[[#This Row],[Today]])</f>
        <v>2026</v>
      </c>
      <c r="L195">
        <v>194</v>
      </c>
      <c r="M195">
        <f ca="1">DAY(Table1[[#This Row],[Today]])</f>
        <v>11</v>
      </c>
      <c r="N195" s="19">
        <f t="shared" ca="1" si="20"/>
        <v>46245.589795370368</v>
      </c>
      <c r="O195" s="2">
        <f t="shared" ca="1" si="22"/>
        <v>46245</v>
      </c>
      <c r="P195" s="17">
        <f ca="1">Table1[[#This Row],[Today]]-Table1[[#This Row],[Order_Date]]</f>
        <v>553</v>
      </c>
      <c r="Q195" s="2">
        <v>45851</v>
      </c>
      <c r="R195" s="2">
        <v>45692</v>
      </c>
      <c r="S195" s="6">
        <f t="shared" ref="S195:S258" si="25">YEAR(R195)</f>
        <v>2025</v>
      </c>
      <c r="T195" s="7" t="str">
        <f t="shared" ref="T195:T258" si="26">TEXT(R195,"mmmm")</f>
        <v>February</v>
      </c>
      <c r="U195" s="2">
        <f>WORKDAY(Table1[[#This Row],[Order_Date]],5)</f>
        <v>45699</v>
      </c>
      <c r="V195" s="7" t="str">
        <f>CONCATENATE(Table1[[#This Row],[Customer_ID]],Table1[[#This Row],[Customer_Name]])</f>
        <v>C1036Anjali Joshi</v>
      </c>
      <c r="W195" t="s">
        <v>637</v>
      </c>
      <c r="X195" t="s">
        <v>310</v>
      </c>
      <c r="Y195">
        <f>COUNTA(Table1[[#This Row],[Customer_Name]])</f>
        <v>1</v>
      </c>
      <c r="Z195" t="str">
        <f>SUBSTITUTE(Table1[[#This Row],[Customer_Name]]," ","_")</f>
        <v>Anjali_Joshi</v>
      </c>
      <c r="AA195" s="10">
        <f>IFERROR(SEARCH("a",Table1[[#This Row],[Customer_Name]]),"N/A")</f>
        <v>1</v>
      </c>
      <c r="AB195">
        <f>SEARCH(" ",Table1[[#This Row],[Customer_Name]])</f>
        <v>7</v>
      </c>
      <c r="AC195" s="11">
        <f>IFERROR(FIND("a",Table1[[#This Row],[Customer_Name]]),"N/A")</f>
        <v>4</v>
      </c>
      <c r="AD195">
        <f>FIND(" ",Table1[[#This Row],[Customer_Name]])</f>
        <v>7</v>
      </c>
      <c r="AE195" t="str">
        <f>TRIM(Table1[[#This Row],[Customer_Name]])</f>
        <v>Anjali Joshi</v>
      </c>
      <c r="AF195">
        <f>LEN(Table1[[#This Row],[Trimmed]])</f>
        <v>12</v>
      </c>
      <c r="AG195">
        <f>MAX(Table1[Length])</f>
        <v>15</v>
      </c>
      <c r="AH195" t="str">
        <f>PROPER(Table1[[#This Row],[Customer_Name]])</f>
        <v>Anjali Joshi</v>
      </c>
      <c r="AI195" t="str">
        <f>LOWER(Table1[[#This Row],[Customer_Name]])</f>
        <v>anjali joshi</v>
      </c>
      <c r="AJ195" t="str">
        <f>UPPER(Table1[[#This Row],[Customer_Name]])</f>
        <v>ANJALI JOSHI</v>
      </c>
      <c r="AK195" t="str">
        <f>CONCATENATE(Table1[[#This Row],[Customer_ID]],Table1[[#This Row],[Customer_Name]])</f>
        <v>C1036Anjali Joshi</v>
      </c>
      <c r="AL195" t="s">
        <v>311</v>
      </c>
      <c r="AM195" t="s">
        <v>312</v>
      </c>
      <c r="AN195" t="s">
        <v>313</v>
      </c>
      <c r="AO195" t="s">
        <v>311</v>
      </c>
      <c r="AP195" t="s">
        <v>312</v>
      </c>
      <c r="AQ195" t="s">
        <v>304</v>
      </c>
      <c r="AR195" t="str">
        <f>TRIM(Table1[[#This Row],[City]])</f>
        <v>Chennai</v>
      </c>
      <c r="AS195" t="str">
        <f>PROPER(Table1[[#This Row],[City]])</f>
        <v>Chennai</v>
      </c>
      <c r="AT195" t="s">
        <v>305</v>
      </c>
      <c r="AU195" t="str">
        <f>CONCATENATE(Table1[[#This Row],[City]],Table1[[#This Row],[State]])</f>
        <v>ChennaiTamil Nadu</v>
      </c>
      <c r="AV195" t="s">
        <v>168</v>
      </c>
      <c r="AW195" t="s">
        <v>275</v>
      </c>
      <c r="AX195" t="str">
        <f>REPLACE(Table1[[#This Row],[Product_ID]],1,1,"s")</f>
        <v>s101</v>
      </c>
      <c r="AY195" t="s">
        <v>1007</v>
      </c>
      <c r="AZ195">
        <f>SEARCH("-",Table1[[#This Row],[Product ID]])</f>
        <v>2</v>
      </c>
      <c r="BA195">
        <f>FIND("-",Table1[[#This Row],[Product ID]])</f>
        <v>2</v>
      </c>
      <c r="BB195" t="str">
        <f>MID(Table1[[#This Row],[Product_ID]],2,3)</f>
        <v>101</v>
      </c>
      <c r="BC195" t="str">
        <f>RIGHT(Table1[[#This Row],[Product_ID]],3)</f>
        <v>101</v>
      </c>
      <c r="BD195" t="str">
        <f>LEFT(Table1[[#This Row],[Product_ID]],3)</f>
        <v>P10</v>
      </c>
      <c r="BE195" t="str">
        <f>_xlfn.XLOOKUP(Table1[[#This Row],[Product_ID]],AW:AW,BF:BF,,0)</f>
        <v>Wireless Mouse</v>
      </c>
      <c r="BF195" t="s">
        <v>277</v>
      </c>
      <c r="BG195">
        <f>LEN(Table1[[#This Row],[Product_Name]])</f>
        <v>14</v>
      </c>
      <c r="BH195" t="s">
        <v>154</v>
      </c>
      <c r="BI195">
        <f t="shared" si="21"/>
        <v>75</v>
      </c>
      <c r="BJ195" t="str">
        <f>SUBSTITUTE(Table1[[#This Row],[Category]],"Electronics","ELECTRONICS")</f>
        <v>ELECTRONICS</v>
      </c>
      <c r="BN195" t="s">
        <v>155</v>
      </c>
      <c r="BS195" s="14">
        <v>1</v>
      </c>
      <c r="BT195" s="3">
        <v>799</v>
      </c>
      <c r="BU195" s="4">
        <v>0</v>
      </c>
      <c r="BV195" s="4" t="str">
        <f>IF(AND(Table1[[#This Row],[Quantity]]&gt;=3,Table1[[#This Row],[Discount_%]]&gt;=15%),"Bulk Discount","no")</f>
        <v>no</v>
      </c>
      <c r="BW195" s="4" t="str">
        <f>IF(AND(Table1[[#This Row],[Quantity]]&gt;3,Table1[[#This Row],[Discount_%]]&gt;15%),"Bulk Customer","Normal")</f>
        <v>Normal</v>
      </c>
      <c r="BX195" t="s">
        <v>172</v>
      </c>
      <c r="BY195" t="s">
        <v>193</v>
      </c>
      <c r="CC195" t="str">
        <f>IF(OR(Table1[[#This Row],[Order_Status]]="Returned",Table1[[#This Row],[Order_Status]]="Cancelled"),"Attention Required","Not")</f>
        <v>Not</v>
      </c>
      <c r="CD195" t="str">
        <f>IF(OR(Table1[[#This Row],[Order_Status]]="Returned",Table1[[#This Row],[Order_Status]]="Cancelled"),"Review","no")</f>
        <v>no</v>
      </c>
      <c r="CE195" t="str">
        <f>SUBSTITUTE(Table1[[#This Row],[Order_Status]],"Delivered","Completed")</f>
        <v>Shipped</v>
      </c>
      <c r="CF195" s="2">
        <v>45693</v>
      </c>
      <c r="CG195" s="17">
        <f>NETWORKDAYS(Table1[[#This Row],[Order_Date]],Table1[[#This Row],[Delivery_Date]])</f>
        <v>2</v>
      </c>
      <c r="CH195" s="17">
        <f>Table1[[#This Row],[Delivery_Date]]-Table1[[#This Row],[Order_Date]]</f>
        <v>1</v>
      </c>
      <c r="CI195" t="s">
        <v>137</v>
      </c>
      <c r="CJ195" t="str">
        <f>IF(Table1[[#This Row],[Rating]]&gt;=4,"Good","Needs Improvement")</f>
        <v>Good</v>
      </c>
      <c r="CK195" t="str">
        <f>IF(OR(Table1[[#This Row],[Rating]]&lt;=2,Table1[[#This Row],[Profit]]&lt;0),"Review","NO")</f>
        <v>NO</v>
      </c>
      <c r="CL195" t="str" cm="1">
        <f t="array" ref="CL195">_xlfn.IFS(Table1[[#This Row],[Rating]]&gt;2,"Poor",Table1[[#This Row],[Rating]]=3,"Average",Table1[[#This Row],[Rating]]=4,"Good",CP195=5,"Excellent")</f>
        <v>Poor</v>
      </c>
      <c r="CM195">
        <f>COUNT(Table1[[#This Row],[Rating]])</f>
        <v>1</v>
      </c>
      <c r="CN195">
        <f>COUNTBLANK(Table1[[#This Row],[Rating]])</f>
        <v>0</v>
      </c>
      <c r="CQ195" s="14">
        <v>5</v>
      </c>
      <c r="CR195" t="s">
        <v>139</v>
      </c>
      <c r="CS195" t="s">
        <v>140</v>
      </c>
      <c r="CU195" s="3">
        <v>799</v>
      </c>
      <c r="CV195" s="3">
        <f>ROUND(Table1[[#This Row],[Sales_Amount]],0)</f>
        <v>799</v>
      </c>
      <c r="CW195" s="3"/>
      <c r="CX195" s="3"/>
      <c r="CY195" s="3" t="b">
        <f>IF(AND(Table1[[#This Row],[Sales_Amount]]&gt;=10000,Table1[[#This Row],[Profit]]&gt;0),"Good Order")</f>
        <v>0</v>
      </c>
      <c r="CZ195" s="3" t="str">
        <f>IF(Table1[[#This Row],[Sales_Amount]]&gt;=10000,"High","Normal")</f>
        <v>Normal</v>
      </c>
      <c r="DA195" s="3">
        <v>379</v>
      </c>
      <c r="DB195" s="3">
        <f>ROUND(Table1[[#This Row],[Profit]],0)</f>
        <v>379</v>
      </c>
      <c r="DC195" s="3">
        <f>ABS(Table1[[#This Row],[Profit]])</f>
        <v>379</v>
      </c>
      <c r="DD195" s="3"/>
      <c r="DE195" s="3"/>
      <c r="DF195" s="3"/>
      <c r="DG195" s="3" t="str">
        <f>IF(Table1[[#This Row],[Profit]]&gt;0,"Profit","Loss")</f>
        <v>Profit</v>
      </c>
      <c r="DH195" s="3" t="str">
        <f>IF(AND(Table1[[#This Row],[Sales_Amount]]&gt;=10000,Table1[[#This Row],[Profit]]&gt;0),"Priority","Normal")</f>
        <v>Normal</v>
      </c>
      <c r="DI195" s="3">
        <f t="shared" ca="1" si="23"/>
        <v>0.96479933236365789</v>
      </c>
      <c r="DJ195" s="3">
        <f t="shared" ca="1" si="24"/>
        <v>79</v>
      </c>
      <c r="DK195" s="3"/>
      <c r="DL195" s="3"/>
      <c r="DM195" s="3"/>
      <c r="DN195" s="3"/>
      <c r="DO195" s="3"/>
      <c r="DP195" s="3"/>
    </row>
    <row r="196" spans="1:120">
      <c r="A196" t="s">
        <v>1008</v>
      </c>
      <c r="B196" t="str">
        <f>REPLACE(Table1[[#This Row],[Order_ID]],1,3,"YOO")</f>
        <v>YOO10195</v>
      </c>
      <c r="C196" t="str">
        <f>MID(Table1[[#This Row],[Order_ID]],4,4)</f>
        <v>1019</v>
      </c>
      <c r="D196" t="str">
        <f>LEFT(Table1[[#This Row],[Order_ID]],4)</f>
        <v>ORD1</v>
      </c>
      <c r="E196" t="str">
        <f>RIGHT(Table1[[#This Row],[Order_ID]],5)</f>
        <v>10195</v>
      </c>
      <c r="F196" t="s">
        <v>5</v>
      </c>
      <c r="G196">
        <v>10195</v>
      </c>
      <c r="H196" t="s">
        <v>1009</v>
      </c>
      <c r="I196" s="2">
        <f>EDATE(Table1[[#This Row],[Order_Date]],3)</f>
        <v>46215</v>
      </c>
      <c r="J196" s="2">
        <f>EDATE(Table1[[#This Row],[Order_Date]],6)</f>
        <v>46307</v>
      </c>
      <c r="K196">
        <f ca="1">YEAR(Table1[[#This Row],[Today]])</f>
        <v>2026</v>
      </c>
      <c r="L196">
        <v>195</v>
      </c>
      <c r="M196">
        <f ca="1">DAY(Table1[[#This Row],[Today]])</f>
        <v>11</v>
      </c>
      <c r="N196" s="19">
        <f t="shared" ref="N196:N259" ca="1" si="27">NOW()</f>
        <v>46245.589795370368</v>
      </c>
      <c r="O196" s="2">
        <f t="shared" ca="1" si="22"/>
        <v>46245</v>
      </c>
      <c r="P196" s="17">
        <f ca="1">Table1[[#This Row],[Today]]-Table1[[#This Row],[Order_Date]]</f>
        <v>121</v>
      </c>
      <c r="Q196" s="2">
        <v>45852</v>
      </c>
      <c r="R196" s="2">
        <v>46124</v>
      </c>
      <c r="S196" s="6">
        <f t="shared" si="25"/>
        <v>2026</v>
      </c>
      <c r="T196" s="7" t="str">
        <f t="shared" si="26"/>
        <v>April</v>
      </c>
      <c r="U196" s="2">
        <f>WORKDAY(Table1[[#This Row],[Order_Date]],5)</f>
        <v>46129</v>
      </c>
      <c r="V196" s="7" t="str">
        <f>CONCATENATE(Table1[[#This Row],[Customer_ID]],Table1[[#This Row],[Customer_Name]])</f>
        <v>C1005Rahul Sharma</v>
      </c>
      <c r="W196" t="s">
        <v>1010</v>
      </c>
      <c r="X196" t="s">
        <v>290</v>
      </c>
      <c r="Y196">
        <f>COUNTA(Table1[[#This Row],[Customer_Name]])</f>
        <v>1</v>
      </c>
      <c r="Z196" t="str">
        <f>SUBSTITUTE(Table1[[#This Row],[Customer_Name]]," ","_")</f>
        <v>Rahul_Sharma</v>
      </c>
      <c r="AA196" s="10">
        <f>IFERROR(SEARCH("a",Table1[[#This Row],[Customer_Name]]),"N/A")</f>
        <v>2</v>
      </c>
      <c r="AB196">
        <f>SEARCH(" ",Table1[[#This Row],[Customer_Name]])</f>
        <v>6</v>
      </c>
      <c r="AC196" s="11">
        <f>IFERROR(FIND("a",Table1[[#This Row],[Customer_Name]]),"N/A")</f>
        <v>2</v>
      </c>
      <c r="AD196">
        <f>FIND(" ",Table1[[#This Row],[Customer_Name]])</f>
        <v>6</v>
      </c>
      <c r="AE196" t="str">
        <f>TRIM(Table1[[#This Row],[Customer_Name]])</f>
        <v>Rahul Sharma</v>
      </c>
      <c r="AF196">
        <f>LEN(Table1[[#This Row],[Trimmed]])</f>
        <v>12</v>
      </c>
      <c r="AG196">
        <f>MAX(Table1[Length])</f>
        <v>15</v>
      </c>
      <c r="AH196" t="str">
        <f>PROPER(Table1[[#This Row],[Customer_Name]])</f>
        <v>Rahul Sharma</v>
      </c>
      <c r="AI196" t="str">
        <f>LOWER(Table1[[#This Row],[Customer_Name]])</f>
        <v>rahul sharma</v>
      </c>
      <c r="AJ196" t="str">
        <f>UPPER(Table1[[#This Row],[Customer_Name]])</f>
        <v>RAHUL SHARMA</v>
      </c>
      <c r="AK196" t="str">
        <f>CONCATENATE(Table1[[#This Row],[Customer_ID]],Table1[[#This Row],[Customer_Name]])</f>
        <v>C1005Rahul Sharma</v>
      </c>
      <c r="AL196" t="s">
        <v>291</v>
      </c>
      <c r="AM196" t="s">
        <v>292</v>
      </c>
      <c r="AN196" t="s">
        <v>245</v>
      </c>
      <c r="AO196" t="s">
        <v>291</v>
      </c>
      <c r="AP196" t="s">
        <v>292</v>
      </c>
      <c r="AQ196" t="s">
        <v>304</v>
      </c>
      <c r="AR196" t="str">
        <f>TRIM(Table1[[#This Row],[City]])</f>
        <v>Chennai</v>
      </c>
      <c r="AS196" t="str">
        <f>PROPER(Table1[[#This Row],[City]])</f>
        <v>Chennai</v>
      </c>
      <c r="AT196" t="s">
        <v>305</v>
      </c>
      <c r="AU196" t="str">
        <f>CONCATENATE(Table1[[#This Row],[City]],Table1[[#This Row],[State]])</f>
        <v>ChennaiTamil Nadu</v>
      </c>
      <c r="AV196" t="s">
        <v>168</v>
      </c>
      <c r="AW196" t="s">
        <v>201</v>
      </c>
      <c r="AX196" t="str">
        <f>REPLACE(Table1[[#This Row],[Product_ID]],1,1,"s")</f>
        <v>s104</v>
      </c>
      <c r="AY196" t="s">
        <v>1011</v>
      </c>
      <c r="AZ196">
        <f>SEARCH("-",Table1[[#This Row],[Product ID]])</f>
        <v>2</v>
      </c>
      <c r="BA196">
        <f>FIND("-",Table1[[#This Row],[Product ID]])</f>
        <v>2</v>
      </c>
      <c r="BB196" t="str">
        <f>MID(Table1[[#This Row],[Product_ID]],2,3)</f>
        <v>104</v>
      </c>
      <c r="BC196" t="str">
        <f>RIGHT(Table1[[#This Row],[Product_ID]],3)</f>
        <v>104</v>
      </c>
      <c r="BD196" t="str">
        <f>LEFT(Table1[[#This Row],[Product_ID]],3)</f>
        <v>P10</v>
      </c>
      <c r="BE196" t="str">
        <f>_xlfn.XLOOKUP(Table1[[#This Row],[Product_ID]],AW:AW,BF:BF,,0)</f>
        <v>USB-C Hub</v>
      </c>
      <c r="BF196" t="s">
        <v>203</v>
      </c>
      <c r="BG196">
        <f>LEN(Table1[[#This Row],[Product_Name]])</f>
        <v>9</v>
      </c>
      <c r="BH196" t="s">
        <v>154</v>
      </c>
      <c r="BI196">
        <f t="shared" si="21"/>
        <v>75</v>
      </c>
      <c r="BJ196" t="str">
        <f>SUBSTITUTE(Table1[[#This Row],[Category]],"Electronics","ELECTRONICS")</f>
        <v>ELECTRONICS</v>
      </c>
      <c r="BN196" t="s">
        <v>155</v>
      </c>
      <c r="BS196" s="14">
        <v>3</v>
      </c>
      <c r="BT196" s="3">
        <v>1899</v>
      </c>
      <c r="BU196" s="4">
        <v>0</v>
      </c>
      <c r="BV196" s="4" t="str">
        <f>IF(AND(Table1[[#This Row],[Quantity]]&gt;=3,Table1[[#This Row],[Discount_%]]&gt;=15%),"Bulk Discount","no")</f>
        <v>no</v>
      </c>
      <c r="BW196" s="4" t="str">
        <f>IF(AND(Table1[[#This Row],[Quantity]]&gt;3,Table1[[#This Row],[Discount_%]]&gt;15%),"Bulk Customer","Normal")</f>
        <v>Normal</v>
      </c>
      <c r="BX196" t="s">
        <v>135</v>
      </c>
      <c r="BY196" t="s">
        <v>156</v>
      </c>
      <c r="CC196" t="str">
        <f>IF(OR(Table1[[#This Row],[Order_Status]]="Returned",Table1[[#This Row],[Order_Status]]="Cancelled"),"Attention Required","Not")</f>
        <v>Attention Required</v>
      </c>
      <c r="CD196" t="str">
        <f>IF(OR(Table1[[#This Row],[Order_Status]]="Returned",Table1[[#This Row],[Order_Status]]="Cancelled"),"Review","no")</f>
        <v>Review</v>
      </c>
      <c r="CE196" t="str">
        <f>SUBSTITUTE(Table1[[#This Row],[Order_Status]],"Delivered","Completed")</f>
        <v>Cancelled</v>
      </c>
      <c r="CF196" s="2">
        <v>46132</v>
      </c>
      <c r="CG196" s="17">
        <f>NETWORKDAYS(Table1[[#This Row],[Order_Date]],Table1[[#This Row],[Delivery_Date]])</f>
        <v>6</v>
      </c>
      <c r="CH196" s="17">
        <f>Table1[[#This Row],[Delivery_Date]]-Table1[[#This Row],[Order_Date]]</f>
        <v>8</v>
      </c>
      <c r="CI196" t="s">
        <v>137</v>
      </c>
      <c r="CJ196" t="str">
        <f>IF(Table1[[#This Row],[Rating]]&gt;=4,"Good","Needs Improvement")</f>
        <v>Needs Improvement</v>
      </c>
      <c r="CK196" t="str">
        <f>IF(OR(Table1[[#This Row],[Rating]]&lt;=2,Table1[[#This Row],[Profit]]&lt;0),"Review","NO")</f>
        <v>Review</v>
      </c>
      <c r="CL196" t="e" cm="1">
        <f t="array" ref="CL196">_xlfn.IFS(Table1[[#This Row],[Rating]]&gt;2,"Poor",Table1[[#This Row],[Rating]]=3,"Average",Table1[[#This Row],[Rating]]=4,"Good",CP196=5,"Excellent")</f>
        <v>#N/A</v>
      </c>
      <c r="CM196">
        <f>COUNT(Table1[[#This Row],[Rating]])</f>
        <v>0</v>
      </c>
      <c r="CN196">
        <f>COUNTBLANK(Table1[[#This Row],[Rating]])</f>
        <v>1</v>
      </c>
      <c r="CP196" t="s">
        <v>266</v>
      </c>
      <c r="CR196" t="s">
        <v>173</v>
      </c>
      <c r="CS196" t="s">
        <v>140</v>
      </c>
      <c r="CU196" s="3">
        <v>5697</v>
      </c>
      <c r="CV196" s="3">
        <f>ROUND(Table1[[#This Row],[Sales_Amount]],0)</f>
        <v>5697</v>
      </c>
      <c r="CW196" s="3"/>
      <c r="CX196" s="3"/>
      <c r="CY196" s="3" t="b">
        <f>IF(AND(Table1[[#This Row],[Sales_Amount]]&gt;=10000,Table1[[#This Row],[Profit]]&gt;0),"Good Order")</f>
        <v>0</v>
      </c>
      <c r="CZ196" s="3" t="str">
        <f>IF(Table1[[#This Row],[Sales_Amount]]&gt;=10000,"High","Normal")</f>
        <v>Normal</v>
      </c>
      <c r="DA196" s="3">
        <v>2397</v>
      </c>
      <c r="DB196" s="3">
        <f>ROUND(Table1[[#This Row],[Profit]],0)</f>
        <v>2397</v>
      </c>
      <c r="DC196" s="3">
        <f>ABS(Table1[[#This Row],[Profit]])</f>
        <v>2397</v>
      </c>
      <c r="DD196" s="3"/>
      <c r="DE196" s="3"/>
      <c r="DF196" s="3"/>
      <c r="DG196" s="3" t="str">
        <f>IF(Table1[[#This Row],[Profit]]&gt;0,"Profit","Loss")</f>
        <v>Profit</v>
      </c>
      <c r="DH196" s="3" t="str">
        <f>IF(AND(Table1[[#This Row],[Sales_Amount]]&gt;=10000,Table1[[#This Row],[Profit]]&gt;0),"Priority","Normal")</f>
        <v>Normal</v>
      </c>
      <c r="DI196" s="3">
        <f t="shared" ca="1" si="23"/>
        <v>8.2560885021710551E-2</v>
      </c>
      <c r="DJ196" s="3">
        <f t="shared" ca="1" si="24"/>
        <v>88</v>
      </c>
      <c r="DK196" s="3"/>
      <c r="DL196" s="3"/>
      <c r="DM196" s="3"/>
      <c r="DN196" s="3"/>
      <c r="DO196" s="3"/>
      <c r="DP196" s="3"/>
    </row>
    <row r="197" spans="1:120">
      <c r="A197" t="s">
        <v>1012</v>
      </c>
      <c r="B197" t="str">
        <f>REPLACE(Table1[[#This Row],[Order_ID]],1,3,"YOO")</f>
        <v>YOO10196</v>
      </c>
      <c r="C197" t="str">
        <f>MID(Table1[[#This Row],[Order_ID]],4,4)</f>
        <v>1019</v>
      </c>
      <c r="D197" t="str">
        <f>LEFT(Table1[[#This Row],[Order_ID]],4)</f>
        <v>ORD1</v>
      </c>
      <c r="E197" t="str">
        <f>RIGHT(Table1[[#This Row],[Order_ID]],5)</f>
        <v>10196</v>
      </c>
      <c r="F197" t="s">
        <v>5</v>
      </c>
      <c r="G197">
        <v>10196</v>
      </c>
      <c r="H197" t="s">
        <v>1013</v>
      </c>
      <c r="I197" s="2">
        <f>EDATE(Table1[[#This Row],[Order_Date]],3)</f>
        <v>46031</v>
      </c>
      <c r="J197" s="2">
        <f>EDATE(Table1[[#This Row],[Order_Date]],6)</f>
        <v>46121</v>
      </c>
      <c r="K197">
        <f ca="1">YEAR(Table1[[#This Row],[Today]])</f>
        <v>2026</v>
      </c>
      <c r="L197">
        <v>196</v>
      </c>
      <c r="M197">
        <f ca="1">DAY(Table1[[#This Row],[Today]])</f>
        <v>11</v>
      </c>
      <c r="N197" s="19">
        <f t="shared" ca="1" si="27"/>
        <v>46245.589795138891</v>
      </c>
      <c r="O197" s="2">
        <f t="shared" ca="1" si="22"/>
        <v>46245</v>
      </c>
      <c r="P197" s="17">
        <f ca="1">Table1[[#This Row],[Today]]-Table1[[#This Row],[Order_Date]]</f>
        <v>306</v>
      </c>
      <c r="Q197" s="2">
        <v>45853</v>
      </c>
      <c r="R197" s="2">
        <v>45939</v>
      </c>
      <c r="S197" s="6">
        <f t="shared" si="25"/>
        <v>2025</v>
      </c>
      <c r="T197" s="7" t="str">
        <f t="shared" si="26"/>
        <v>October</v>
      </c>
      <c r="U197" s="2">
        <f>WORKDAY(Table1[[#This Row],[Order_Date]],5)</f>
        <v>45946</v>
      </c>
      <c r="V197" s="7" t="str">
        <f>CONCATENATE(Table1[[#This Row],[Customer_ID]],Table1[[#This Row],[Customer_Name]])</f>
        <v>C1028Neha Gupta</v>
      </c>
      <c r="W197" t="s">
        <v>309</v>
      </c>
      <c r="X197" t="s">
        <v>229</v>
      </c>
      <c r="Y197">
        <f>COUNTA(Table1[[#This Row],[Customer_Name]])</f>
        <v>1</v>
      </c>
      <c r="Z197" t="str">
        <f>SUBSTITUTE(Table1[[#This Row],[Customer_Name]]," ","_")</f>
        <v>Neha_Gupta</v>
      </c>
      <c r="AA197" s="10">
        <f>IFERROR(SEARCH("a",Table1[[#This Row],[Customer_Name]]),"N/A")</f>
        <v>4</v>
      </c>
      <c r="AB197">
        <f>SEARCH(" ",Table1[[#This Row],[Customer_Name]])</f>
        <v>5</v>
      </c>
      <c r="AC197" s="11">
        <f>IFERROR(FIND("a",Table1[[#This Row],[Customer_Name]]),"N/A")</f>
        <v>4</v>
      </c>
      <c r="AD197">
        <f>FIND(" ",Table1[[#This Row],[Customer_Name]])</f>
        <v>5</v>
      </c>
      <c r="AE197" t="str">
        <f>TRIM(Table1[[#This Row],[Customer_Name]])</f>
        <v>Neha Gupta</v>
      </c>
      <c r="AF197">
        <f>LEN(Table1[[#This Row],[Trimmed]])</f>
        <v>10</v>
      </c>
      <c r="AG197">
        <f>MAX(Table1[Length])</f>
        <v>15</v>
      </c>
      <c r="AH197" t="str">
        <f>PROPER(Table1[[#This Row],[Customer_Name]])</f>
        <v>Neha Gupta</v>
      </c>
      <c r="AI197" t="str">
        <f>LOWER(Table1[[#This Row],[Customer_Name]])</f>
        <v>neha gupta</v>
      </c>
      <c r="AJ197" t="str">
        <f>UPPER(Table1[[#This Row],[Customer_Name]])</f>
        <v>NEHA GUPTA</v>
      </c>
      <c r="AK197" t="str">
        <f>CONCATENATE(Table1[[#This Row],[Customer_ID]],Table1[[#This Row],[Customer_Name]])</f>
        <v>C1028Neha Gupta</v>
      </c>
      <c r="AL197" t="s">
        <v>230</v>
      </c>
      <c r="AM197" t="s">
        <v>231</v>
      </c>
      <c r="AN197" t="s">
        <v>232</v>
      </c>
      <c r="AO197" t="s">
        <v>230</v>
      </c>
      <c r="AP197" t="s">
        <v>231</v>
      </c>
      <c r="AQ197" t="s">
        <v>304</v>
      </c>
      <c r="AR197" t="str">
        <f>TRIM(Table1[[#This Row],[City]])</f>
        <v>Chennai</v>
      </c>
      <c r="AS197" t="str">
        <f>PROPER(Table1[[#This Row],[City]])</f>
        <v>Chennai</v>
      </c>
      <c r="AT197" t="s">
        <v>305</v>
      </c>
      <c r="AU197" t="str">
        <f>CONCATENATE(Table1[[#This Row],[City]],Table1[[#This Row],[State]])</f>
        <v>ChennaiTamil Nadu</v>
      </c>
      <c r="AV197" t="s">
        <v>168</v>
      </c>
      <c r="AW197" t="s">
        <v>275</v>
      </c>
      <c r="AX197" t="str">
        <f>REPLACE(Table1[[#This Row],[Product_ID]],1,1,"s")</f>
        <v>s101</v>
      </c>
      <c r="AY197" t="s">
        <v>1014</v>
      </c>
      <c r="AZ197">
        <f>SEARCH("-",Table1[[#This Row],[Product ID]])</f>
        <v>2</v>
      </c>
      <c r="BA197">
        <f>FIND("-",Table1[[#This Row],[Product ID]])</f>
        <v>2</v>
      </c>
      <c r="BB197" t="str">
        <f>MID(Table1[[#This Row],[Product_ID]],2,3)</f>
        <v>101</v>
      </c>
      <c r="BC197" t="str">
        <f>RIGHT(Table1[[#This Row],[Product_ID]],3)</f>
        <v>101</v>
      </c>
      <c r="BD197" t="str">
        <f>LEFT(Table1[[#This Row],[Product_ID]],3)</f>
        <v>P10</v>
      </c>
      <c r="BE197" t="str">
        <f>_xlfn.XLOOKUP(Table1[[#This Row],[Product_ID]],AW:AW,BF:BF,,0)</f>
        <v>Wireless Mouse</v>
      </c>
      <c r="BF197" t="s">
        <v>277</v>
      </c>
      <c r="BG197">
        <f>LEN(Table1[[#This Row],[Product_Name]])</f>
        <v>14</v>
      </c>
      <c r="BH197" t="s">
        <v>154</v>
      </c>
      <c r="BI197">
        <f t="shared" ref="BI197:BI260" si="28">COUNTIFS(BH:BH,"Electronics",CQ:CQ,"&gt;=4")</f>
        <v>75</v>
      </c>
      <c r="BJ197" t="str">
        <f>SUBSTITUTE(Table1[[#This Row],[Category]],"Electronics","ELECTRONICS")</f>
        <v>ELECTRONICS</v>
      </c>
      <c r="BN197" t="s">
        <v>155</v>
      </c>
      <c r="BS197" s="14">
        <v>5</v>
      </c>
      <c r="BT197" s="3">
        <v>799</v>
      </c>
      <c r="BU197" s="4">
        <v>10</v>
      </c>
      <c r="BV197" s="4" t="str">
        <f>IF(AND(Table1[[#This Row],[Quantity]]&gt;=3,Table1[[#This Row],[Discount_%]]&gt;=15%),"Bulk Discount","no")</f>
        <v>Bulk Discount</v>
      </c>
      <c r="BW197" s="4" t="str">
        <f>IF(AND(Table1[[#This Row],[Quantity]]&gt;3,Table1[[#This Row],[Discount_%]]&gt;15%),"Bulk Customer","Normal")</f>
        <v>Bulk Customer</v>
      </c>
      <c r="BX197" t="s">
        <v>135</v>
      </c>
      <c r="BY197" t="s">
        <v>136</v>
      </c>
      <c r="CC197" t="str">
        <f>IF(OR(Table1[[#This Row],[Order_Status]]="Returned",Table1[[#This Row],[Order_Status]]="Cancelled"),"Attention Required","Not")</f>
        <v>Not</v>
      </c>
      <c r="CD197" t="str">
        <f>IF(OR(Table1[[#This Row],[Order_Status]]="Returned",Table1[[#This Row],[Order_Status]]="Cancelled"),"Review","no")</f>
        <v>no</v>
      </c>
      <c r="CE197" t="str">
        <f>SUBSTITUTE(Table1[[#This Row],[Order_Status]],"Delivered","Completed")</f>
        <v>Completed</v>
      </c>
      <c r="CF197" s="2">
        <v>45946</v>
      </c>
      <c r="CG197" s="17">
        <f>NETWORKDAYS(Table1[[#This Row],[Order_Date]],Table1[[#This Row],[Delivery_Date]])</f>
        <v>6</v>
      </c>
      <c r="CH197" s="17">
        <f>Table1[[#This Row],[Delivery_Date]]-Table1[[#This Row],[Order_Date]]</f>
        <v>7</v>
      </c>
      <c r="CI197" t="s">
        <v>137</v>
      </c>
      <c r="CJ197" t="str">
        <f>IF(Table1[[#This Row],[Rating]]&gt;=4,"Good","Needs Improvement")</f>
        <v>Needs Improvement</v>
      </c>
      <c r="CK197" t="str">
        <f>IF(OR(Table1[[#This Row],[Rating]]&lt;=2,Table1[[#This Row],[Profit]]&lt;0),"Review","NO")</f>
        <v>NO</v>
      </c>
      <c r="CL197" t="str" cm="1">
        <f t="array" ref="CL197">_xlfn.IFS(Table1[[#This Row],[Rating]]&gt;2,"Poor",Table1[[#This Row],[Rating]]=3,"Average",Table1[[#This Row],[Rating]]=4,"Good",CP197=5,"Excellent")</f>
        <v>Poor</v>
      </c>
      <c r="CM197">
        <f>COUNT(Table1[[#This Row],[Rating]])</f>
        <v>1</v>
      </c>
      <c r="CN197">
        <f>COUNTBLANK(Table1[[#This Row],[Rating]])</f>
        <v>0</v>
      </c>
      <c r="CP197" t="s">
        <v>194</v>
      </c>
      <c r="CQ197" s="14">
        <v>3</v>
      </c>
      <c r="CR197" t="s">
        <v>139</v>
      </c>
      <c r="CS197" t="s">
        <v>158</v>
      </c>
      <c r="CU197" s="3">
        <v>3595.5</v>
      </c>
      <c r="CV197" s="3">
        <f>ROUND(Table1[[#This Row],[Sales_Amount]],0)</f>
        <v>3596</v>
      </c>
      <c r="CW197" s="3"/>
      <c r="CX197" s="3"/>
      <c r="CY197" s="3" t="b">
        <f>IF(AND(Table1[[#This Row],[Sales_Amount]]&gt;=10000,Table1[[#This Row],[Profit]]&gt;0),"Good Order")</f>
        <v>0</v>
      </c>
      <c r="CZ197" s="3" t="str">
        <f>IF(Table1[[#This Row],[Sales_Amount]]&gt;=10000,"High","Normal")</f>
        <v>Normal</v>
      </c>
      <c r="DA197" s="3">
        <v>1495.5</v>
      </c>
      <c r="DB197" s="3">
        <f>ROUND(Table1[[#This Row],[Profit]],0)</f>
        <v>1496</v>
      </c>
      <c r="DC197" s="3">
        <f>ABS(Table1[[#This Row],[Profit]])</f>
        <v>1495.5</v>
      </c>
      <c r="DD197" s="3"/>
      <c r="DE197" s="3"/>
      <c r="DF197" s="3"/>
      <c r="DG197" s="3" t="str">
        <f>IF(Table1[[#This Row],[Profit]]&gt;0,"Profit","Loss")</f>
        <v>Profit</v>
      </c>
      <c r="DH197" s="3" t="str">
        <f>IF(AND(Table1[[#This Row],[Sales_Amount]]&gt;=10000,Table1[[#This Row],[Profit]]&gt;0),"Priority","Normal")</f>
        <v>Normal</v>
      </c>
      <c r="DI197" s="3">
        <f t="shared" ca="1" si="23"/>
        <v>0.75083427124345825</v>
      </c>
      <c r="DJ197" s="3">
        <f t="shared" ca="1" si="24"/>
        <v>19</v>
      </c>
      <c r="DK197" s="3"/>
      <c r="DL197" s="3"/>
      <c r="DM197" s="3"/>
      <c r="DN197" s="3"/>
      <c r="DO197" s="3"/>
      <c r="DP197" s="3"/>
    </row>
    <row r="198" spans="1:120">
      <c r="A198" t="s">
        <v>1015</v>
      </c>
      <c r="B198" t="str">
        <f>REPLACE(Table1[[#This Row],[Order_ID]],1,3,"YOO")</f>
        <v>YOO10197</v>
      </c>
      <c r="C198" t="str">
        <f>MID(Table1[[#This Row],[Order_ID]],4,4)</f>
        <v>1019</v>
      </c>
      <c r="D198" t="str">
        <f>LEFT(Table1[[#This Row],[Order_ID]],4)</f>
        <v>ORD1</v>
      </c>
      <c r="E198" t="str">
        <f>RIGHT(Table1[[#This Row],[Order_ID]],5)</f>
        <v>10197</v>
      </c>
      <c r="F198" t="s">
        <v>5</v>
      </c>
      <c r="G198">
        <v>10197</v>
      </c>
      <c r="H198" t="s">
        <v>1016</v>
      </c>
      <c r="I198" s="2">
        <f>EDATE(Table1[[#This Row],[Order_Date]],3)</f>
        <v>46007</v>
      </c>
      <c r="J198" s="2">
        <f>EDATE(Table1[[#This Row],[Order_Date]],6)</f>
        <v>46097</v>
      </c>
      <c r="K198">
        <f ca="1">YEAR(Table1[[#This Row],[Today]])</f>
        <v>2026</v>
      </c>
      <c r="L198">
        <v>197</v>
      </c>
      <c r="M198">
        <f ca="1">DAY(Table1[[#This Row],[Today]])</f>
        <v>11</v>
      </c>
      <c r="N198" s="19">
        <f t="shared" ca="1" si="27"/>
        <v>46245.589795370368</v>
      </c>
      <c r="O198" s="2">
        <f t="shared" ca="1" si="22"/>
        <v>46245</v>
      </c>
      <c r="P198" s="17">
        <f ca="1">Table1[[#This Row],[Today]]-Table1[[#This Row],[Order_Date]]</f>
        <v>329</v>
      </c>
      <c r="Q198" s="2">
        <v>45854</v>
      </c>
      <c r="R198" s="2">
        <v>45916</v>
      </c>
      <c r="S198" s="6">
        <f t="shared" si="25"/>
        <v>2025</v>
      </c>
      <c r="T198" s="7" t="str">
        <f t="shared" si="26"/>
        <v>September</v>
      </c>
      <c r="U198" s="2">
        <f>WORKDAY(Table1[[#This Row],[Order_Date]],5)</f>
        <v>45923</v>
      </c>
      <c r="V198" s="7" t="str">
        <f>CONCATENATE(Table1[[#This Row],[Customer_ID]],Table1[[#This Row],[Customer_Name]])</f>
        <v>C1096Mohit Khan</v>
      </c>
      <c r="W198" t="s">
        <v>696</v>
      </c>
      <c r="X198" t="s">
        <v>162</v>
      </c>
      <c r="Y198">
        <f>COUNTA(Table1[[#This Row],[Customer_Name]])</f>
        <v>1</v>
      </c>
      <c r="Z198" t="str">
        <f>SUBSTITUTE(Table1[[#This Row],[Customer_Name]]," ","_")</f>
        <v>Mohit_Khan</v>
      </c>
      <c r="AA198" s="10">
        <f>IFERROR(SEARCH("a",Table1[[#This Row],[Customer_Name]]),"N/A")</f>
        <v>9</v>
      </c>
      <c r="AB198">
        <f>SEARCH(" ",Table1[[#This Row],[Customer_Name]])</f>
        <v>6</v>
      </c>
      <c r="AC198" s="11">
        <f>IFERROR(FIND("a",Table1[[#This Row],[Customer_Name]]),"N/A")</f>
        <v>9</v>
      </c>
      <c r="AD198">
        <f>FIND(" ",Table1[[#This Row],[Customer_Name]])</f>
        <v>6</v>
      </c>
      <c r="AE198" t="str">
        <f>TRIM(Table1[[#This Row],[Customer_Name]])</f>
        <v>Mohit Khan</v>
      </c>
      <c r="AF198">
        <f>LEN(Table1[[#This Row],[Trimmed]])</f>
        <v>10</v>
      </c>
      <c r="AG198">
        <f>MAX(Table1[Length])</f>
        <v>15</v>
      </c>
      <c r="AH198" t="str">
        <f>PROPER(Table1[[#This Row],[Customer_Name]])</f>
        <v>Mohit Khan</v>
      </c>
      <c r="AI198" t="str">
        <f>LOWER(Table1[[#This Row],[Customer_Name]])</f>
        <v>mohit khan</v>
      </c>
      <c r="AJ198" t="str">
        <f>UPPER(Table1[[#This Row],[Customer_Name]])</f>
        <v>MOHIT KHAN</v>
      </c>
      <c r="AK198" t="str">
        <f>CONCATENATE(Table1[[#This Row],[Customer_ID]],Table1[[#This Row],[Customer_Name]])</f>
        <v>C1096Mohit Khan</v>
      </c>
      <c r="AL198" t="s">
        <v>163</v>
      </c>
      <c r="AM198" t="s">
        <v>164</v>
      </c>
      <c r="AN198" t="s">
        <v>165</v>
      </c>
      <c r="AO198" t="s">
        <v>163</v>
      </c>
      <c r="AP198" t="s">
        <v>164</v>
      </c>
      <c r="AQ198" t="s">
        <v>304</v>
      </c>
      <c r="AR198" t="str">
        <f>TRIM(Table1[[#This Row],[City]])</f>
        <v>Chennai</v>
      </c>
      <c r="AS198" t="str">
        <f>PROPER(Table1[[#This Row],[City]])</f>
        <v>Chennai</v>
      </c>
      <c r="AT198" t="s">
        <v>305</v>
      </c>
      <c r="AU198" t="str">
        <f>CONCATENATE(Table1[[#This Row],[City]],Table1[[#This Row],[State]])</f>
        <v>ChennaiTamil Nadu</v>
      </c>
      <c r="AV198" t="s">
        <v>168</v>
      </c>
      <c r="AW198" t="s">
        <v>363</v>
      </c>
      <c r="AX198" t="str">
        <f>REPLACE(Table1[[#This Row],[Product_ID]],1,1,"s")</f>
        <v>s110</v>
      </c>
      <c r="AY198" t="s">
        <v>1017</v>
      </c>
      <c r="AZ198">
        <f>SEARCH("-",Table1[[#This Row],[Product ID]])</f>
        <v>2</v>
      </c>
      <c r="BA198">
        <f>FIND("-",Table1[[#This Row],[Product ID]])</f>
        <v>2</v>
      </c>
      <c r="BB198" t="str">
        <f>MID(Table1[[#This Row],[Product_ID]],2,3)</f>
        <v>110</v>
      </c>
      <c r="BC198" t="str">
        <f>RIGHT(Table1[[#This Row],[Product_ID]],3)</f>
        <v>110</v>
      </c>
      <c r="BD198" t="str">
        <f>LEFT(Table1[[#This Row],[Product_ID]],3)</f>
        <v>P11</v>
      </c>
      <c r="BE198" t="str">
        <f>_xlfn.XLOOKUP(Table1[[#This Row],[Product_ID]],AW:AW,BF:BF,,0)</f>
        <v>Smart Watch</v>
      </c>
      <c r="BF198" t="s">
        <v>365</v>
      </c>
      <c r="BG198">
        <f>LEN(Table1[[#This Row],[Product_Name]])</f>
        <v>11</v>
      </c>
      <c r="BH198" t="s">
        <v>154</v>
      </c>
      <c r="BI198">
        <f t="shared" si="28"/>
        <v>75</v>
      </c>
      <c r="BJ198" t="str">
        <f>SUBSTITUTE(Table1[[#This Row],[Category]],"Electronics","ELECTRONICS")</f>
        <v>ELECTRONICS</v>
      </c>
      <c r="BN198" t="s">
        <v>366</v>
      </c>
      <c r="BS198" s="14">
        <v>3</v>
      </c>
      <c r="BT198" s="3">
        <v>4999</v>
      </c>
      <c r="BU198" s="4">
        <v>10</v>
      </c>
      <c r="BV198" s="4" t="str">
        <f>IF(AND(Table1[[#This Row],[Quantity]]&gt;=3,Table1[[#This Row],[Discount_%]]&gt;=15%),"Bulk Discount","no")</f>
        <v>Bulk Discount</v>
      </c>
      <c r="BW198" s="4" t="str">
        <f>IF(AND(Table1[[#This Row],[Quantity]]&gt;3,Table1[[#This Row],[Discount_%]]&gt;15%),"Bulk Customer","Normal")</f>
        <v>Normal</v>
      </c>
      <c r="BX198" t="s">
        <v>330</v>
      </c>
      <c r="BY198" t="s">
        <v>193</v>
      </c>
      <c r="CC198" t="str">
        <f>IF(OR(Table1[[#This Row],[Order_Status]]="Returned",Table1[[#This Row],[Order_Status]]="Cancelled"),"Attention Required","Not")</f>
        <v>Not</v>
      </c>
      <c r="CD198" t="str">
        <f>IF(OR(Table1[[#This Row],[Order_Status]]="Returned",Table1[[#This Row],[Order_Status]]="Cancelled"),"Review","no")</f>
        <v>no</v>
      </c>
      <c r="CE198" t="str">
        <f>SUBSTITUTE(Table1[[#This Row],[Order_Status]],"Delivered","Completed")</f>
        <v>Shipped</v>
      </c>
      <c r="CF198" s="2">
        <v>45923</v>
      </c>
      <c r="CG198" s="17">
        <f>NETWORKDAYS(Table1[[#This Row],[Order_Date]],Table1[[#This Row],[Delivery_Date]])</f>
        <v>6</v>
      </c>
      <c r="CH198" s="17">
        <f>Table1[[#This Row],[Delivery_Date]]-Table1[[#This Row],[Order_Date]]</f>
        <v>7</v>
      </c>
      <c r="CI198" t="s">
        <v>137</v>
      </c>
      <c r="CJ198" t="str">
        <f>IF(Table1[[#This Row],[Rating]]&gt;=4,"Good","Needs Improvement")</f>
        <v>Needs Improvement</v>
      </c>
      <c r="CK198" t="str">
        <f>IF(OR(Table1[[#This Row],[Rating]]&lt;=2,Table1[[#This Row],[Profit]]&lt;0),"Review","NO")</f>
        <v>Review</v>
      </c>
      <c r="CL198" t="e" cm="1">
        <f t="array" ref="CL198">_xlfn.IFS(Table1[[#This Row],[Rating]]&gt;2,"Poor",Table1[[#This Row],[Rating]]=3,"Average",Table1[[#This Row],[Rating]]=4,"Good",CP198=5,"Excellent")</f>
        <v>#N/A</v>
      </c>
      <c r="CM198">
        <f>COUNT(Table1[[#This Row],[Rating]])</f>
        <v>1</v>
      </c>
      <c r="CN198">
        <f>COUNTBLANK(Table1[[#This Row],[Rating]])</f>
        <v>0</v>
      </c>
      <c r="CP198" t="s">
        <v>266</v>
      </c>
      <c r="CQ198" s="14">
        <v>2</v>
      </c>
      <c r="CR198" t="s">
        <v>139</v>
      </c>
      <c r="CS198" t="s">
        <v>213</v>
      </c>
      <c r="CU198" s="3">
        <v>13497.3</v>
      </c>
      <c r="CV198" s="3">
        <f>ROUND(Table1[[#This Row],[Sales_Amount]],0)</f>
        <v>13497</v>
      </c>
      <c r="CW198" s="3"/>
      <c r="CX198" s="3"/>
      <c r="CY198" s="3" t="str">
        <f>IF(AND(Table1[[#This Row],[Sales_Amount]]&gt;=10000,Table1[[#This Row],[Profit]]&gt;0),"Good Order")</f>
        <v>Good Order</v>
      </c>
      <c r="CZ198" s="3" t="str">
        <f>IF(Table1[[#This Row],[Sales_Amount]]&gt;=10000,"High","Normal")</f>
        <v>High</v>
      </c>
      <c r="DA198" s="3">
        <v>4197.3</v>
      </c>
      <c r="DB198" s="3">
        <f>ROUND(Table1[[#This Row],[Profit]],0)</f>
        <v>4197</v>
      </c>
      <c r="DC198" s="3">
        <f>ABS(Table1[[#This Row],[Profit]])</f>
        <v>4197.3</v>
      </c>
      <c r="DD198" s="3"/>
      <c r="DE198" s="3"/>
      <c r="DF198" s="3"/>
      <c r="DG198" s="3" t="str">
        <f>IF(Table1[[#This Row],[Profit]]&gt;0,"Profit","Loss")</f>
        <v>Profit</v>
      </c>
      <c r="DH198" s="3" t="str">
        <f>IF(AND(Table1[[#This Row],[Sales_Amount]]&gt;=10000,Table1[[#This Row],[Profit]]&gt;0),"Priority","Normal")</f>
        <v>Priority</v>
      </c>
      <c r="DI198" s="3">
        <f t="shared" ca="1" si="23"/>
        <v>0.27199569259390011</v>
      </c>
      <c r="DJ198" s="3">
        <f t="shared" ca="1" si="24"/>
        <v>23</v>
      </c>
      <c r="DK198" s="3"/>
      <c r="DL198" s="3"/>
      <c r="DM198" s="3"/>
      <c r="DN198" s="3"/>
      <c r="DO198" s="3"/>
      <c r="DP198" s="3"/>
    </row>
    <row r="199" spans="1:120">
      <c r="A199" t="s">
        <v>1018</v>
      </c>
      <c r="B199" t="str">
        <f>REPLACE(Table1[[#This Row],[Order_ID]],1,3,"YOO")</f>
        <v>YOO10198</v>
      </c>
      <c r="C199" t="str">
        <f>MID(Table1[[#This Row],[Order_ID]],4,4)</f>
        <v>1019</v>
      </c>
      <c r="D199" t="str">
        <f>LEFT(Table1[[#This Row],[Order_ID]],4)</f>
        <v>ORD1</v>
      </c>
      <c r="E199" t="str">
        <f>RIGHT(Table1[[#This Row],[Order_ID]],5)</f>
        <v>10198</v>
      </c>
      <c r="F199" t="s">
        <v>5</v>
      </c>
      <c r="G199">
        <v>10198</v>
      </c>
      <c r="H199" t="s">
        <v>1019</v>
      </c>
      <c r="I199" s="2">
        <f>EDATE(Table1[[#This Row],[Order_Date]],3)</f>
        <v>45832</v>
      </c>
      <c r="J199" s="2">
        <f>EDATE(Table1[[#This Row],[Order_Date]],6)</f>
        <v>45924</v>
      </c>
      <c r="K199">
        <f ca="1">YEAR(Table1[[#This Row],[Today]])</f>
        <v>2026</v>
      </c>
      <c r="L199">
        <v>198</v>
      </c>
      <c r="M199">
        <f ca="1">DAY(Table1[[#This Row],[Today]])</f>
        <v>11</v>
      </c>
      <c r="N199" s="19">
        <f t="shared" ca="1" si="27"/>
        <v>46245.589795370368</v>
      </c>
      <c r="O199" s="2">
        <f t="shared" ca="1" si="22"/>
        <v>46245</v>
      </c>
      <c r="P199" s="17">
        <f ca="1">Table1[[#This Row],[Today]]-Table1[[#This Row],[Order_Date]]</f>
        <v>505</v>
      </c>
      <c r="Q199" s="2">
        <v>45855</v>
      </c>
      <c r="R199" s="2">
        <v>45740</v>
      </c>
      <c r="S199" s="6">
        <f t="shared" si="25"/>
        <v>2025</v>
      </c>
      <c r="T199" s="7" t="str">
        <f t="shared" si="26"/>
        <v>March</v>
      </c>
      <c r="U199" s="2">
        <f>WORKDAY(Table1[[#This Row],[Order_Date]],5)</f>
        <v>45747</v>
      </c>
      <c r="V199" s="7" t="str">
        <f>CONCATENATE(Table1[[#This Row],[Customer_ID]],Table1[[#This Row],[Customer_Name]])</f>
        <v>C1142Kavya Shah</v>
      </c>
      <c r="W199" t="s">
        <v>241</v>
      </c>
      <c r="X199" t="s">
        <v>271</v>
      </c>
      <c r="Y199">
        <f>COUNTA(Table1[[#This Row],[Customer_Name]])</f>
        <v>1</v>
      </c>
      <c r="Z199" t="str">
        <f>SUBSTITUTE(Table1[[#This Row],[Customer_Name]]," ","_")</f>
        <v>Kavya_Shah</v>
      </c>
      <c r="AA199" s="10">
        <f>IFERROR(SEARCH("a",Table1[[#This Row],[Customer_Name]]),"N/A")</f>
        <v>2</v>
      </c>
      <c r="AB199">
        <f>SEARCH(" ",Table1[[#This Row],[Customer_Name]])</f>
        <v>6</v>
      </c>
      <c r="AC199" s="11">
        <f>IFERROR(FIND("a",Table1[[#This Row],[Customer_Name]]),"N/A")</f>
        <v>2</v>
      </c>
      <c r="AD199">
        <f>FIND(" ",Table1[[#This Row],[Customer_Name]])</f>
        <v>6</v>
      </c>
      <c r="AE199" t="str">
        <f>TRIM(Table1[[#This Row],[Customer_Name]])</f>
        <v>Kavya Shah</v>
      </c>
      <c r="AF199">
        <f>LEN(Table1[[#This Row],[Trimmed]])</f>
        <v>10</v>
      </c>
      <c r="AG199">
        <f>MAX(Table1[Length])</f>
        <v>15</v>
      </c>
      <c r="AH199" t="str">
        <f>PROPER(Table1[[#This Row],[Customer_Name]])</f>
        <v>Kavya Shah</v>
      </c>
      <c r="AI199" t="str">
        <f>LOWER(Table1[[#This Row],[Customer_Name]])</f>
        <v>kavya shah</v>
      </c>
      <c r="AJ199" t="str">
        <f>UPPER(Table1[[#This Row],[Customer_Name]])</f>
        <v>KAVYA SHAH</v>
      </c>
      <c r="AK199" t="str">
        <f>CONCATENATE(Table1[[#This Row],[Customer_ID]],Table1[[#This Row],[Customer_Name]])</f>
        <v>C1142Kavya Shah</v>
      </c>
      <c r="AL199" t="s">
        <v>272</v>
      </c>
      <c r="AM199" t="s">
        <v>273</v>
      </c>
      <c r="AN199" t="s">
        <v>274</v>
      </c>
      <c r="AO199" t="s">
        <v>272</v>
      </c>
      <c r="AP199" t="s">
        <v>273</v>
      </c>
      <c r="AQ199" t="s">
        <v>379</v>
      </c>
      <c r="AR199" t="str">
        <f>TRIM(Table1[[#This Row],[City]])</f>
        <v>Indore</v>
      </c>
      <c r="AS199" t="str">
        <f>PROPER(Table1[[#This Row],[City]])</f>
        <v>Indore</v>
      </c>
      <c r="AT199" t="s">
        <v>345</v>
      </c>
      <c r="AU199" t="str">
        <f>CONCATENATE(Table1[[#This Row],[City]],Table1[[#This Row],[State]])</f>
        <v>IndoreMadhya Pradesh</v>
      </c>
      <c r="AV199" t="s">
        <v>346</v>
      </c>
      <c r="AW199" t="s">
        <v>201</v>
      </c>
      <c r="AX199" t="str">
        <f>REPLACE(Table1[[#This Row],[Product_ID]],1,1,"s")</f>
        <v>s104</v>
      </c>
      <c r="AY199" t="s">
        <v>1020</v>
      </c>
      <c r="AZ199">
        <f>SEARCH("-",Table1[[#This Row],[Product ID]])</f>
        <v>2</v>
      </c>
      <c r="BA199">
        <f>FIND("-",Table1[[#This Row],[Product ID]])</f>
        <v>2</v>
      </c>
      <c r="BB199" t="str">
        <f>MID(Table1[[#This Row],[Product_ID]],2,3)</f>
        <v>104</v>
      </c>
      <c r="BC199" t="str">
        <f>RIGHT(Table1[[#This Row],[Product_ID]],3)</f>
        <v>104</v>
      </c>
      <c r="BD199" t="str">
        <f>LEFT(Table1[[#This Row],[Product_ID]],3)</f>
        <v>P10</v>
      </c>
      <c r="BE199" t="str">
        <f>_xlfn.XLOOKUP(Table1[[#This Row],[Product_ID]],AW:AW,BF:BF,,0)</f>
        <v>USB-C Hub</v>
      </c>
      <c r="BF199" t="s">
        <v>203</v>
      </c>
      <c r="BG199">
        <f>LEN(Table1[[#This Row],[Product_Name]])</f>
        <v>9</v>
      </c>
      <c r="BH199" t="s">
        <v>154</v>
      </c>
      <c r="BI199">
        <f t="shared" si="28"/>
        <v>75</v>
      </c>
      <c r="BJ199" t="str">
        <f>SUBSTITUTE(Table1[[#This Row],[Category]],"Electronics","ELECTRONICS")</f>
        <v>ELECTRONICS</v>
      </c>
      <c r="BN199" t="s">
        <v>155</v>
      </c>
      <c r="BS199" s="14">
        <v>1</v>
      </c>
      <c r="BT199" s="3">
        <v>1899</v>
      </c>
      <c r="BU199" s="4">
        <v>0</v>
      </c>
      <c r="BV199" s="4" t="str">
        <f>IF(AND(Table1[[#This Row],[Quantity]]&gt;=3,Table1[[#This Row],[Discount_%]]&gt;=15%),"Bulk Discount","no")</f>
        <v>no</v>
      </c>
      <c r="BW199" s="4" t="str">
        <f>IF(AND(Table1[[#This Row],[Quantity]]&gt;3,Table1[[#This Row],[Discount_%]]&gt;15%),"Bulk Customer","Normal")</f>
        <v>Normal</v>
      </c>
      <c r="BX199" t="s">
        <v>172</v>
      </c>
      <c r="BY199" t="s">
        <v>136</v>
      </c>
      <c r="CC199" t="str">
        <f>IF(OR(Table1[[#This Row],[Order_Status]]="Returned",Table1[[#This Row],[Order_Status]]="Cancelled"),"Attention Required","Not")</f>
        <v>Not</v>
      </c>
      <c r="CD199" t="str">
        <f>IF(OR(Table1[[#This Row],[Order_Status]]="Returned",Table1[[#This Row],[Order_Status]]="Cancelled"),"Review","no")</f>
        <v>no</v>
      </c>
      <c r="CE199" t="str">
        <f>SUBSTITUTE(Table1[[#This Row],[Order_Status]],"Delivered","Completed")</f>
        <v>Completed</v>
      </c>
      <c r="CF199" s="2">
        <v>45747</v>
      </c>
      <c r="CG199" s="17">
        <f>NETWORKDAYS(Table1[[#This Row],[Order_Date]],Table1[[#This Row],[Delivery_Date]])</f>
        <v>6</v>
      </c>
      <c r="CH199" s="17">
        <f>Table1[[#This Row],[Delivery_Date]]-Table1[[#This Row],[Order_Date]]</f>
        <v>7</v>
      </c>
      <c r="CI199" t="s">
        <v>137</v>
      </c>
      <c r="CJ199" t="str">
        <f>IF(Table1[[#This Row],[Rating]]&gt;=4,"Good","Needs Improvement")</f>
        <v>Good</v>
      </c>
      <c r="CK199" t="str">
        <f>IF(OR(Table1[[#This Row],[Rating]]&lt;=2,Table1[[#This Row],[Profit]]&lt;0),"Review","NO")</f>
        <v>NO</v>
      </c>
      <c r="CL199" t="str" cm="1">
        <f t="array" ref="CL199">_xlfn.IFS(Table1[[#This Row],[Rating]]&gt;2,"Poor",Table1[[#This Row],[Rating]]=3,"Average",Table1[[#This Row],[Rating]]=4,"Good",CP199=5,"Excellent")</f>
        <v>Poor</v>
      </c>
      <c r="CM199">
        <f>COUNT(Table1[[#This Row],[Rating]])</f>
        <v>1</v>
      </c>
      <c r="CN199">
        <f>COUNTBLANK(Table1[[#This Row],[Rating]])</f>
        <v>0</v>
      </c>
      <c r="CQ199" s="14">
        <v>5</v>
      </c>
      <c r="CR199" t="s">
        <v>139</v>
      </c>
      <c r="CS199" t="s">
        <v>213</v>
      </c>
      <c r="CU199" s="3">
        <v>1899</v>
      </c>
      <c r="CV199" s="3">
        <f>ROUND(Table1[[#This Row],[Sales_Amount]],0)</f>
        <v>1899</v>
      </c>
      <c r="CW199" s="3"/>
      <c r="CX199" s="3"/>
      <c r="CY199" s="3" t="b">
        <f>IF(AND(Table1[[#This Row],[Sales_Amount]]&gt;=10000,Table1[[#This Row],[Profit]]&gt;0),"Good Order")</f>
        <v>0</v>
      </c>
      <c r="CZ199" s="3" t="str">
        <f>IF(Table1[[#This Row],[Sales_Amount]]&gt;=10000,"High","Normal")</f>
        <v>Normal</v>
      </c>
      <c r="DA199" s="3">
        <v>799</v>
      </c>
      <c r="DB199" s="3">
        <f>ROUND(Table1[[#This Row],[Profit]],0)</f>
        <v>799</v>
      </c>
      <c r="DC199" s="3">
        <f>ABS(Table1[[#This Row],[Profit]])</f>
        <v>799</v>
      </c>
      <c r="DD199" s="3"/>
      <c r="DE199" s="3"/>
      <c r="DF199" s="3"/>
      <c r="DG199" s="3" t="str">
        <f>IF(Table1[[#This Row],[Profit]]&gt;0,"Profit","Loss")</f>
        <v>Profit</v>
      </c>
      <c r="DH199" s="3" t="str">
        <f>IF(AND(Table1[[#This Row],[Sales_Amount]]&gt;=10000,Table1[[#This Row],[Profit]]&gt;0),"Priority","Normal")</f>
        <v>Normal</v>
      </c>
      <c r="DI199" s="3">
        <f t="shared" ca="1" si="23"/>
        <v>0.45723090094446428</v>
      </c>
      <c r="DJ199" s="3">
        <f t="shared" ca="1" si="24"/>
        <v>32</v>
      </c>
      <c r="DK199" s="3"/>
      <c r="DL199" s="3"/>
      <c r="DM199" s="3"/>
      <c r="DN199" s="3"/>
      <c r="DO199" s="3"/>
      <c r="DP199" s="3"/>
    </row>
    <row r="200" spans="1:120">
      <c r="A200" t="s">
        <v>1021</v>
      </c>
      <c r="B200" t="str">
        <f>REPLACE(Table1[[#This Row],[Order_ID]],1,3,"YOO")</f>
        <v>YOO10199</v>
      </c>
      <c r="C200" t="str">
        <f>MID(Table1[[#This Row],[Order_ID]],4,4)</f>
        <v>1019</v>
      </c>
      <c r="D200" t="str">
        <f>LEFT(Table1[[#This Row],[Order_ID]],4)</f>
        <v>ORD1</v>
      </c>
      <c r="E200" t="str">
        <f>RIGHT(Table1[[#This Row],[Order_ID]],5)</f>
        <v>10199</v>
      </c>
      <c r="F200" t="s">
        <v>5</v>
      </c>
      <c r="G200">
        <v>10199</v>
      </c>
      <c r="H200" t="s">
        <v>1022</v>
      </c>
      <c r="I200" s="2">
        <f>EDATE(Table1[[#This Row],[Order_Date]],3)</f>
        <v>46261</v>
      </c>
      <c r="J200" s="2">
        <f>EDATE(Table1[[#This Row],[Order_Date]],6)</f>
        <v>46353</v>
      </c>
      <c r="K200">
        <f ca="1">YEAR(Table1[[#This Row],[Today]])</f>
        <v>2026</v>
      </c>
      <c r="L200">
        <v>199</v>
      </c>
      <c r="M200">
        <f ca="1">DAY(Table1[[#This Row],[Today]])</f>
        <v>11</v>
      </c>
      <c r="N200" s="19">
        <f t="shared" ca="1" si="27"/>
        <v>46245.589795138891</v>
      </c>
      <c r="O200" s="2">
        <f t="shared" ca="1" si="22"/>
        <v>46245</v>
      </c>
      <c r="P200" s="17">
        <f ca="1">Table1[[#This Row],[Today]]-Table1[[#This Row],[Order_Date]]</f>
        <v>76</v>
      </c>
      <c r="Q200" s="2">
        <v>45856</v>
      </c>
      <c r="R200" s="2">
        <v>46169</v>
      </c>
      <c r="S200" s="6">
        <f t="shared" si="25"/>
        <v>2026</v>
      </c>
      <c r="T200" s="7" t="str">
        <f t="shared" si="26"/>
        <v>May</v>
      </c>
      <c r="U200" s="2">
        <f>WORKDAY(Table1[[#This Row],[Order_Date]],5)</f>
        <v>46176</v>
      </c>
      <c r="V200" s="7" t="str">
        <f>CONCATENATE(Table1[[#This Row],[Customer_ID]],Table1[[#This Row],[Customer_Name]])</f>
        <v>C1059Karan Patel</v>
      </c>
      <c r="W200" t="s">
        <v>963</v>
      </c>
      <c r="X200" t="s">
        <v>280</v>
      </c>
      <c r="Y200">
        <f>COUNTA(Table1[[#This Row],[Customer_Name]])</f>
        <v>1</v>
      </c>
      <c r="Z200" t="str">
        <f>SUBSTITUTE(Table1[[#This Row],[Customer_Name]]," ","_")</f>
        <v>Karan_Patel</v>
      </c>
      <c r="AA200" s="10">
        <f>IFERROR(SEARCH("a",Table1[[#This Row],[Customer_Name]]),"N/A")</f>
        <v>2</v>
      </c>
      <c r="AB200">
        <f>SEARCH(" ",Table1[[#This Row],[Customer_Name]])</f>
        <v>6</v>
      </c>
      <c r="AC200" s="11">
        <f>IFERROR(FIND("a",Table1[[#This Row],[Customer_Name]]),"N/A")</f>
        <v>2</v>
      </c>
      <c r="AD200">
        <f>FIND(" ",Table1[[#This Row],[Customer_Name]])</f>
        <v>6</v>
      </c>
      <c r="AE200" t="str">
        <f>TRIM(Table1[[#This Row],[Customer_Name]])</f>
        <v>Karan Patel</v>
      </c>
      <c r="AF200">
        <f>LEN(Table1[[#This Row],[Trimmed]])</f>
        <v>11</v>
      </c>
      <c r="AG200">
        <f>MAX(Table1[Length])</f>
        <v>15</v>
      </c>
      <c r="AH200" t="str">
        <f>PROPER(Table1[[#This Row],[Customer_Name]])</f>
        <v>Karan Patel</v>
      </c>
      <c r="AI200" t="str">
        <f>LOWER(Table1[[#This Row],[Customer_Name]])</f>
        <v>karan patel</v>
      </c>
      <c r="AJ200" t="str">
        <f>UPPER(Table1[[#This Row],[Customer_Name]])</f>
        <v>KARAN PATEL</v>
      </c>
      <c r="AK200" t="str">
        <f>CONCATENATE(Table1[[#This Row],[Customer_ID]],Table1[[#This Row],[Customer_Name]])</f>
        <v>C1059Karan Patel</v>
      </c>
      <c r="AL200" t="s">
        <v>281</v>
      </c>
      <c r="AM200" t="s">
        <v>282</v>
      </c>
      <c r="AN200" t="s">
        <v>283</v>
      </c>
      <c r="AO200" t="s">
        <v>281</v>
      </c>
      <c r="AP200" t="s">
        <v>282</v>
      </c>
      <c r="AQ200" t="s">
        <v>127</v>
      </c>
      <c r="AR200" t="str">
        <f>TRIM(Table1[[#This Row],[City]])</f>
        <v>Pune</v>
      </c>
      <c r="AS200" t="str">
        <f>PROPER(Table1[[#This Row],[City]])</f>
        <v>Pune</v>
      </c>
      <c r="AT200" t="s">
        <v>128</v>
      </c>
      <c r="AU200" t="str">
        <f>CONCATENATE(Table1[[#This Row],[City]],Table1[[#This Row],[State]])</f>
        <v>PuneMaharashtra</v>
      </c>
      <c r="AV200" t="s">
        <v>129</v>
      </c>
      <c r="AW200" t="s">
        <v>319</v>
      </c>
      <c r="AX200" t="str">
        <f>REPLACE(Table1[[#This Row],[Product_ID]],1,1,"s")</f>
        <v>s103</v>
      </c>
      <c r="AY200" t="s">
        <v>1023</v>
      </c>
      <c r="AZ200">
        <f>SEARCH("-",Table1[[#This Row],[Product ID]])</f>
        <v>2</v>
      </c>
      <c r="BA200">
        <f>FIND("-",Table1[[#This Row],[Product ID]])</f>
        <v>2</v>
      </c>
      <c r="BB200" t="str">
        <f>MID(Table1[[#This Row],[Product_ID]],2,3)</f>
        <v>103</v>
      </c>
      <c r="BC200" t="str">
        <f>RIGHT(Table1[[#This Row],[Product_ID]],3)</f>
        <v>103</v>
      </c>
      <c r="BD200" t="str">
        <f>LEFT(Table1[[#This Row],[Product_ID]],3)</f>
        <v>P10</v>
      </c>
      <c r="BE200" t="str">
        <f>_xlfn.XLOOKUP(Table1[[#This Row],[Product_ID]],AW:AW,BF:BF,,0)</f>
        <v>Laptop Stand</v>
      </c>
      <c r="BF200" t="s">
        <v>321</v>
      </c>
      <c r="BG200">
        <f>LEN(Table1[[#This Row],[Product_Name]])</f>
        <v>12</v>
      </c>
      <c r="BH200" t="s">
        <v>154</v>
      </c>
      <c r="BI200">
        <f t="shared" si="28"/>
        <v>75</v>
      </c>
      <c r="BJ200" t="str">
        <f>SUBSTITUTE(Table1[[#This Row],[Category]],"Electronics","ELECTRONICS")</f>
        <v>ELECTRONICS</v>
      </c>
      <c r="BN200" t="s">
        <v>155</v>
      </c>
      <c r="BS200" s="14">
        <v>4</v>
      </c>
      <c r="BT200" s="3">
        <v>1599</v>
      </c>
      <c r="BU200" s="4">
        <v>15</v>
      </c>
      <c r="BV200" s="4" t="str">
        <f>IF(AND(Table1[[#This Row],[Quantity]]&gt;=3,Table1[[#This Row],[Discount_%]]&gt;=15%),"Bulk Discount","no")</f>
        <v>Bulk Discount</v>
      </c>
      <c r="BW200" s="4" t="str">
        <f>IF(AND(Table1[[#This Row],[Quantity]]&gt;3,Table1[[#This Row],[Discount_%]]&gt;15%),"Bulk Customer","Normal")</f>
        <v>Bulk Customer</v>
      </c>
      <c r="BX200" t="s">
        <v>135</v>
      </c>
      <c r="BY200" t="s">
        <v>156</v>
      </c>
      <c r="CC200" t="str">
        <f>IF(OR(Table1[[#This Row],[Order_Status]]="Returned",Table1[[#This Row],[Order_Status]]="Cancelled"),"Attention Required","Not")</f>
        <v>Attention Required</v>
      </c>
      <c r="CD200" t="str">
        <f>IF(OR(Table1[[#This Row],[Order_Status]]="Returned",Table1[[#This Row],[Order_Status]]="Cancelled"),"Review","no")</f>
        <v>Review</v>
      </c>
      <c r="CE200" t="str">
        <f>SUBSTITUTE(Table1[[#This Row],[Order_Status]],"Delivered","Completed")</f>
        <v>Cancelled</v>
      </c>
      <c r="CF200" s="2">
        <v>46171</v>
      </c>
      <c r="CG200" s="17">
        <f>NETWORKDAYS(Table1[[#This Row],[Order_Date]],Table1[[#This Row],[Delivery_Date]])</f>
        <v>3</v>
      </c>
      <c r="CH200" s="17">
        <f>Table1[[#This Row],[Delivery_Date]]-Table1[[#This Row],[Order_Date]]</f>
        <v>2</v>
      </c>
      <c r="CI200" t="s">
        <v>137</v>
      </c>
      <c r="CJ200" t="str">
        <f>IF(Table1[[#This Row],[Rating]]&gt;=4,"Good","Needs Improvement")</f>
        <v>Needs Improvement</v>
      </c>
      <c r="CK200" t="str">
        <f>IF(OR(Table1[[#This Row],[Rating]]&lt;=2,Table1[[#This Row],[Profit]]&lt;0),"Review","NO")</f>
        <v>Review</v>
      </c>
      <c r="CL200" t="e" cm="1">
        <f t="array" ref="CL200">_xlfn.IFS(Table1[[#This Row],[Rating]]&gt;2,"Poor",Table1[[#This Row],[Rating]]=3,"Average",Table1[[#This Row],[Rating]]=4,"Good",CP200=5,"Excellent")</f>
        <v>#N/A</v>
      </c>
      <c r="CM200">
        <f>COUNT(Table1[[#This Row],[Rating]])</f>
        <v>1</v>
      </c>
      <c r="CN200">
        <f>COUNTBLANK(Table1[[#This Row],[Rating]])</f>
        <v>0</v>
      </c>
      <c r="CP200" t="s">
        <v>138</v>
      </c>
      <c r="CQ200" s="14">
        <v>1</v>
      </c>
      <c r="CR200" t="s">
        <v>173</v>
      </c>
      <c r="CS200" t="s">
        <v>140</v>
      </c>
      <c r="CU200" s="3">
        <v>5436.6</v>
      </c>
      <c r="CV200" s="3">
        <f>ROUND(Table1[[#This Row],[Sales_Amount]],0)</f>
        <v>5437</v>
      </c>
      <c r="CW200" s="3"/>
      <c r="CX200" s="3"/>
      <c r="CY200" s="3" t="b">
        <f>IF(AND(Table1[[#This Row],[Sales_Amount]]&gt;=10000,Table1[[#This Row],[Profit]]&gt;0),"Good Order")</f>
        <v>0</v>
      </c>
      <c r="CZ200" s="3" t="str">
        <f>IF(Table1[[#This Row],[Sales_Amount]]&gt;=10000,"High","Normal")</f>
        <v>Normal</v>
      </c>
      <c r="DA200" s="3">
        <v>1836.6</v>
      </c>
      <c r="DB200" s="3">
        <f>ROUND(Table1[[#This Row],[Profit]],0)</f>
        <v>1837</v>
      </c>
      <c r="DC200" s="3">
        <f>ABS(Table1[[#This Row],[Profit]])</f>
        <v>1836.6</v>
      </c>
      <c r="DD200" s="3"/>
      <c r="DE200" s="3"/>
      <c r="DF200" s="3"/>
      <c r="DG200" s="3" t="str">
        <f>IF(Table1[[#This Row],[Profit]]&gt;0,"Profit","Loss")</f>
        <v>Profit</v>
      </c>
      <c r="DH200" s="3" t="str">
        <f>IF(AND(Table1[[#This Row],[Sales_Amount]]&gt;=10000,Table1[[#This Row],[Profit]]&gt;0),"Priority","Normal")</f>
        <v>Normal</v>
      </c>
      <c r="DI200" s="3">
        <f t="shared" ca="1" si="23"/>
        <v>0.38420534249971872</v>
      </c>
      <c r="DJ200" s="3">
        <f t="shared" ca="1" si="24"/>
        <v>30</v>
      </c>
      <c r="DK200" s="3"/>
      <c r="DL200" s="3"/>
      <c r="DM200" s="3"/>
      <c r="DN200" s="3"/>
      <c r="DO200" s="3"/>
      <c r="DP200" s="3"/>
    </row>
    <row r="201" spans="1:120">
      <c r="A201" t="s">
        <v>1024</v>
      </c>
      <c r="B201" t="str">
        <f>REPLACE(Table1[[#This Row],[Order_ID]],1,3,"YOO")</f>
        <v>YOO10200</v>
      </c>
      <c r="C201" t="str">
        <f>MID(Table1[[#This Row],[Order_ID]],4,4)</f>
        <v>1020</v>
      </c>
      <c r="D201" t="str">
        <f>LEFT(Table1[[#This Row],[Order_ID]],4)</f>
        <v>ORD1</v>
      </c>
      <c r="E201" t="str">
        <f>RIGHT(Table1[[#This Row],[Order_ID]],5)</f>
        <v>10200</v>
      </c>
      <c r="F201" t="s">
        <v>5</v>
      </c>
      <c r="G201">
        <v>10200</v>
      </c>
      <c r="H201" t="s">
        <v>1025</v>
      </c>
      <c r="I201" s="2">
        <f>EDATE(Table1[[#This Row],[Order_Date]],3)</f>
        <v>46037</v>
      </c>
      <c r="J201" s="2">
        <f>EDATE(Table1[[#This Row],[Order_Date]],6)</f>
        <v>46127</v>
      </c>
      <c r="K201">
        <f ca="1">YEAR(Table1[[#This Row],[Today]])</f>
        <v>2026</v>
      </c>
      <c r="L201">
        <v>200</v>
      </c>
      <c r="M201">
        <f ca="1">DAY(Table1[[#This Row],[Today]])</f>
        <v>11</v>
      </c>
      <c r="N201" s="19">
        <f t="shared" ca="1" si="27"/>
        <v>46245.589795370368</v>
      </c>
      <c r="O201" s="2">
        <f t="shared" ca="1" si="22"/>
        <v>46245</v>
      </c>
      <c r="P201" s="17">
        <f ca="1">Table1[[#This Row],[Today]]-Table1[[#This Row],[Order_Date]]</f>
        <v>300</v>
      </c>
      <c r="Q201" s="2">
        <v>45857</v>
      </c>
      <c r="R201" s="2">
        <v>45945</v>
      </c>
      <c r="S201" s="6">
        <f t="shared" si="25"/>
        <v>2025</v>
      </c>
      <c r="T201" s="7" t="str">
        <f t="shared" si="26"/>
        <v>October</v>
      </c>
      <c r="U201" s="2">
        <f>WORKDAY(Table1[[#This Row],[Order_Date]],5)</f>
        <v>45952</v>
      </c>
      <c r="V201" s="7" t="str">
        <f>CONCATENATE(Table1[[#This Row],[Customer_ID]],Table1[[#This Row],[Customer_Name]])</f>
        <v>C1054Varun Tiwari</v>
      </c>
      <c r="W201" t="s">
        <v>1026</v>
      </c>
      <c r="X201" t="s">
        <v>178</v>
      </c>
      <c r="Y201">
        <f>COUNTA(Table1[[#This Row],[Customer_Name]])</f>
        <v>1</v>
      </c>
      <c r="Z201" t="str">
        <f>SUBSTITUTE(Table1[[#This Row],[Customer_Name]]," ","_")</f>
        <v>Varun_Tiwari</v>
      </c>
      <c r="AA201" s="10">
        <f>IFERROR(SEARCH("a",Table1[[#This Row],[Customer_Name]]),"N/A")</f>
        <v>2</v>
      </c>
      <c r="AB201">
        <f>SEARCH(" ",Table1[[#This Row],[Customer_Name]])</f>
        <v>6</v>
      </c>
      <c r="AC201" s="11">
        <f>IFERROR(FIND("a",Table1[[#This Row],[Customer_Name]]),"N/A")</f>
        <v>2</v>
      </c>
      <c r="AD201">
        <f>FIND(" ",Table1[[#This Row],[Customer_Name]])</f>
        <v>6</v>
      </c>
      <c r="AE201" t="str">
        <f>TRIM(Table1[[#This Row],[Customer_Name]])</f>
        <v>Varun Tiwari</v>
      </c>
      <c r="AF201">
        <f>LEN(Table1[[#This Row],[Trimmed]])</f>
        <v>12</v>
      </c>
      <c r="AG201">
        <f>MAX(Table1[Length])</f>
        <v>15</v>
      </c>
      <c r="AH201" t="str">
        <f>PROPER(Table1[[#This Row],[Customer_Name]])</f>
        <v>Varun Tiwari</v>
      </c>
      <c r="AI201" t="str">
        <f>LOWER(Table1[[#This Row],[Customer_Name]])</f>
        <v>varun tiwari</v>
      </c>
      <c r="AJ201" t="str">
        <f>UPPER(Table1[[#This Row],[Customer_Name]])</f>
        <v>VARUN TIWARI</v>
      </c>
      <c r="AK201" t="str">
        <f>CONCATENATE(Table1[[#This Row],[Customer_ID]],Table1[[#This Row],[Customer_Name]])</f>
        <v>C1054Varun Tiwari</v>
      </c>
      <c r="AL201" t="s">
        <v>179</v>
      </c>
      <c r="AM201" t="s">
        <v>180</v>
      </c>
      <c r="AN201" t="s">
        <v>181</v>
      </c>
      <c r="AO201" t="s">
        <v>179</v>
      </c>
      <c r="AP201" t="s">
        <v>180</v>
      </c>
      <c r="AQ201" t="s">
        <v>127</v>
      </c>
      <c r="AR201" t="str">
        <f>TRIM(Table1[[#This Row],[City]])</f>
        <v>Pune</v>
      </c>
      <c r="AS201" t="str">
        <f>PROPER(Table1[[#This Row],[City]])</f>
        <v>Pune</v>
      </c>
      <c r="AT201" t="s">
        <v>128</v>
      </c>
      <c r="AU201" t="str">
        <f>CONCATENATE(Table1[[#This Row],[City]],Table1[[#This Row],[State]])</f>
        <v>PuneMaharashtra</v>
      </c>
      <c r="AV201" t="s">
        <v>129</v>
      </c>
      <c r="AW201" t="s">
        <v>338</v>
      </c>
      <c r="AX201" t="str">
        <f>REPLACE(Table1[[#This Row],[Product_ID]],1,1,"s")</f>
        <v>s115</v>
      </c>
      <c r="AY201" t="s">
        <v>1027</v>
      </c>
      <c r="AZ201">
        <f>SEARCH("-",Table1[[#This Row],[Product ID]])</f>
        <v>2</v>
      </c>
      <c r="BA201">
        <f>FIND("-",Table1[[#This Row],[Product ID]])</f>
        <v>2</v>
      </c>
      <c r="BB201" t="str">
        <f>MID(Table1[[#This Row],[Product_ID]],2,3)</f>
        <v>115</v>
      </c>
      <c r="BC201" t="str">
        <f>RIGHT(Table1[[#This Row],[Product_ID]],3)</f>
        <v>115</v>
      </c>
      <c r="BD201" t="str">
        <f>LEFT(Table1[[#This Row],[Product_ID]],3)</f>
        <v>P11</v>
      </c>
      <c r="BE201" t="str">
        <f>_xlfn.XLOOKUP(Table1[[#This Row],[Product_ID]],AW:AW,BF:BF,,0)</f>
        <v>Dumbbell Set</v>
      </c>
      <c r="BF201" t="s">
        <v>340</v>
      </c>
      <c r="BG201">
        <f>LEN(Table1[[#This Row],[Product_Name]])</f>
        <v>12</v>
      </c>
      <c r="BH201" t="s">
        <v>264</v>
      </c>
      <c r="BI201">
        <f t="shared" si="28"/>
        <v>75</v>
      </c>
      <c r="BJ201" t="str">
        <f>SUBSTITUTE(Table1[[#This Row],[Category]],"Electronics","ELECTRONICS")</f>
        <v>Sports</v>
      </c>
      <c r="BN201" t="s">
        <v>265</v>
      </c>
      <c r="BS201" s="14">
        <v>5</v>
      </c>
      <c r="BT201" s="3">
        <v>2499</v>
      </c>
      <c r="BU201" s="4">
        <v>0</v>
      </c>
      <c r="BV201" s="4" t="str">
        <f>IF(AND(Table1[[#This Row],[Quantity]]&gt;=3,Table1[[#This Row],[Discount_%]]&gt;=15%),"Bulk Discount","no")</f>
        <v>no</v>
      </c>
      <c r="BW201" s="4" t="str">
        <f>IF(AND(Table1[[#This Row],[Quantity]]&gt;3,Table1[[#This Row],[Discount_%]]&gt;15%),"Bulk Customer","Normal")</f>
        <v>Normal</v>
      </c>
      <c r="BX201" t="s">
        <v>187</v>
      </c>
      <c r="BY201" t="s">
        <v>136</v>
      </c>
      <c r="CC201" t="str">
        <f>IF(OR(Table1[[#This Row],[Order_Status]]="Returned",Table1[[#This Row],[Order_Status]]="Cancelled"),"Attention Required","Not")</f>
        <v>Not</v>
      </c>
      <c r="CD201" t="str">
        <f>IF(OR(Table1[[#This Row],[Order_Status]]="Returned",Table1[[#This Row],[Order_Status]]="Cancelled"),"Review","no")</f>
        <v>no</v>
      </c>
      <c r="CE201" t="str">
        <f>SUBSTITUTE(Table1[[#This Row],[Order_Status]],"Delivered","Completed")</f>
        <v>Completed</v>
      </c>
      <c r="CF201" s="2">
        <v>45951</v>
      </c>
      <c r="CG201" s="17">
        <f>NETWORKDAYS(Table1[[#This Row],[Order_Date]],Table1[[#This Row],[Delivery_Date]])</f>
        <v>5</v>
      </c>
      <c r="CH201" s="17">
        <f>Table1[[#This Row],[Delivery_Date]]-Table1[[#This Row],[Order_Date]]</f>
        <v>6</v>
      </c>
      <c r="CI201" t="s">
        <v>137</v>
      </c>
      <c r="CJ201" t="str">
        <f>IF(Table1[[#This Row],[Rating]]&gt;=4,"Good","Needs Improvement")</f>
        <v>Needs Improvement</v>
      </c>
      <c r="CK201" t="str">
        <f>IF(OR(Table1[[#This Row],[Rating]]&lt;=2,Table1[[#This Row],[Profit]]&lt;0),"Review","NO")</f>
        <v>Review</v>
      </c>
      <c r="CL201" t="e" cm="1">
        <f t="array" ref="CL201">_xlfn.IFS(Table1[[#This Row],[Rating]]&gt;2,"Poor",Table1[[#This Row],[Rating]]=3,"Average",Table1[[#This Row],[Rating]]=4,"Good",CP201=5,"Excellent")</f>
        <v>#N/A</v>
      </c>
      <c r="CM201">
        <f>COUNT(Table1[[#This Row],[Rating]])</f>
        <v>1</v>
      </c>
      <c r="CN201">
        <f>COUNTBLANK(Table1[[#This Row],[Rating]])</f>
        <v>0</v>
      </c>
      <c r="CQ201" s="14">
        <v>1</v>
      </c>
      <c r="CR201" t="s">
        <v>173</v>
      </c>
      <c r="CS201" t="s">
        <v>140</v>
      </c>
      <c r="CU201" s="3">
        <v>12495</v>
      </c>
      <c r="CV201" s="3">
        <f>ROUND(Table1[[#This Row],[Sales_Amount]],0)</f>
        <v>12495</v>
      </c>
      <c r="CW201" s="3"/>
      <c r="CX201" s="3"/>
      <c r="CY201" s="3" t="str">
        <f>IF(AND(Table1[[#This Row],[Sales_Amount]]&gt;=10000,Table1[[#This Row],[Profit]]&gt;0),"Good Order")</f>
        <v>Good Order</v>
      </c>
      <c r="CZ201" s="3" t="str">
        <f>IF(Table1[[#This Row],[Sales_Amount]]&gt;=10000,"High","Normal")</f>
        <v>High</v>
      </c>
      <c r="DA201" s="3">
        <v>5245</v>
      </c>
      <c r="DB201" s="3">
        <f>ROUND(Table1[[#This Row],[Profit]],0)</f>
        <v>5245</v>
      </c>
      <c r="DC201" s="3">
        <f>ABS(Table1[[#This Row],[Profit]])</f>
        <v>5245</v>
      </c>
      <c r="DD201" s="3"/>
      <c r="DE201" s="3"/>
      <c r="DF201" s="3"/>
      <c r="DG201" s="3" t="str">
        <f>IF(Table1[[#This Row],[Profit]]&gt;0,"Profit","Loss")</f>
        <v>Profit</v>
      </c>
      <c r="DH201" s="3" t="str">
        <f>IF(AND(Table1[[#This Row],[Sales_Amount]]&gt;=10000,Table1[[#This Row],[Profit]]&gt;0),"Priority","Normal")</f>
        <v>Priority</v>
      </c>
      <c r="DI201" s="3">
        <f t="shared" ca="1" si="23"/>
        <v>3.8747781921579905E-2</v>
      </c>
      <c r="DJ201" s="3">
        <f t="shared" ca="1" si="24"/>
        <v>33</v>
      </c>
      <c r="DK201" s="3"/>
      <c r="DL201" s="3"/>
      <c r="DM201" s="3"/>
      <c r="DN201" s="3"/>
      <c r="DO201" s="3"/>
      <c r="DP201" s="3"/>
    </row>
    <row r="202" spans="1:120">
      <c r="A202" t="s">
        <v>1028</v>
      </c>
      <c r="B202" t="str">
        <f>REPLACE(Table1[[#This Row],[Order_ID]],1,3,"YOO")</f>
        <v>YOO10201</v>
      </c>
      <c r="C202" t="str">
        <f>MID(Table1[[#This Row],[Order_ID]],4,4)</f>
        <v>1020</v>
      </c>
      <c r="D202" t="str">
        <f>LEFT(Table1[[#This Row],[Order_ID]],4)</f>
        <v>ORD1</v>
      </c>
      <c r="E202" t="str">
        <f>RIGHT(Table1[[#This Row],[Order_ID]],5)</f>
        <v>10201</v>
      </c>
      <c r="F202" t="s">
        <v>5</v>
      </c>
      <c r="G202">
        <v>10201</v>
      </c>
      <c r="H202" t="s">
        <v>1029</v>
      </c>
      <c r="I202" s="2">
        <f>EDATE(Table1[[#This Row],[Order_Date]],3)</f>
        <v>45995</v>
      </c>
      <c r="J202" s="2">
        <f>EDATE(Table1[[#This Row],[Order_Date]],6)</f>
        <v>46085</v>
      </c>
      <c r="K202">
        <f ca="1">YEAR(Table1[[#This Row],[Today]])</f>
        <v>2026</v>
      </c>
      <c r="L202">
        <v>201</v>
      </c>
      <c r="M202">
        <f ca="1">DAY(Table1[[#This Row],[Today]])</f>
        <v>11</v>
      </c>
      <c r="N202" s="19">
        <f t="shared" ca="1" si="27"/>
        <v>46245.589795370368</v>
      </c>
      <c r="O202" s="2">
        <f t="shared" ca="1" si="22"/>
        <v>46245</v>
      </c>
      <c r="P202" s="17">
        <f ca="1">Table1[[#This Row],[Today]]-Table1[[#This Row],[Order_Date]]</f>
        <v>341</v>
      </c>
      <c r="Q202" s="2">
        <v>45858</v>
      </c>
      <c r="R202" s="2">
        <v>45904</v>
      </c>
      <c r="S202" s="6">
        <f t="shared" si="25"/>
        <v>2025</v>
      </c>
      <c r="T202" s="7" t="str">
        <f t="shared" si="26"/>
        <v>September</v>
      </c>
      <c r="U202" s="2">
        <f>WORKDAY(Table1[[#This Row],[Order_Date]],5)</f>
        <v>45911</v>
      </c>
      <c r="V202" s="7" t="str">
        <f>CONCATENATE(Table1[[#This Row],[Customer_ID]],Table1[[#This Row],[Customer_Name]])</f>
        <v>C1036Aman Singh</v>
      </c>
      <c r="W202" t="s">
        <v>637</v>
      </c>
      <c r="X202" t="s">
        <v>123</v>
      </c>
      <c r="Y202">
        <f>COUNTA(Table1[[#This Row],[Customer_Name]])</f>
        <v>1</v>
      </c>
      <c r="Z202" t="str">
        <f>SUBSTITUTE(Table1[[#This Row],[Customer_Name]]," ","_")</f>
        <v>Aman_Singh</v>
      </c>
      <c r="AA202" s="10">
        <f>IFERROR(SEARCH("a",Table1[[#This Row],[Customer_Name]]),"N/A")</f>
        <v>1</v>
      </c>
      <c r="AB202">
        <f>SEARCH(" ",Table1[[#This Row],[Customer_Name]])</f>
        <v>5</v>
      </c>
      <c r="AC202" s="11">
        <f>IFERROR(FIND("a",Table1[[#This Row],[Customer_Name]]),"N/A")</f>
        <v>3</v>
      </c>
      <c r="AD202">
        <f>FIND(" ",Table1[[#This Row],[Customer_Name]])</f>
        <v>5</v>
      </c>
      <c r="AE202" t="str">
        <f>TRIM(Table1[[#This Row],[Customer_Name]])</f>
        <v>Aman Singh</v>
      </c>
      <c r="AF202">
        <f>LEN(Table1[[#This Row],[Trimmed]])</f>
        <v>10</v>
      </c>
      <c r="AG202">
        <f>MAX(Table1[Length])</f>
        <v>15</v>
      </c>
      <c r="AH202" t="str">
        <f>PROPER(Table1[[#This Row],[Customer_Name]])</f>
        <v>Aman Singh</v>
      </c>
      <c r="AI202" t="str">
        <f>LOWER(Table1[[#This Row],[Customer_Name]])</f>
        <v>aman singh</v>
      </c>
      <c r="AJ202" t="str">
        <f>UPPER(Table1[[#This Row],[Customer_Name]])</f>
        <v>AMAN SINGH</v>
      </c>
      <c r="AK202" t="str">
        <f>CONCATENATE(Table1[[#This Row],[Customer_ID]],Table1[[#This Row],[Customer_Name]])</f>
        <v>C1036Aman Singh</v>
      </c>
      <c r="AL202" t="s">
        <v>124</v>
      </c>
      <c r="AM202" t="s">
        <v>125</v>
      </c>
      <c r="AN202" t="s">
        <v>126</v>
      </c>
      <c r="AO202" t="s">
        <v>124</v>
      </c>
      <c r="AP202" t="s">
        <v>125</v>
      </c>
      <c r="AQ202" t="s">
        <v>1030</v>
      </c>
      <c r="AR202" t="str">
        <f>TRIM(Table1[[#This Row],[City]])</f>
        <v>Delhi</v>
      </c>
      <c r="AS202" t="str">
        <f>PROPER(Table1[[#This Row],[City]])</f>
        <v xml:space="preserve"> Delhi </v>
      </c>
      <c r="AT202" t="s">
        <v>569</v>
      </c>
      <c r="AU202" t="str">
        <f>CONCATENATE(Table1[[#This Row],[City]],Table1[[#This Row],[State]])</f>
        <v xml:space="preserve"> Delhi Delhi</v>
      </c>
      <c r="AV202" t="s">
        <v>150</v>
      </c>
      <c r="AW202" t="s">
        <v>183</v>
      </c>
      <c r="AX202" t="str">
        <f>REPLACE(Table1[[#This Row],[Product_ID]],1,1,"s")</f>
        <v>s105</v>
      </c>
      <c r="AY202" t="s">
        <v>1031</v>
      </c>
      <c r="AZ202">
        <f>SEARCH("-",Table1[[#This Row],[Product ID]])</f>
        <v>2</v>
      </c>
      <c r="BA202">
        <f>FIND("-",Table1[[#This Row],[Product ID]])</f>
        <v>2</v>
      </c>
      <c r="BB202" t="str">
        <f>MID(Table1[[#This Row],[Product_ID]],2,3)</f>
        <v>105</v>
      </c>
      <c r="BC202" t="str">
        <f>RIGHT(Table1[[#This Row],[Product_ID]],3)</f>
        <v>105</v>
      </c>
      <c r="BD202" t="str">
        <f>LEFT(Table1[[#This Row],[Product_ID]],3)</f>
        <v>P10</v>
      </c>
      <c r="BE202" t="str">
        <f>_xlfn.XLOOKUP(Table1[[#This Row],[Product_ID]],AW:AW,BF:BF,,0)</f>
        <v>Bluetooth Speaker</v>
      </c>
      <c r="BF202" t="s">
        <v>185</v>
      </c>
      <c r="BG202">
        <f>LEN(Table1[[#This Row],[Product_Name]])</f>
        <v>17</v>
      </c>
      <c r="BH202" t="s">
        <v>154</v>
      </c>
      <c r="BI202">
        <f t="shared" si="28"/>
        <v>75</v>
      </c>
      <c r="BJ202" t="str">
        <f>SUBSTITUTE(Table1[[#This Row],[Category]],"Electronics","ELECTRONICS")</f>
        <v>ELECTRONICS</v>
      </c>
      <c r="BN202" t="s">
        <v>186</v>
      </c>
      <c r="BS202" s="14">
        <v>5</v>
      </c>
      <c r="BT202" s="3">
        <v>2999</v>
      </c>
      <c r="BU202" s="4">
        <v>20</v>
      </c>
      <c r="BV202" s="4" t="str">
        <f>IF(AND(Table1[[#This Row],[Quantity]]&gt;=3,Table1[[#This Row],[Discount_%]]&gt;=15%),"Bulk Discount","no")</f>
        <v>Bulk Discount</v>
      </c>
      <c r="BW202" s="4" t="str">
        <f>IF(AND(Table1[[#This Row],[Quantity]]&gt;3,Table1[[#This Row],[Discount_%]]&gt;15%),"Bulk Customer","Normal")</f>
        <v>Bulk Customer</v>
      </c>
      <c r="BX202" t="s">
        <v>135</v>
      </c>
      <c r="BY202" t="s">
        <v>374</v>
      </c>
      <c r="CC202" t="str">
        <f>IF(OR(Table1[[#This Row],[Order_Status]]="Returned",Table1[[#This Row],[Order_Status]]="Cancelled"),"Attention Required","Not")</f>
        <v>Attention Required</v>
      </c>
      <c r="CD202" t="str">
        <f>IF(OR(Table1[[#This Row],[Order_Status]]="Returned",Table1[[#This Row],[Order_Status]]="Cancelled"),"Review","no")</f>
        <v>Review</v>
      </c>
      <c r="CE202" t="str">
        <f>SUBSTITUTE(Table1[[#This Row],[Order_Status]],"Delivered","Completed")</f>
        <v>Returned</v>
      </c>
      <c r="CF202" s="2">
        <v>45910</v>
      </c>
      <c r="CG202" s="17">
        <f>NETWORKDAYS(Table1[[#This Row],[Order_Date]],Table1[[#This Row],[Delivery_Date]])</f>
        <v>5</v>
      </c>
      <c r="CH202" s="17">
        <f>Table1[[#This Row],[Delivery_Date]]-Table1[[#This Row],[Order_Date]]</f>
        <v>6</v>
      </c>
      <c r="CI202" t="s">
        <v>375</v>
      </c>
      <c r="CJ202" t="str">
        <f>IF(Table1[[#This Row],[Rating]]&gt;=4,"Good","Needs Improvement")</f>
        <v>Good</v>
      </c>
      <c r="CK202" t="str">
        <f>IF(OR(Table1[[#This Row],[Rating]]&lt;=2,Table1[[#This Row],[Profit]]&lt;0),"Review","NO")</f>
        <v>NO</v>
      </c>
      <c r="CL202" t="str" cm="1">
        <f t="array" ref="CL202">_xlfn.IFS(Table1[[#This Row],[Rating]]&gt;2,"Poor",Table1[[#This Row],[Rating]]=3,"Average",Table1[[#This Row],[Rating]]=4,"Good",CP202=5,"Excellent")</f>
        <v>Poor</v>
      </c>
      <c r="CM202">
        <f>COUNT(Table1[[#This Row],[Rating]])</f>
        <v>1</v>
      </c>
      <c r="CN202">
        <f>COUNTBLANK(Table1[[#This Row],[Rating]])</f>
        <v>0</v>
      </c>
      <c r="CQ202" s="14">
        <v>5</v>
      </c>
      <c r="CR202" t="s">
        <v>173</v>
      </c>
      <c r="CS202" t="s">
        <v>140</v>
      </c>
      <c r="CU202" s="3">
        <v>11996</v>
      </c>
      <c r="CV202" s="3">
        <f>ROUND(Table1[[#This Row],[Sales_Amount]],0)</f>
        <v>11996</v>
      </c>
      <c r="CW202" s="3"/>
      <c r="CX202" s="3"/>
      <c r="CY202" s="3" t="str">
        <f>IF(AND(Table1[[#This Row],[Sales_Amount]]&gt;=10000,Table1[[#This Row],[Profit]]&gt;0),"Good Order")</f>
        <v>Good Order</v>
      </c>
      <c r="CZ202" s="3" t="str">
        <f>IF(Table1[[#This Row],[Sales_Amount]]&gt;=10000,"High","Normal")</f>
        <v>High</v>
      </c>
      <c r="DA202" s="3">
        <v>3246</v>
      </c>
      <c r="DB202" s="3">
        <f>ROUND(Table1[[#This Row],[Profit]],0)</f>
        <v>3246</v>
      </c>
      <c r="DC202" s="3">
        <f>ABS(Table1[[#This Row],[Profit]])</f>
        <v>3246</v>
      </c>
      <c r="DD202" s="3"/>
      <c r="DE202" s="3"/>
      <c r="DF202" s="3"/>
      <c r="DG202" s="3" t="str">
        <f>IF(Table1[[#This Row],[Profit]]&gt;0,"Profit","Loss")</f>
        <v>Profit</v>
      </c>
      <c r="DH202" s="3" t="str">
        <f>IF(AND(Table1[[#This Row],[Sales_Amount]]&gt;=10000,Table1[[#This Row],[Profit]]&gt;0),"Priority","Normal")</f>
        <v>Priority</v>
      </c>
      <c r="DI202" s="3">
        <f t="shared" ca="1" si="23"/>
        <v>5.5738680055507306E-2</v>
      </c>
      <c r="DJ202" s="3">
        <f t="shared" ca="1" si="24"/>
        <v>17</v>
      </c>
      <c r="DK202" s="3"/>
      <c r="DL202" s="3"/>
      <c r="DM202" s="3"/>
      <c r="DN202" s="3"/>
      <c r="DO202" s="3"/>
      <c r="DP202" s="3"/>
    </row>
    <row r="203" spans="1:120">
      <c r="A203" t="s">
        <v>1032</v>
      </c>
      <c r="B203" t="str">
        <f>REPLACE(Table1[[#This Row],[Order_ID]],1,3,"YOO")</f>
        <v>YOO10202</v>
      </c>
      <c r="C203" t="str">
        <f>MID(Table1[[#This Row],[Order_ID]],4,4)</f>
        <v>1020</v>
      </c>
      <c r="D203" t="str">
        <f>LEFT(Table1[[#This Row],[Order_ID]],4)</f>
        <v>ORD1</v>
      </c>
      <c r="E203" t="str">
        <f>RIGHT(Table1[[#This Row],[Order_ID]],5)</f>
        <v>10202</v>
      </c>
      <c r="F203" t="s">
        <v>5</v>
      </c>
      <c r="G203">
        <v>10202</v>
      </c>
      <c r="H203" t="s">
        <v>1033</v>
      </c>
      <c r="I203" s="2">
        <f>EDATE(Table1[[#This Row],[Order_Date]],3)</f>
        <v>45987</v>
      </c>
      <c r="J203" s="2">
        <f>EDATE(Table1[[#This Row],[Order_Date]],6)</f>
        <v>46079</v>
      </c>
      <c r="K203">
        <f ca="1">YEAR(Table1[[#This Row],[Today]])</f>
        <v>2026</v>
      </c>
      <c r="L203">
        <v>202</v>
      </c>
      <c r="M203">
        <f ca="1">DAY(Table1[[#This Row],[Today]])</f>
        <v>11</v>
      </c>
      <c r="N203" s="19">
        <f t="shared" ca="1" si="27"/>
        <v>46245.589795138891</v>
      </c>
      <c r="O203" s="2">
        <f t="shared" ca="1" si="22"/>
        <v>46245</v>
      </c>
      <c r="P203" s="17">
        <f ca="1">Table1[[#This Row],[Today]]-Table1[[#This Row],[Order_Date]]</f>
        <v>350</v>
      </c>
      <c r="Q203" s="2">
        <v>45859</v>
      </c>
      <c r="R203" s="2">
        <v>45895</v>
      </c>
      <c r="S203" s="6">
        <f t="shared" si="25"/>
        <v>2025</v>
      </c>
      <c r="T203" s="7" t="str">
        <f t="shared" si="26"/>
        <v>August</v>
      </c>
      <c r="U203" s="2">
        <f>WORKDAY(Table1[[#This Row],[Order_Date]],5)</f>
        <v>45902</v>
      </c>
      <c r="V203" s="7" t="str">
        <f>CONCATENATE(Table1[[#This Row],[Customer_ID]],Table1[[#This Row],[Customer_Name]])</f>
        <v>C1008Vikas Yadav</v>
      </c>
      <c r="W203" t="s">
        <v>1034</v>
      </c>
      <c r="X203" t="s">
        <v>208</v>
      </c>
      <c r="Y203">
        <f>COUNTA(Table1[[#This Row],[Customer_Name]])</f>
        <v>1</v>
      </c>
      <c r="Z203" t="str">
        <f>SUBSTITUTE(Table1[[#This Row],[Customer_Name]]," ","_")</f>
        <v>Vikas_Yadav</v>
      </c>
      <c r="AA203" s="10">
        <f>IFERROR(SEARCH("a",Table1[[#This Row],[Customer_Name]]),"N/A")</f>
        <v>4</v>
      </c>
      <c r="AB203">
        <f>SEARCH(" ",Table1[[#This Row],[Customer_Name]])</f>
        <v>6</v>
      </c>
      <c r="AC203" s="11">
        <f>IFERROR(FIND("a",Table1[[#This Row],[Customer_Name]]),"N/A")</f>
        <v>4</v>
      </c>
      <c r="AD203">
        <f>FIND(" ",Table1[[#This Row],[Customer_Name]])</f>
        <v>6</v>
      </c>
      <c r="AE203" t="str">
        <f>TRIM(Table1[[#This Row],[Customer_Name]])</f>
        <v>Vikas Yadav</v>
      </c>
      <c r="AF203">
        <f>LEN(Table1[[#This Row],[Trimmed]])</f>
        <v>11</v>
      </c>
      <c r="AG203">
        <f>MAX(Table1[Length])</f>
        <v>15</v>
      </c>
      <c r="AH203" t="str">
        <f>PROPER(Table1[[#This Row],[Customer_Name]])</f>
        <v>Vikas Yadav</v>
      </c>
      <c r="AI203" t="str">
        <f>LOWER(Table1[[#This Row],[Customer_Name]])</f>
        <v>vikas yadav</v>
      </c>
      <c r="AJ203" t="str">
        <f>UPPER(Table1[[#This Row],[Customer_Name]])</f>
        <v>VIKAS YADAV</v>
      </c>
      <c r="AK203" t="str">
        <f>CONCATENATE(Table1[[#This Row],[Customer_ID]],Table1[[#This Row],[Customer_Name]])</f>
        <v>C1008Vikas Yadav</v>
      </c>
      <c r="AL203" t="s">
        <v>209</v>
      </c>
      <c r="AM203" t="s">
        <v>210</v>
      </c>
      <c r="AN203" t="s">
        <v>211</v>
      </c>
      <c r="AO203" t="s">
        <v>209</v>
      </c>
      <c r="AP203" t="s">
        <v>210</v>
      </c>
      <c r="AQ203" t="s">
        <v>166</v>
      </c>
      <c r="AR203" t="str">
        <f>TRIM(Table1[[#This Row],[City]])</f>
        <v>Bengaluru</v>
      </c>
      <c r="AS203" t="str">
        <f>PROPER(Table1[[#This Row],[City]])</f>
        <v>Bengaluru</v>
      </c>
      <c r="AT203" t="s">
        <v>167</v>
      </c>
      <c r="AU203" t="str">
        <f>CONCATENATE(Table1[[#This Row],[City]],Table1[[#This Row],[State]])</f>
        <v>BengaluruKarnataka</v>
      </c>
      <c r="AV203" t="s">
        <v>168</v>
      </c>
      <c r="AW203" t="s">
        <v>151</v>
      </c>
      <c r="AX203" t="str">
        <f>REPLACE(Table1[[#This Row],[Product_ID]],1,1,"s")</f>
        <v>s102</v>
      </c>
      <c r="AY203" t="s">
        <v>1035</v>
      </c>
      <c r="AZ203">
        <f>SEARCH("-",Table1[[#This Row],[Product ID]])</f>
        <v>2</v>
      </c>
      <c r="BA203">
        <f>FIND("-",Table1[[#This Row],[Product ID]])</f>
        <v>2</v>
      </c>
      <c r="BB203" t="str">
        <f>MID(Table1[[#This Row],[Product_ID]],2,3)</f>
        <v>102</v>
      </c>
      <c r="BC203" t="str">
        <f>RIGHT(Table1[[#This Row],[Product_ID]],3)</f>
        <v>102</v>
      </c>
      <c r="BD203" t="str">
        <f>LEFT(Table1[[#This Row],[Product_ID]],3)</f>
        <v>P10</v>
      </c>
      <c r="BE203" t="str">
        <f>_xlfn.XLOOKUP(Table1[[#This Row],[Product_ID]],AW:AW,BF:BF,,0)</f>
        <v>Mechanical Keyboard</v>
      </c>
      <c r="BF203" t="s">
        <v>153</v>
      </c>
      <c r="BG203">
        <f>LEN(Table1[[#This Row],[Product_Name]])</f>
        <v>19</v>
      </c>
      <c r="BH203" t="s">
        <v>154</v>
      </c>
      <c r="BI203">
        <f t="shared" si="28"/>
        <v>75</v>
      </c>
      <c r="BJ203" t="str">
        <f>SUBSTITUTE(Table1[[#This Row],[Category]],"Electronics","ELECTRONICS")</f>
        <v>ELECTRONICS</v>
      </c>
      <c r="BN203" t="s">
        <v>155</v>
      </c>
      <c r="BS203" s="14">
        <v>1</v>
      </c>
      <c r="BT203" s="3">
        <v>2499</v>
      </c>
      <c r="BU203" s="4">
        <v>15</v>
      </c>
      <c r="BV203" s="4" t="str">
        <f>IF(AND(Table1[[#This Row],[Quantity]]&gt;=3,Table1[[#This Row],[Discount_%]]&gt;=15%),"Bulk Discount","no")</f>
        <v>no</v>
      </c>
      <c r="BW203" s="4" t="str">
        <f>IF(AND(Table1[[#This Row],[Quantity]]&gt;3,Table1[[#This Row],[Discount_%]]&gt;15%),"Bulk Customer","Normal")</f>
        <v>Normal</v>
      </c>
      <c r="BX203" t="s">
        <v>330</v>
      </c>
      <c r="BY203" t="s">
        <v>156</v>
      </c>
      <c r="CC203" t="str">
        <f>IF(OR(Table1[[#This Row],[Order_Status]]="Returned",Table1[[#This Row],[Order_Status]]="Cancelled"),"Attention Required","Not")</f>
        <v>Attention Required</v>
      </c>
      <c r="CD203" t="str">
        <f>IF(OR(Table1[[#This Row],[Order_Status]]="Returned",Table1[[#This Row],[Order_Status]]="Cancelled"),"Review","no")</f>
        <v>Review</v>
      </c>
      <c r="CE203" t="str">
        <f>SUBSTITUTE(Table1[[#This Row],[Order_Status]],"Delivered","Completed")</f>
        <v>Cancelled</v>
      </c>
      <c r="CF203" s="2">
        <v>45902</v>
      </c>
      <c r="CG203" s="17">
        <f>NETWORKDAYS(Table1[[#This Row],[Order_Date]],Table1[[#This Row],[Delivery_Date]])</f>
        <v>6</v>
      </c>
      <c r="CH203" s="17">
        <f>Table1[[#This Row],[Delivery_Date]]-Table1[[#This Row],[Order_Date]]</f>
        <v>7</v>
      </c>
      <c r="CI203" t="s">
        <v>137</v>
      </c>
      <c r="CJ203" t="str">
        <f>IF(Table1[[#This Row],[Rating]]&gt;=4,"Good","Needs Improvement")</f>
        <v>Good</v>
      </c>
      <c r="CK203" t="str">
        <f>IF(OR(Table1[[#This Row],[Rating]]&lt;=2,Table1[[#This Row],[Profit]]&lt;0),"Review","NO")</f>
        <v>NO</v>
      </c>
      <c r="CL203" t="str" cm="1">
        <f t="array" ref="CL203">_xlfn.IFS(Table1[[#This Row],[Rating]]&gt;2,"Poor",Table1[[#This Row],[Rating]]=3,"Average",Table1[[#This Row],[Rating]]=4,"Good",CP203=5,"Excellent")</f>
        <v>Poor</v>
      </c>
      <c r="CM203">
        <f>COUNT(Table1[[#This Row],[Rating]])</f>
        <v>1</v>
      </c>
      <c r="CN203">
        <f>COUNTBLANK(Table1[[#This Row],[Rating]])</f>
        <v>0</v>
      </c>
      <c r="CP203" t="s">
        <v>138</v>
      </c>
      <c r="CQ203" s="14">
        <v>5</v>
      </c>
      <c r="CR203" t="s">
        <v>139</v>
      </c>
      <c r="CS203" t="s">
        <v>195</v>
      </c>
      <c r="CU203" s="3">
        <v>2124.15</v>
      </c>
      <c r="CV203" s="3">
        <f>ROUND(Table1[[#This Row],[Sales_Amount]],0)</f>
        <v>2124</v>
      </c>
      <c r="CW203" s="3"/>
      <c r="CX203" s="3"/>
      <c r="CY203" s="3" t="b">
        <f>IF(AND(Table1[[#This Row],[Sales_Amount]]&gt;=10000,Table1[[#This Row],[Profit]]&gt;0),"Good Order")</f>
        <v>0</v>
      </c>
      <c r="CZ203" s="3" t="str">
        <f>IF(Table1[[#This Row],[Sales_Amount]]&gt;=10000,"High","Normal")</f>
        <v>Normal</v>
      </c>
      <c r="DA203" s="3">
        <v>674.15</v>
      </c>
      <c r="DB203" s="3">
        <f>ROUND(Table1[[#This Row],[Profit]],0)</f>
        <v>674</v>
      </c>
      <c r="DC203" s="3">
        <f>ABS(Table1[[#This Row],[Profit]])</f>
        <v>674.15</v>
      </c>
      <c r="DD203" s="3"/>
      <c r="DE203" s="3"/>
      <c r="DF203" s="3"/>
      <c r="DG203" s="3" t="str">
        <f>IF(Table1[[#This Row],[Profit]]&gt;0,"Profit","Loss")</f>
        <v>Profit</v>
      </c>
      <c r="DH203" s="3" t="str">
        <f>IF(AND(Table1[[#This Row],[Sales_Amount]]&gt;=10000,Table1[[#This Row],[Profit]]&gt;0),"Priority","Normal")</f>
        <v>Normal</v>
      </c>
      <c r="DI203" s="3">
        <f t="shared" ca="1" si="23"/>
        <v>0.6330384871080561</v>
      </c>
      <c r="DJ203" s="3">
        <f t="shared" ca="1" si="24"/>
        <v>67</v>
      </c>
      <c r="DK203" s="3"/>
      <c r="DL203" s="3"/>
      <c r="DM203" s="3"/>
      <c r="DN203" s="3"/>
      <c r="DO203" s="3"/>
      <c r="DP203" s="3"/>
    </row>
    <row r="204" spans="1:120">
      <c r="A204" t="s">
        <v>1036</v>
      </c>
      <c r="B204" t="str">
        <f>REPLACE(Table1[[#This Row],[Order_ID]],1,3,"YOO")</f>
        <v>YOO10203</v>
      </c>
      <c r="C204" t="str">
        <f>MID(Table1[[#This Row],[Order_ID]],4,4)</f>
        <v>1020</v>
      </c>
      <c r="D204" t="str">
        <f>LEFT(Table1[[#This Row],[Order_ID]],4)</f>
        <v>ORD1</v>
      </c>
      <c r="E204" t="str">
        <f>RIGHT(Table1[[#This Row],[Order_ID]],5)</f>
        <v>10203</v>
      </c>
      <c r="F204" t="s">
        <v>5</v>
      </c>
      <c r="G204">
        <v>10203</v>
      </c>
      <c r="H204" t="s">
        <v>1037</v>
      </c>
      <c r="I204" s="2">
        <f>EDATE(Table1[[#This Row],[Order_Date]],3)</f>
        <v>46192</v>
      </c>
      <c r="J204" s="2">
        <f>EDATE(Table1[[#This Row],[Order_Date]],6)</f>
        <v>46284</v>
      </c>
      <c r="K204">
        <f ca="1">YEAR(Table1[[#This Row],[Today]])</f>
        <v>2026</v>
      </c>
      <c r="L204">
        <v>203</v>
      </c>
      <c r="M204">
        <f ca="1">DAY(Table1[[#This Row],[Today]])</f>
        <v>11</v>
      </c>
      <c r="N204" s="19">
        <f t="shared" ca="1" si="27"/>
        <v>46245.589795370368</v>
      </c>
      <c r="O204" s="2">
        <f t="shared" ca="1" si="22"/>
        <v>46245</v>
      </c>
      <c r="P204" s="17">
        <f ca="1">Table1[[#This Row],[Today]]-Table1[[#This Row],[Order_Date]]</f>
        <v>145</v>
      </c>
      <c r="Q204" s="2">
        <v>45860</v>
      </c>
      <c r="R204" s="2">
        <v>46100</v>
      </c>
      <c r="S204" s="6">
        <f t="shared" si="25"/>
        <v>2026</v>
      </c>
      <c r="T204" s="7" t="str">
        <f t="shared" si="26"/>
        <v>March</v>
      </c>
      <c r="U204" s="2">
        <f>WORKDAY(Table1[[#This Row],[Order_Date]],5)</f>
        <v>46107</v>
      </c>
      <c r="V204" s="7" t="str">
        <f>CONCATENATE(Table1[[#This Row],[Customer_ID]],Table1[[#This Row],[Customer_Name]])</f>
        <v>C1019Aman Singh</v>
      </c>
      <c r="W204" t="s">
        <v>296</v>
      </c>
      <c r="X204" t="s">
        <v>123</v>
      </c>
      <c r="Y204">
        <f>COUNTA(Table1[[#This Row],[Customer_Name]])</f>
        <v>1</v>
      </c>
      <c r="Z204" t="str">
        <f>SUBSTITUTE(Table1[[#This Row],[Customer_Name]]," ","_")</f>
        <v>Aman_Singh</v>
      </c>
      <c r="AA204" s="10">
        <f>IFERROR(SEARCH("a",Table1[[#This Row],[Customer_Name]]),"N/A")</f>
        <v>1</v>
      </c>
      <c r="AB204">
        <f>SEARCH(" ",Table1[[#This Row],[Customer_Name]])</f>
        <v>5</v>
      </c>
      <c r="AC204" s="11">
        <f>IFERROR(FIND("a",Table1[[#This Row],[Customer_Name]]),"N/A")</f>
        <v>3</v>
      </c>
      <c r="AD204">
        <f>FIND(" ",Table1[[#This Row],[Customer_Name]])</f>
        <v>5</v>
      </c>
      <c r="AE204" t="str">
        <f>TRIM(Table1[[#This Row],[Customer_Name]])</f>
        <v>Aman Singh</v>
      </c>
      <c r="AF204">
        <f>LEN(Table1[[#This Row],[Trimmed]])</f>
        <v>10</v>
      </c>
      <c r="AG204">
        <f>MAX(Table1[Length])</f>
        <v>15</v>
      </c>
      <c r="AH204" t="str">
        <f>PROPER(Table1[[#This Row],[Customer_Name]])</f>
        <v>Aman Singh</v>
      </c>
      <c r="AI204" t="str">
        <f>LOWER(Table1[[#This Row],[Customer_Name]])</f>
        <v>aman singh</v>
      </c>
      <c r="AJ204" t="str">
        <f>UPPER(Table1[[#This Row],[Customer_Name]])</f>
        <v>AMAN SINGH</v>
      </c>
      <c r="AK204" t="str">
        <f>CONCATENATE(Table1[[#This Row],[Customer_ID]],Table1[[#This Row],[Customer_Name]])</f>
        <v>C1019Aman Singh</v>
      </c>
      <c r="AL204" t="s">
        <v>124</v>
      </c>
      <c r="AM204" t="s">
        <v>125</v>
      </c>
      <c r="AN204" t="s">
        <v>126</v>
      </c>
      <c r="AO204" t="s">
        <v>124</v>
      </c>
      <c r="AP204" t="s">
        <v>125</v>
      </c>
      <c r="AQ204" t="s">
        <v>166</v>
      </c>
      <c r="AR204" t="str">
        <f>TRIM(Table1[[#This Row],[City]])</f>
        <v>Bengaluru</v>
      </c>
      <c r="AS204" t="str">
        <f>PROPER(Table1[[#This Row],[City]])</f>
        <v>Bengaluru</v>
      </c>
      <c r="AT204" t="s">
        <v>167</v>
      </c>
      <c r="AU204" t="str">
        <f>CONCATENATE(Table1[[#This Row],[City]],Table1[[#This Row],[State]])</f>
        <v>BengaluruKarnataka</v>
      </c>
      <c r="AV204" t="s">
        <v>168</v>
      </c>
      <c r="AW204" t="s">
        <v>477</v>
      </c>
      <c r="AX204" t="str">
        <f>REPLACE(Table1[[#This Row],[Product_ID]],1,1,"s")</f>
        <v>s109</v>
      </c>
      <c r="AY204" t="s">
        <v>1038</v>
      </c>
      <c r="AZ204">
        <f>SEARCH("-",Table1[[#This Row],[Product ID]])</f>
        <v>2</v>
      </c>
      <c r="BA204">
        <f>FIND("-",Table1[[#This Row],[Product ID]])</f>
        <v>2</v>
      </c>
      <c r="BB204" t="str">
        <f>MID(Table1[[#This Row],[Product_ID]],2,3)</f>
        <v>109</v>
      </c>
      <c r="BC204" t="str">
        <f>RIGHT(Table1[[#This Row],[Product_ID]],3)</f>
        <v>109</v>
      </c>
      <c r="BD204" t="str">
        <f>LEFT(Table1[[#This Row],[Product_ID]],3)</f>
        <v>P10</v>
      </c>
      <c r="BE204" t="str">
        <f>_xlfn.XLOOKUP(Table1[[#This Row],[Product_ID]],AW:AW,BF:BF,,0)</f>
        <v>Backpack</v>
      </c>
      <c r="BF204" t="s">
        <v>479</v>
      </c>
      <c r="BG204">
        <f>LEN(Table1[[#This Row],[Product_Name]])</f>
        <v>8</v>
      </c>
      <c r="BH204" t="s">
        <v>224</v>
      </c>
      <c r="BI204">
        <f t="shared" si="28"/>
        <v>75</v>
      </c>
      <c r="BJ204" t="str">
        <f>SUBSTITUTE(Table1[[#This Row],[Category]],"Electronics","ELECTRONICS")</f>
        <v>Fashion</v>
      </c>
      <c r="BN204" t="s">
        <v>480</v>
      </c>
      <c r="BS204" s="14">
        <v>2</v>
      </c>
      <c r="BT204" s="3">
        <v>2299</v>
      </c>
      <c r="BU204" s="4">
        <v>20</v>
      </c>
      <c r="BV204" s="4" t="str">
        <f>IF(AND(Table1[[#This Row],[Quantity]]&gt;=3,Table1[[#This Row],[Discount_%]]&gt;=15%),"Bulk Discount","no")</f>
        <v>no</v>
      </c>
      <c r="BW204" s="4" t="str">
        <f>IF(AND(Table1[[#This Row],[Quantity]]&gt;3,Table1[[#This Row],[Discount_%]]&gt;15%),"Bulk Customer","Normal")</f>
        <v>Normal</v>
      </c>
      <c r="BX204" t="s">
        <v>192</v>
      </c>
      <c r="BY204" t="s">
        <v>136</v>
      </c>
      <c r="CC204" t="str">
        <f>IF(OR(Table1[[#This Row],[Order_Status]]="Returned",Table1[[#This Row],[Order_Status]]="Cancelled"),"Attention Required","Not")</f>
        <v>Not</v>
      </c>
      <c r="CD204" t="str">
        <f>IF(OR(Table1[[#This Row],[Order_Status]]="Returned",Table1[[#This Row],[Order_Status]]="Cancelled"),"Review","no")</f>
        <v>no</v>
      </c>
      <c r="CE204" t="str">
        <f>SUBSTITUTE(Table1[[#This Row],[Order_Status]],"Delivered","Completed")</f>
        <v>Completed</v>
      </c>
      <c r="CF204" s="2">
        <v>46105</v>
      </c>
      <c r="CG204" s="17">
        <f>NETWORKDAYS(Table1[[#This Row],[Order_Date]],Table1[[#This Row],[Delivery_Date]])</f>
        <v>4</v>
      </c>
      <c r="CH204" s="17">
        <f>Table1[[#This Row],[Delivery_Date]]-Table1[[#This Row],[Order_Date]]</f>
        <v>5</v>
      </c>
      <c r="CI204" t="s">
        <v>137</v>
      </c>
      <c r="CJ204" t="str">
        <f>IF(Table1[[#This Row],[Rating]]&gt;=4,"Good","Needs Improvement")</f>
        <v>Good</v>
      </c>
      <c r="CK204" t="str">
        <f>IF(OR(Table1[[#This Row],[Rating]]&lt;=2,Table1[[#This Row],[Profit]]&lt;0),"Review","NO")</f>
        <v>NO</v>
      </c>
      <c r="CL204" t="str" cm="1">
        <f t="array" ref="CL204">_xlfn.IFS(Table1[[#This Row],[Rating]]&gt;2,"Poor",Table1[[#This Row],[Rating]]=3,"Average",Table1[[#This Row],[Rating]]=4,"Good",CP204=5,"Excellent")</f>
        <v>Poor</v>
      </c>
      <c r="CM204">
        <f>COUNT(Table1[[#This Row],[Rating]])</f>
        <v>1</v>
      </c>
      <c r="CN204">
        <f>COUNTBLANK(Table1[[#This Row],[Rating]])</f>
        <v>0</v>
      </c>
      <c r="CP204" t="s">
        <v>194</v>
      </c>
      <c r="CQ204" s="14">
        <v>4</v>
      </c>
      <c r="CR204" t="s">
        <v>173</v>
      </c>
      <c r="CS204" t="s">
        <v>213</v>
      </c>
      <c r="CU204" s="3">
        <v>3678.4</v>
      </c>
      <c r="CV204" s="3">
        <f>ROUND(Table1[[#This Row],[Sales_Amount]],0)</f>
        <v>3678</v>
      </c>
      <c r="CW204" s="3"/>
      <c r="CX204" s="3"/>
      <c r="CY204" s="3" t="b">
        <f>IF(AND(Table1[[#This Row],[Sales_Amount]]&gt;=10000,Table1[[#This Row],[Profit]]&gt;0),"Good Order")</f>
        <v>0</v>
      </c>
      <c r="CZ204" s="3" t="str">
        <f>IF(Table1[[#This Row],[Sales_Amount]]&gt;=10000,"High","Normal")</f>
        <v>Normal</v>
      </c>
      <c r="DA204" s="3">
        <v>1178.4000000000001</v>
      </c>
      <c r="DB204" s="3">
        <f>ROUND(Table1[[#This Row],[Profit]],0)</f>
        <v>1178</v>
      </c>
      <c r="DC204" s="3">
        <f>ABS(Table1[[#This Row],[Profit]])</f>
        <v>1178.4000000000001</v>
      </c>
      <c r="DD204" s="3"/>
      <c r="DE204" s="3"/>
      <c r="DF204" s="3"/>
      <c r="DG204" s="3" t="str">
        <f>IF(Table1[[#This Row],[Profit]]&gt;0,"Profit","Loss")</f>
        <v>Profit</v>
      </c>
      <c r="DH204" s="3" t="str">
        <f>IF(AND(Table1[[#This Row],[Sales_Amount]]&gt;=10000,Table1[[#This Row],[Profit]]&gt;0),"Priority","Normal")</f>
        <v>Normal</v>
      </c>
      <c r="DI204" s="3">
        <f t="shared" ca="1" si="23"/>
        <v>5.341802472023327E-2</v>
      </c>
      <c r="DJ204" s="3">
        <f t="shared" ca="1" si="24"/>
        <v>61</v>
      </c>
      <c r="DK204" s="3"/>
      <c r="DL204" s="3"/>
      <c r="DM204" s="3"/>
      <c r="DN204" s="3"/>
      <c r="DO204" s="3"/>
      <c r="DP204" s="3"/>
    </row>
    <row r="205" spans="1:120">
      <c r="A205" t="s">
        <v>1039</v>
      </c>
      <c r="B205" t="str">
        <f>REPLACE(Table1[[#This Row],[Order_ID]],1,3,"YOO")</f>
        <v>YOO10204</v>
      </c>
      <c r="C205" t="str">
        <f>MID(Table1[[#This Row],[Order_ID]],4,4)</f>
        <v>1020</v>
      </c>
      <c r="D205" t="str">
        <f>LEFT(Table1[[#This Row],[Order_ID]],4)</f>
        <v>ORD1</v>
      </c>
      <c r="E205" t="str">
        <f>RIGHT(Table1[[#This Row],[Order_ID]],5)</f>
        <v>10204</v>
      </c>
      <c r="F205" t="s">
        <v>5</v>
      </c>
      <c r="G205">
        <v>10204</v>
      </c>
      <c r="H205" t="s">
        <v>1040</v>
      </c>
      <c r="I205" s="2">
        <f>EDATE(Table1[[#This Row],[Order_Date]],3)</f>
        <v>45907</v>
      </c>
      <c r="J205" s="2">
        <f>EDATE(Table1[[#This Row],[Order_Date]],6)</f>
        <v>45998</v>
      </c>
      <c r="K205">
        <f ca="1">YEAR(Table1[[#This Row],[Today]])</f>
        <v>2026</v>
      </c>
      <c r="L205">
        <v>204</v>
      </c>
      <c r="M205">
        <f ca="1">DAY(Table1[[#This Row],[Today]])</f>
        <v>11</v>
      </c>
      <c r="N205" s="19">
        <f t="shared" ca="1" si="27"/>
        <v>46245.589795370368</v>
      </c>
      <c r="O205" s="2">
        <f t="shared" ca="1" si="22"/>
        <v>46245</v>
      </c>
      <c r="P205" s="17">
        <f ca="1">Table1[[#This Row],[Today]]-Table1[[#This Row],[Order_Date]]</f>
        <v>430</v>
      </c>
      <c r="Q205" s="2">
        <v>45861</v>
      </c>
      <c r="R205" s="2">
        <v>45815</v>
      </c>
      <c r="S205" s="6">
        <f t="shared" si="25"/>
        <v>2025</v>
      </c>
      <c r="T205" s="7" t="str">
        <f t="shared" si="26"/>
        <v>June</v>
      </c>
      <c r="U205" s="2">
        <f>WORKDAY(Table1[[#This Row],[Order_Date]],5)</f>
        <v>45821</v>
      </c>
      <c r="V205" s="7" t="str">
        <f>CONCATENATE(Table1[[#This Row],[Customer_ID]],Table1[[#This Row],[Customer_Name]])</f>
        <v>C1002Pooja Jain</v>
      </c>
      <c r="W205" t="s">
        <v>1041</v>
      </c>
      <c r="X205" t="s">
        <v>419</v>
      </c>
      <c r="Y205">
        <f>COUNTA(Table1[[#This Row],[Customer_Name]])</f>
        <v>1</v>
      </c>
      <c r="Z205" t="str">
        <f>SUBSTITUTE(Table1[[#This Row],[Customer_Name]]," ","_")</f>
        <v>Pooja_Jain</v>
      </c>
      <c r="AA205" s="10">
        <f>IFERROR(SEARCH("a",Table1[[#This Row],[Customer_Name]]),"N/A")</f>
        <v>5</v>
      </c>
      <c r="AB205">
        <f>SEARCH(" ",Table1[[#This Row],[Customer_Name]])</f>
        <v>6</v>
      </c>
      <c r="AC205" s="11">
        <f>IFERROR(FIND("a",Table1[[#This Row],[Customer_Name]]),"N/A")</f>
        <v>5</v>
      </c>
      <c r="AD205">
        <f>FIND(" ",Table1[[#This Row],[Customer_Name]])</f>
        <v>6</v>
      </c>
      <c r="AE205" t="str">
        <f>TRIM(Table1[[#This Row],[Customer_Name]])</f>
        <v>Pooja Jain</v>
      </c>
      <c r="AF205">
        <f>LEN(Table1[[#This Row],[Trimmed]])</f>
        <v>10</v>
      </c>
      <c r="AG205">
        <f>MAX(Table1[Length])</f>
        <v>15</v>
      </c>
      <c r="AH205" t="str">
        <f>PROPER(Table1[[#This Row],[Customer_Name]])</f>
        <v>Pooja Jain</v>
      </c>
      <c r="AI205" t="str">
        <f>LOWER(Table1[[#This Row],[Customer_Name]])</f>
        <v>pooja jain</v>
      </c>
      <c r="AJ205" t="str">
        <f>UPPER(Table1[[#This Row],[Customer_Name]])</f>
        <v>POOJA JAIN</v>
      </c>
      <c r="AK205" t="str">
        <f>CONCATENATE(Table1[[#This Row],[Customer_ID]],Table1[[#This Row],[Customer_Name]])</f>
        <v>C1002Pooja Jain</v>
      </c>
      <c r="AL205" t="s">
        <v>420</v>
      </c>
      <c r="AM205" t="s">
        <v>421</v>
      </c>
      <c r="AN205" t="s">
        <v>422</v>
      </c>
      <c r="AO205" t="s">
        <v>420</v>
      </c>
      <c r="AP205" t="s">
        <v>421</v>
      </c>
      <c r="AQ205" t="s">
        <v>199</v>
      </c>
      <c r="AR205" t="str">
        <f>TRIM(Table1[[#This Row],[City]])</f>
        <v>Lucknow</v>
      </c>
      <c r="AS205" t="str">
        <f>PROPER(Table1[[#This Row],[City]])</f>
        <v>Lucknow</v>
      </c>
      <c r="AT205" t="s">
        <v>200</v>
      </c>
      <c r="AU205" t="str">
        <f>CONCATENATE(Table1[[#This Row],[City]],Table1[[#This Row],[State]])</f>
        <v>LucknowUttar Pradesh</v>
      </c>
      <c r="AV205" t="s">
        <v>150</v>
      </c>
      <c r="AW205" t="s">
        <v>250</v>
      </c>
      <c r="AX205" t="str">
        <f>REPLACE(Table1[[#This Row],[Product_ID]],1,1,"s")</f>
        <v>s113</v>
      </c>
      <c r="AY205" t="s">
        <v>1042</v>
      </c>
      <c r="AZ205">
        <f>SEARCH("-",Table1[[#This Row],[Product ID]])</f>
        <v>2</v>
      </c>
      <c r="BA205">
        <f>FIND("-",Table1[[#This Row],[Product ID]])</f>
        <v>2</v>
      </c>
      <c r="BB205" t="str">
        <f>MID(Table1[[#This Row],[Product_ID]],2,3)</f>
        <v>113</v>
      </c>
      <c r="BC205" t="str">
        <f>RIGHT(Table1[[#This Row],[Product_ID]],3)</f>
        <v>113</v>
      </c>
      <c r="BD205" t="str">
        <f>LEFT(Table1[[#This Row],[Product_ID]],3)</f>
        <v>P11</v>
      </c>
      <c r="BE205" t="str">
        <f>_xlfn.XLOOKUP(Table1[[#This Row],[Product_ID]],AW:AW,BF:BF,,0)</f>
        <v>Desk Lamp</v>
      </c>
      <c r="BF205" t="s">
        <v>252</v>
      </c>
      <c r="BG205">
        <f>LEN(Table1[[#This Row],[Product_Name]])</f>
        <v>9</v>
      </c>
      <c r="BH205" t="s">
        <v>133</v>
      </c>
      <c r="BI205">
        <f t="shared" si="28"/>
        <v>75</v>
      </c>
      <c r="BJ205" t="str">
        <f>SUBSTITUTE(Table1[[#This Row],[Category]],"Electronics","ELECTRONICS")</f>
        <v>Home</v>
      </c>
      <c r="BN205" t="s">
        <v>253</v>
      </c>
      <c r="BS205" s="14">
        <v>4</v>
      </c>
      <c r="BT205" s="3">
        <v>1299</v>
      </c>
      <c r="BU205" s="4">
        <v>15</v>
      </c>
      <c r="BV205" s="4" t="str">
        <f>IF(AND(Table1[[#This Row],[Quantity]]&gt;=3,Table1[[#This Row],[Discount_%]]&gt;=15%),"Bulk Discount","no")</f>
        <v>Bulk Discount</v>
      </c>
      <c r="BW205" s="4" t="str">
        <f>IF(AND(Table1[[#This Row],[Quantity]]&gt;3,Table1[[#This Row],[Discount_%]]&gt;15%),"Bulk Customer","Normal")</f>
        <v>Bulk Customer</v>
      </c>
      <c r="BX205" t="s">
        <v>330</v>
      </c>
      <c r="BY205" t="s">
        <v>136</v>
      </c>
      <c r="CC205" t="str">
        <f>IF(OR(Table1[[#This Row],[Order_Status]]="Returned",Table1[[#This Row],[Order_Status]]="Cancelled"),"Attention Required","Not")</f>
        <v>Not</v>
      </c>
      <c r="CD205" t="str">
        <f>IF(OR(Table1[[#This Row],[Order_Status]]="Returned",Table1[[#This Row],[Order_Status]]="Cancelled"),"Review","no")</f>
        <v>no</v>
      </c>
      <c r="CE205" t="str">
        <f>SUBSTITUTE(Table1[[#This Row],[Order_Status]],"Delivered","Completed")</f>
        <v>Completed</v>
      </c>
      <c r="CF205" s="2">
        <v>45817</v>
      </c>
      <c r="CG205" s="17">
        <f>NETWORKDAYS(Table1[[#This Row],[Order_Date]],Table1[[#This Row],[Delivery_Date]])</f>
        <v>1</v>
      </c>
      <c r="CH205" s="17">
        <f>Table1[[#This Row],[Delivery_Date]]-Table1[[#This Row],[Order_Date]]</f>
        <v>2</v>
      </c>
      <c r="CI205" t="s">
        <v>137</v>
      </c>
      <c r="CJ205" t="str">
        <f>IF(Table1[[#This Row],[Rating]]&gt;=4,"Good","Needs Improvement")</f>
        <v>Needs Improvement</v>
      </c>
      <c r="CK205" t="str">
        <f>IF(OR(Table1[[#This Row],[Rating]]&lt;=2,Table1[[#This Row],[Profit]]&lt;0),"Review","NO")</f>
        <v>Review</v>
      </c>
      <c r="CL205" t="e" cm="1">
        <f t="array" ref="CL205">_xlfn.IFS(Table1[[#This Row],[Rating]]&gt;2,"Poor",Table1[[#This Row],[Rating]]=3,"Average",Table1[[#This Row],[Rating]]=4,"Good",CP205=5,"Excellent")</f>
        <v>#N/A</v>
      </c>
      <c r="CM205">
        <f>COUNT(Table1[[#This Row],[Rating]])</f>
        <v>0</v>
      </c>
      <c r="CN205">
        <f>COUNTBLANK(Table1[[#This Row],[Rating]])</f>
        <v>1</v>
      </c>
      <c r="CP205" t="s">
        <v>157</v>
      </c>
      <c r="CR205" t="s">
        <v>173</v>
      </c>
      <c r="CS205" t="s">
        <v>140</v>
      </c>
      <c r="CU205" s="3">
        <v>4416.6000000000004</v>
      </c>
      <c r="CV205" s="3">
        <f>ROUND(Table1[[#This Row],[Sales_Amount]],0)</f>
        <v>4417</v>
      </c>
      <c r="CW205" s="3"/>
      <c r="CX205" s="3"/>
      <c r="CY205" s="3" t="b">
        <f>IF(AND(Table1[[#This Row],[Sales_Amount]]&gt;=10000,Table1[[#This Row],[Profit]]&gt;0),"Good Order")</f>
        <v>0</v>
      </c>
      <c r="CZ205" s="3" t="str">
        <f>IF(Table1[[#This Row],[Sales_Amount]]&gt;=10000,"High","Normal")</f>
        <v>Normal</v>
      </c>
      <c r="DA205" s="3">
        <v>1816.6</v>
      </c>
      <c r="DB205" s="3">
        <f>ROUND(Table1[[#This Row],[Profit]],0)</f>
        <v>1817</v>
      </c>
      <c r="DC205" s="3">
        <f>ABS(Table1[[#This Row],[Profit]])</f>
        <v>1816.6</v>
      </c>
      <c r="DD205" s="3"/>
      <c r="DE205" s="3"/>
      <c r="DF205" s="3"/>
      <c r="DG205" s="3" t="str">
        <f>IF(Table1[[#This Row],[Profit]]&gt;0,"Profit","Loss")</f>
        <v>Profit</v>
      </c>
      <c r="DH205" s="3" t="str">
        <f>IF(AND(Table1[[#This Row],[Sales_Amount]]&gt;=10000,Table1[[#This Row],[Profit]]&gt;0),"Priority","Normal")</f>
        <v>Normal</v>
      </c>
      <c r="DI205" s="3">
        <f t="shared" ca="1" si="23"/>
        <v>0.38497695202980997</v>
      </c>
      <c r="DJ205" s="3">
        <f t="shared" ca="1" si="24"/>
        <v>53</v>
      </c>
      <c r="DK205" s="3"/>
      <c r="DL205" s="3"/>
      <c r="DM205" s="3"/>
      <c r="DN205" s="3"/>
      <c r="DO205" s="3"/>
      <c r="DP205" s="3"/>
    </row>
    <row r="206" spans="1:120">
      <c r="A206" t="s">
        <v>1043</v>
      </c>
      <c r="B206" t="str">
        <f>REPLACE(Table1[[#This Row],[Order_ID]],1,3,"YOO")</f>
        <v>YOO10205</v>
      </c>
      <c r="C206" t="str">
        <f>MID(Table1[[#This Row],[Order_ID]],4,4)</f>
        <v>1020</v>
      </c>
      <c r="D206" t="str">
        <f>LEFT(Table1[[#This Row],[Order_ID]],4)</f>
        <v>ORD1</v>
      </c>
      <c r="E206" t="str">
        <f>RIGHT(Table1[[#This Row],[Order_ID]],5)</f>
        <v>10205</v>
      </c>
      <c r="F206" t="s">
        <v>5</v>
      </c>
      <c r="G206">
        <v>10205</v>
      </c>
      <c r="H206" t="s">
        <v>1044</v>
      </c>
      <c r="I206" s="2">
        <f>EDATE(Table1[[#This Row],[Order_Date]],3)</f>
        <v>45941</v>
      </c>
      <c r="J206" s="2">
        <f>EDATE(Table1[[#This Row],[Order_Date]],6)</f>
        <v>46033</v>
      </c>
      <c r="K206">
        <f ca="1">YEAR(Table1[[#This Row],[Today]])</f>
        <v>2026</v>
      </c>
      <c r="L206">
        <v>205</v>
      </c>
      <c r="M206">
        <f ca="1">DAY(Table1[[#This Row],[Today]])</f>
        <v>11</v>
      </c>
      <c r="N206" s="19">
        <f t="shared" ca="1" si="27"/>
        <v>46245.589795138891</v>
      </c>
      <c r="O206" s="2">
        <f t="shared" ca="1" si="22"/>
        <v>46245</v>
      </c>
      <c r="P206" s="17">
        <f ca="1">Table1[[#This Row],[Today]]-Table1[[#This Row],[Order_Date]]</f>
        <v>396</v>
      </c>
      <c r="Q206" s="2">
        <v>45862</v>
      </c>
      <c r="R206" s="2">
        <v>45849</v>
      </c>
      <c r="S206" s="6">
        <f t="shared" si="25"/>
        <v>2025</v>
      </c>
      <c r="T206" s="7" t="str">
        <f t="shared" si="26"/>
        <v>July</v>
      </c>
      <c r="U206" s="2">
        <f>WORKDAY(Table1[[#This Row],[Order_Date]],5)</f>
        <v>45856</v>
      </c>
      <c r="V206" s="7" t="str">
        <f>CONCATENATE(Table1[[#This Row],[Customer_ID]],Table1[[#This Row],[Customer_Name]])</f>
        <v>C1007Aman Singh</v>
      </c>
      <c r="W206" t="s">
        <v>1045</v>
      </c>
      <c r="X206" t="s">
        <v>123</v>
      </c>
      <c r="Y206">
        <f>COUNTA(Table1[[#This Row],[Customer_Name]])</f>
        <v>1</v>
      </c>
      <c r="Z206" t="str">
        <f>SUBSTITUTE(Table1[[#This Row],[Customer_Name]]," ","_")</f>
        <v>Aman_Singh</v>
      </c>
      <c r="AA206" s="10">
        <f>IFERROR(SEARCH("a",Table1[[#This Row],[Customer_Name]]),"N/A")</f>
        <v>1</v>
      </c>
      <c r="AB206">
        <f>SEARCH(" ",Table1[[#This Row],[Customer_Name]])</f>
        <v>5</v>
      </c>
      <c r="AC206" s="11">
        <f>IFERROR(FIND("a",Table1[[#This Row],[Customer_Name]]),"N/A")</f>
        <v>3</v>
      </c>
      <c r="AD206">
        <f>FIND(" ",Table1[[#This Row],[Customer_Name]])</f>
        <v>5</v>
      </c>
      <c r="AE206" t="str">
        <f>TRIM(Table1[[#This Row],[Customer_Name]])</f>
        <v>Aman Singh</v>
      </c>
      <c r="AF206">
        <f>LEN(Table1[[#This Row],[Trimmed]])</f>
        <v>10</v>
      </c>
      <c r="AG206">
        <f>MAX(Table1[Length])</f>
        <v>15</v>
      </c>
      <c r="AH206" t="str">
        <f>PROPER(Table1[[#This Row],[Customer_Name]])</f>
        <v>Aman Singh</v>
      </c>
      <c r="AI206" t="str">
        <f>LOWER(Table1[[#This Row],[Customer_Name]])</f>
        <v>aman singh</v>
      </c>
      <c r="AJ206" t="str">
        <f>UPPER(Table1[[#This Row],[Customer_Name]])</f>
        <v>AMAN SINGH</v>
      </c>
      <c r="AK206" t="str">
        <f>CONCATENATE(Table1[[#This Row],[Customer_ID]],Table1[[#This Row],[Customer_Name]])</f>
        <v>C1007Aman Singh</v>
      </c>
      <c r="AL206" t="s">
        <v>124</v>
      </c>
      <c r="AM206" t="s">
        <v>125</v>
      </c>
      <c r="AN206" t="s">
        <v>126</v>
      </c>
      <c r="AO206" t="s">
        <v>124</v>
      </c>
      <c r="AP206" t="s">
        <v>125</v>
      </c>
      <c r="AQ206" t="s">
        <v>127</v>
      </c>
      <c r="AR206" t="str">
        <f>TRIM(Table1[[#This Row],[City]])</f>
        <v>Pune</v>
      </c>
      <c r="AS206" t="str">
        <f>PROPER(Table1[[#This Row],[City]])</f>
        <v>Pune</v>
      </c>
      <c r="AT206" t="s">
        <v>128</v>
      </c>
      <c r="AU206" t="str">
        <f>CONCATENATE(Table1[[#This Row],[City]],Table1[[#This Row],[State]])</f>
        <v>PuneMaharashtra</v>
      </c>
      <c r="AV206" t="s">
        <v>129</v>
      </c>
      <c r="AW206" t="s">
        <v>319</v>
      </c>
      <c r="AX206" t="str">
        <f>REPLACE(Table1[[#This Row],[Product_ID]],1,1,"s")</f>
        <v>s103</v>
      </c>
      <c r="AY206" t="s">
        <v>1046</v>
      </c>
      <c r="AZ206">
        <f>SEARCH("-",Table1[[#This Row],[Product ID]])</f>
        <v>2</v>
      </c>
      <c r="BA206">
        <f>FIND("-",Table1[[#This Row],[Product ID]])</f>
        <v>2</v>
      </c>
      <c r="BB206" t="str">
        <f>MID(Table1[[#This Row],[Product_ID]],2,3)</f>
        <v>103</v>
      </c>
      <c r="BC206" t="str">
        <f>RIGHT(Table1[[#This Row],[Product_ID]],3)</f>
        <v>103</v>
      </c>
      <c r="BD206" t="str">
        <f>LEFT(Table1[[#This Row],[Product_ID]],3)</f>
        <v>P10</v>
      </c>
      <c r="BE206" t="str">
        <f>_xlfn.XLOOKUP(Table1[[#This Row],[Product_ID]],AW:AW,BF:BF,,0)</f>
        <v>Laptop Stand</v>
      </c>
      <c r="BF206" t="s">
        <v>321</v>
      </c>
      <c r="BG206">
        <f>LEN(Table1[[#This Row],[Product_Name]])</f>
        <v>12</v>
      </c>
      <c r="BH206" t="s">
        <v>154</v>
      </c>
      <c r="BI206">
        <f t="shared" si="28"/>
        <v>75</v>
      </c>
      <c r="BJ206" t="str">
        <f>SUBSTITUTE(Table1[[#This Row],[Category]],"Electronics","ELECTRONICS")</f>
        <v>ELECTRONICS</v>
      </c>
      <c r="BN206" t="s">
        <v>155</v>
      </c>
      <c r="BS206" s="14">
        <v>4</v>
      </c>
      <c r="BT206" s="3">
        <v>1599</v>
      </c>
      <c r="BU206" s="4">
        <v>25</v>
      </c>
      <c r="BV206" s="4" t="str">
        <f>IF(AND(Table1[[#This Row],[Quantity]]&gt;=3,Table1[[#This Row],[Discount_%]]&gt;=15%),"Bulk Discount","no")</f>
        <v>Bulk Discount</v>
      </c>
      <c r="BW206" s="4" t="str">
        <f>IF(AND(Table1[[#This Row],[Quantity]]&gt;3,Table1[[#This Row],[Discount_%]]&gt;15%),"Bulk Customer","Normal")</f>
        <v>Bulk Customer</v>
      </c>
      <c r="BX206" t="s">
        <v>192</v>
      </c>
      <c r="BY206" t="s">
        <v>156</v>
      </c>
      <c r="CC206" t="str">
        <f>IF(OR(Table1[[#This Row],[Order_Status]]="Returned",Table1[[#This Row],[Order_Status]]="Cancelled"),"Attention Required","Not")</f>
        <v>Attention Required</v>
      </c>
      <c r="CD206" t="str">
        <f>IF(OR(Table1[[#This Row],[Order_Status]]="Returned",Table1[[#This Row],[Order_Status]]="Cancelled"),"Review","no")</f>
        <v>Review</v>
      </c>
      <c r="CE206" t="str">
        <f>SUBSTITUTE(Table1[[#This Row],[Order_Status]],"Delivered","Completed")</f>
        <v>Cancelled</v>
      </c>
      <c r="CF206" s="2">
        <v>45856</v>
      </c>
      <c r="CG206" s="17">
        <f>NETWORKDAYS(Table1[[#This Row],[Order_Date]],Table1[[#This Row],[Delivery_Date]])</f>
        <v>6</v>
      </c>
      <c r="CH206" s="17">
        <f>Table1[[#This Row],[Delivery_Date]]-Table1[[#This Row],[Order_Date]]</f>
        <v>7</v>
      </c>
      <c r="CI206" t="s">
        <v>137</v>
      </c>
      <c r="CJ206" t="str">
        <f>IF(Table1[[#This Row],[Rating]]&gt;=4,"Good","Needs Improvement")</f>
        <v>Needs Improvement</v>
      </c>
      <c r="CK206" t="str">
        <f>IF(OR(Table1[[#This Row],[Rating]]&lt;=2,Table1[[#This Row],[Profit]]&lt;0),"Review","NO")</f>
        <v>Review</v>
      </c>
      <c r="CL206" t="e" cm="1">
        <f t="array" ref="CL206">_xlfn.IFS(Table1[[#This Row],[Rating]]&gt;2,"Poor",Table1[[#This Row],[Rating]]=3,"Average",Table1[[#This Row],[Rating]]=4,"Good",CP206=5,"Excellent")</f>
        <v>#N/A</v>
      </c>
      <c r="CM206">
        <f>COUNT(Table1[[#This Row],[Rating]])</f>
        <v>1</v>
      </c>
      <c r="CN206">
        <f>COUNTBLANK(Table1[[#This Row],[Rating]])</f>
        <v>0</v>
      </c>
      <c r="CP206" t="s">
        <v>266</v>
      </c>
      <c r="CQ206" s="14">
        <v>2</v>
      </c>
      <c r="CR206" t="s">
        <v>139</v>
      </c>
      <c r="CS206" t="s">
        <v>174</v>
      </c>
      <c r="CU206" s="3">
        <v>4797</v>
      </c>
      <c r="CV206" s="3">
        <f>ROUND(Table1[[#This Row],[Sales_Amount]],0)</f>
        <v>4797</v>
      </c>
      <c r="CW206" s="3"/>
      <c r="CX206" s="3"/>
      <c r="CY206" s="3" t="b">
        <f>IF(AND(Table1[[#This Row],[Sales_Amount]]&gt;=10000,Table1[[#This Row],[Profit]]&gt;0),"Good Order")</f>
        <v>0</v>
      </c>
      <c r="CZ206" s="3" t="str">
        <f>IF(Table1[[#This Row],[Sales_Amount]]&gt;=10000,"High","Normal")</f>
        <v>Normal</v>
      </c>
      <c r="DA206" s="3">
        <v>1197</v>
      </c>
      <c r="DB206" s="3">
        <f>ROUND(Table1[[#This Row],[Profit]],0)</f>
        <v>1197</v>
      </c>
      <c r="DC206" s="3">
        <f>ABS(Table1[[#This Row],[Profit]])</f>
        <v>1197</v>
      </c>
      <c r="DD206" s="3"/>
      <c r="DE206" s="3"/>
      <c r="DF206" s="3"/>
      <c r="DG206" s="3" t="str">
        <f>IF(Table1[[#This Row],[Profit]]&gt;0,"Profit","Loss")</f>
        <v>Profit</v>
      </c>
      <c r="DH206" s="3" t="str">
        <f>IF(AND(Table1[[#This Row],[Sales_Amount]]&gt;=10000,Table1[[#This Row],[Profit]]&gt;0),"Priority","Normal")</f>
        <v>Normal</v>
      </c>
      <c r="DI206" s="3">
        <f t="shared" ca="1" si="23"/>
        <v>0.52431394395022601</v>
      </c>
      <c r="DJ206" s="3">
        <f t="shared" ca="1" si="24"/>
        <v>82</v>
      </c>
      <c r="DK206" s="3"/>
      <c r="DL206" s="3"/>
      <c r="DM206" s="3"/>
      <c r="DN206" s="3"/>
      <c r="DO206" s="3"/>
      <c r="DP206" s="3"/>
    </row>
    <row r="207" spans="1:120">
      <c r="A207" t="s">
        <v>1047</v>
      </c>
      <c r="B207" t="str">
        <f>REPLACE(Table1[[#This Row],[Order_ID]],1,3,"YOO")</f>
        <v>YOO10206</v>
      </c>
      <c r="C207" t="str">
        <f>MID(Table1[[#This Row],[Order_ID]],4,4)</f>
        <v>1020</v>
      </c>
      <c r="D207" t="str">
        <f>LEFT(Table1[[#This Row],[Order_ID]],4)</f>
        <v>ORD1</v>
      </c>
      <c r="E207" t="str">
        <f>RIGHT(Table1[[#This Row],[Order_ID]],5)</f>
        <v>10206</v>
      </c>
      <c r="F207" t="s">
        <v>5</v>
      </c>
      <c r="G207">
        <v>10206</v>
      </c>
      <c r="H207" t="s">
        <v>1048</v>
      </c>
      <c r="I207" s="2">
        <f>EDATE(Table1[[#This Row],[Order_Date]],3)</f>
        <v>46142</v>
      </c>
      <c r="J207" s="2">
        <f>EDATE(Table1[[#This Row],[Order_Date]],6)</f>
        <v>46233</v>
      </c>
      <c r="K207">
        <f ca="1">YEAR(Table1[[#This Row],[Today]])</f>
        <v>2026</v>
      </c>
      <c r="L207">
        <v>206</v>
      </c>
      <c r="M207">
        <f ca="1">DAY(Table1[[#This Row],[Today]])</f>
        <v>11</v>
      </c>
      <c r="N207" s="19">
        <f t="shared" ca="1" si="27"/>
        <v>46245.589795370368</v>
      </c>
      <c r="O207" s="2">
        <f t="shared" ca="1" si="22"/>
        <v>46245</v>
      </c>
      <c r="P207" s="17">
        <f ca="1">Table1[[#This Row],[Today]]-Table1[[#This Row],[Order_Date]]</f>
        <v>193</v>
      </c>
      <c r="Q207" s="2">
        <v>45863</v>
      </c>
      <c r="R207" s="2">
        <v>46052</v>
      </c>
      <c r="S207" s="6">
        <f t="shared" si="25"/>
        <v>2026</v>
      </c>
      <c r="T207" s="7" t="str">
        <f t="shared" si="26"/>
        <v>January</v>
      </c>
      <c r="U207" s="2">
        <f>WORKDAY(Table1[[#This Row],[Order_Date]],5)</f>
        <v>46059</v>
      </c>
      <c r="V207" s="7" t="str">
        <f>CONCATENATE(Table1[[#This Row],[Customer_ID]],Table1[[#This Row],[Customer_Name]])</f>
        <v>C1144Anjali Joshi</v>
      </c>
      <c r="W207" t="s">
        <v>1049</v>
      </c>
      <c r="X207" t="s">
        <v>310</v>
      </c>
      <c r="Y207">
        <f>COUNTA(Table1[[#This Row],[Customer_Name]])</f>
        <v>1</v>
      </c>
      <c r="Z207" t="str">
        <f>SUBSTITUTE(Table1[[#This Row],[Customer_Name]]," ","_")</f>
        <v>Anjali_Joshi</v>
      </c>
      <c r="AA207" s="10">
        <f>IFERROR(SEARCH("a",Table1[[#This Row],[Customer_Name]]),"N/A")</f>
        <v>1</v>
      </c>
      <c r="AB207">
        <f>SEARCH(" ",Table1[[#This Row],[Customer_Name]])</f>
        <v>7</v>
      </c>
      <c r="AC207" s="11">
        <f>IFERROR(FIND("a",Table1[[#This Row],[Customer_Name]]),"N/A")</f>
        <v>4</v>
      </c>
      <c r="AD207">
        <f>FIND(" ",Table1[[#This Row],[Customer_Name]])</f>
        <v>7</v>
      </c>
      <c r="AE207" t="str">
        <f>TRIM(Table1[[#This Row],[Customer_Name]])</f>
        <v>Anjali Joshi</v>
      </c>
      <c r="AF207">
        <f>LEN(Table1[[#This Row],[Trimmed]])</f>
        <v>12</v>
      </c>
      <c r="AG207">
        <f>MAX(Table1[Length])</f>
        <v>15</v>
      </c>
      <c r="AH207" t="str">
        <f>PROPER(Table1[[#This Row],[Customer_Name]])</f>
        <v>Anjali Joshi</v>
      </c>
      <c r="AI207" t="str">
        <f>LOWER(Table1[[#This Row],[Customer_Name]])</f>
        <v>anjali joshi</v>
      </c>
      <c r="AJ207" t="str">
        <f>UPPER(Table1[[#This Row],[Customer_Name]])</f>
        <v>ANJALI JOSHI</v>
      </c>
      <c r="AK207" t="str">
        <f>CONCATENATE(Table1[[#This Row],[Customer_ID]],Table1[[#This Row],[Customer_Name]])</f>
        <v>C1144Anjali Joshi</v>
      </c>
      <c r="AL207" t="s">
        <v>311</v>
      </c>
      <c r="AM207" t="s">
        <v>312</v>
      </c>
      <c r="AN207" t="s">
        <v>313</v>
      </c>
      <c r="AO207" t="s">
        <v>311</v>
      </c>
      <c r="AP207" t="s">
        <v>312</v>
      </c>
      <c r="AQ207" t="s">
        <v>344</v>
      </c>
      <c r="AR207" t="str">
        <f>TRIM(Table1[[#This Row],[City]])</f>
        <v>Bhopal</v>
      </c>
      <c r="AS207" t="str">
        <f>PROPER(Table1[[#This Row],[City]])</f>
        <v>Bhopal</v>
      </c>
      <c r="AT207" t="s">
        <v>345</v>
      </c>
      <c r="AU207" t="str">
        <f>CONCATENATE(Table1[[#This Row],[City]],Table1[[#This Row],[State]])</f>
        <v>BhopalMadhya Pradesh</v>
      </c>
      <c r="AV207" t="s">
        <v>346</v>
      </c>
      <c r="AW207" t="s">
        <v>363</v>
      </c>
      <c r="AX207" t="str">
        <f>REPLACE(Table1[[#This Row],[Product_ID]],1,1,"s")</f>
        <v>s110</v>
      </c>
      <c r="AY207" t="s">
        <v>1050</v>
      </c>
      <c r="AZ207">
        <f>SEARCH("-",Table1[[#This Row],[Product ID]])</f>
        <v>2</v>
      </c>
      <c r="BA207">
        <f>FIND("-",Table1[[#This Row],[Product ID]])</f>
        <v>2</v>
      </c>
      <c r="BB207" t="str">
        <f>MID(Table1[[#This Row],[Product_ID]],2,3)</f>
        <v>110</v>
      </c>
      <c r="BC207" t="str">
        <f>RIGHT(Table1[[#This Row],[Product_ID]],3)</f>
        <v>110</v>
      </c>
      <c r="BD207" t="str">
        <f>LEFT(Table1[[#This Row],[Product_ID]],3)</f>
        <v>P11</v>
      </c>
      <c r="BE207" t="str">
        <f>_xlfn.XLOOKUP(Table1[[#This Row],[Product_ID]],AW:AW,BF:BF,,0)</f>
        <v>Smart Watch</v>
      </c>
      <c r="BF207" t="s">
        <v>365</v>
      </c>
      <c r="BG207">
        <f>LEN(Table1[[#This Row],[Product_Name]])</f>
        <v>11</v>
      </c>
      <c r="BH207" t="s">
        <v>154</v>
      </c>
      <c r="BI207">
        <f t="shared" si="28"/>
        <v>75</v>
      </c>
      <c r="BJ207" t="str">
        <f>SUBSTITUTE(Table1[[#This Row],[Category]],"Electronics","ELECTRONICS")</f>
        <v>ELECTRONICS</v>
      </c>
      <c r="BN207" t="s">
        <v>366</v>
      </c>
      <c r="BS207" s="14">
        <v>1</v>
      </c>
      <c r="BT207" s="3">
        <v>4999</v>
      </c>
      <c r="BU207" s="4">
        <v>10</v>
      </c>
      <c r="BV207" s="4" t="str">
        <f>IF(AND(Table1[[#This Row],[Quantity]]&gt;=3,Table1[[#This Row],[Discount_%]]&gt;=15%),"Bulk Discount","no")</f>
        <v>no</v>
      </c>
      <c r="BW207" s="4" t="str">
        <f>IF(AND(Table1[[#This Row],[Quantity]]&gt;3,Table1[[#This Row],[Discount_%]]&gt;15%),"Bulk Customer","Normal")</f>
        <v>Normal</v>
      </c>
      <c r="BX207" t="s">
        <v>135</v>
      </c>
      <c r="BY207" t="s">
        <v>136</v>
      </c>
      <c r="CC207" t="str">
        <f>IF(OR(Table1[[#This Row],[Order_Status]]="Returned",Table1[[#This Row],[Order_Status]]="Cancelled"),"Attention Required","Not")</f>
        <v>Not</v>
      </c>
      <c r="CD207" t="str">
        <f>IF(OR(Table1[[#This Row],[Order_Status]]="Returned",Table1[[#This Row],[Order_Status]]="Cancelled"),"Review","no")</f>
        <v>no</v>
      </c>
      <c r="CE207" t="str">
        <f>SUBSTITUTE(Table1[[#This Row],[Order_Status]],"Delivered","Completed")</f>
        <v>Completed</v>
      </c>
      <c r="CF207" s="2">
        <v>46059</v>
      </c>
      <c r="CG207" s="17">
        <f>NETWORKDAYS(Table1[[#This Row],[Order_Date]],Table1[[#This Row],[Delivery_Date]])</f>
        <v>6</v>
      </c>
      <c r="CH207" s="17">
        <f>Table1[[#This Row],[Delivery_Date]]-Table1[[#This Row],[Order_Date]]</f>
        <v>7</v>
      </c>
      <c r="CI207" t="s">
        <v>137</v>
      </c>
      <c r="CJ207" t="str">
        <f>IF(Table1[[#This Row],[Rating]]&gt;=4,"Good","Needs Improvement")</f>
        <v>Needs Improvement</v>
      </c>
      <c r="CK207" t="str">
        <f>IF(OR(Table1[[#This Row],[Rating]]&lt;=2,Table1[[#This Row],[Profit]]&lt;0),"Review","NO")</f>
        <v>Review</v>
      </c>
      <c r="CL207" t="e" cm="1">
        <f t="array" ref="CL207">_xlfn.IFS(Table1[[#This Row],[Rating]]&gt;2,"Poor",Table1[[#This Row],[Rating]]=3,"Average",Table1[[#This Row],[Rating]]=4,"Good",CP207=5,"Excellent")</f>
        <v>#N/A</v>
      </c>
      <c r="CM207">
        <f>COUNT(Table1[[#This Row],[Rating]])</f>
        <v>1</v>
      </c>
      <c r="CN207">
        <f>COUNTBLANK(Table1[[#This Row],[Rating]])</f>
        <v>0</v>
      </c>
      <c r="CP207" t="s">
        <v>266</v>
      </c>
      <c r="CQ207" s="14">
        <v>2</v>
      </c>
      <c r="CR207" t="s">
        <v>139</v>
      </c>
      <c r="CS207" t="s">
        <v>213</v>
      </c>
      <c r="CU207" s="3">
        <v>4499.1000000000004</v>
      </c>
      <c r="CV207" s="3">
        <f>ROUND(Table1[[#This Row],[Sales_Amount]],0)</f>
        <v>4499</v>
      </c>
      <c r="CW207" s="3"/>
      <c r="CX207" s="3"/>
      <c r="CY207" s="3" t="b">
        <f>IF(AND(Table1[[#This Row],[Sales_Amount]]&gt;=10000,Table1[[#This Row],[Profit]]&gt;0),"Good Order")</f>
        <v>0</v>
      </c>
      <c r="CZ207" s="3" t="str">
        <f>IF(Table1[[#This Row],[Sales_Amount]]&gt;=10000,"High","Normal")</f>
        <v>Normal</v>
      </c>
      <c r="DA207" s="3">
        <v>1399.1</v>
      </c>
      <c r="DB207" s="3">
        <f>ROUND(Table1[[#This Row],[Profit]],0)</f>
        <v>1399</v>
      </c>
      <c r="DC207" s="3">
        <f>ABS(Table1[[#This Row],[Profit]])</f>
        <v>1399.1</v>
      </c>
      <c r="DD207" s="3"/>
      <c r="DE207" s="3"/>
      <c r="DF207" s="3"/>
      <c r="DG207" s="3" t="str">
        <f>IF(Table1[[#This Row],[Profit]]&gt;0,"Profit","Loss")</f>
        <v>Profit</v>
      </c>
      <c r="DH207" s="3" t="str">
        <f>IF(AND(Table1[[#This Row],[Sales_Amount]]&gt;=10000,Table1[[#This Row],[Profit]]&gt;0),"Priority","Normal")</f>
        <v>Normal</v>
      </c>
      <c r="DI207" s="3">
        <f t="shared" ca="1" si="23"/>
        <v>4.8610287730440405E-2</v>
      </c>
      <c r="DJ207" s="3">
        <f t="shared" ca="1" si="24"/>
        <v>64</v>
      </c>
      <c r="DK207" s="3"/>
      <c r="DL207" s="3"/>
      <c r="DM207" s="3"/>
      <c r="DN207" s="3"/>
      <c r="DO207" s="3"/>
      <c r="DP207" s="3"/>
    </row>
    <row r="208" spans="1:120">
      <c r="A208" t="s">
        <v>1051</v>
      </c>
      <c r="B208" t="str">
        <f>REPLACE(Table1[[#This Row],[Order_ID]],1,3,"YOO")</f>
        <v>YOO10207</v>
      </c>
      <c r="C208" t="str">
        <f>MID(Table1[[#This Row],[Order_ID]],4,4)</f>
        <v>1020</v>
      </c>
      <c r="D208" t="str">
        <f>LEFT(Table1[[#This Row],[Order_ID]],4)</f>
        <v>ORD1</v>
      </c>
      <c r="E208" t="str">
        <f>RIGHT(Table1[[#This Row],[Order_ID]],5)</f>
        <v>10207</v>
      </c>
      <c r="F208" t="s">
        <v>5</v>
      </c>
      <c r="G208">
        <v>10207</v>
      </c>
      <c r="H208" t="s">
        <v>1052</v>
      </c>
      <c r="I208" s="2">
        <f>EDATE(Table1[[#This Row],[Order_Date]],3)</f>
        <v>45892</v>
      </c>
      <c r="J208" s="2">
        <f>EDATE(Table1[[#This Row],[Order_Date]],6)</f>
        <v>45984</v>
      </c>
      <c r="K208">
        <f ca="1">YEAR(Table1[[#This Row],[Today]])</f>
        <v>2026</v>
      </c>
      <c r="L208">
        <v>207</v>
      </c>
      <c r="M208">
        <f ca="1">DAY(Table1[[#This Row],[Today]])</f>
        <v>11</v>
      </c>
      <c r="N208" s="19">
        <f t="shared" ca="1" si="27"/>
        <v>46245.589795370368</v>
      </c>
      <c r="O208" s="2">
        <f t="shared" ca="1" si="22"/>
        <v>46245</v>
      </c>
      <c r="P208" s="17">
        <f ca="1">Table1[[#This Row],[Today]]-Table1[[#This Row],[Order_Date]]</f>
        <v>445</v>
      </c>
      <c r="Q208" s="2">
        <v>45864</v>
      </c>
      <c r="R208" s="2">
        <v>45800</v>
      </c>
      <c r="S208" s="6">
        <f t="shared" si="25"/>
        <v>2025</v>
      </c>
      <c r="T208" s="7" t="str">
        <f t="shared" si="26"/>
        <v>May</v>
      </c>
      <c r="U208" s="2">
        <f>WORKDAY(Table1[[#This Row],[Order_Date]],5)</f>
        <v>45807</v>
      </c>
      <c r="V208" s="7" t="str">
        <f>CONCATENATE(Table1[[#This Row],[Customer_ID]],Table1[[#This Row],[Customer_Name]])</f>
        <v>C1017Simran Kaur</v>
      </c>
      <c r="W208" t="s">
        <v>685</v>
      </c>
      <c r="X208" t="s">
        <v>325</v>
      </c>
      <c r="Y208">
        <f>COUNTA(Table1[[#This Row],[Customer_Name]])</f>
        <v>1</v>
      </c>
      <c r="Z208" t="str">
        <f>SUBSTITUTE(Table1[[#This Row],[Customer_Name]]," ","_")</f>
        <v>Simran_Kaur</v>
      </c>
      <c r="AA208" s="10">
        <f>IFERROR(SEARCH("a",Table1[[#This Row],[Customer_Name]]),"N/A")</f>
        <v>5</v>
      </c>
      <c r="AB208">
        <f>SEARCH(" ",Table1[[#This Row],[Customer_Name]])</f>
        <v>7</v>
      </c>
      <c r="AC208" s="11">
        <f>IFERROR(FIND("a",Table1[[#This Row],[Customer_Name]]),"N/A")</f>
        <v>5</v>
      </c>
      <c r="AD208">
        <f>FIND(" ",Table1[[#This Row],[Customer_Name]])</f>
        <v>7</v>
      </c>
      <c r="AE208" t="str">
        <f>TRIM(Table1[[#This Row],[Customer_Name]])</f>
        <v>Simran Kaur</v>
      </c>
      <c r="AF208">
        <f>LEN(Table1[[#This Row],[Trimmed]])</f>
        <v>11</v>
      </c>
      <c r="AG208">
        <f>MAX(Table1[Length])</f>
        <v>15</v>
      </c>
      <c r="AH208" t="str">
        <f>PROPER(Table1[[#This Row],[Customer_Name]])</f>
        <v>Simran Kaur</v>
      </c>
      <c r="AI208" t="str">
        <f>LOWER(Table1[[#This Row],[Customer_Name]])</f>
        <v>simran kaur</v>
      </c>
      <c r="AJ208" t="str">
        <f>UPPER(Table1[[#This Row],[Customer_Name]])</f>
        <v>SIMRAN KAUR</v>
      </c>
      <c r="AK208" t="str">
        <f>CONCATENATE(Table1[[#This Row],[Customer_ID]],Table1[[#This Row],[Customer_Name]])</f>
        <v>C1017Simran Kaur</v>
      </c>
      <c r="AL208" t="s">
        <v>326</v>
      </c>
      <c r="AM208" t="s">
        <v>327</v>
      </c>
      <c r="AN208" t="s">
        <v>328</v>
      </c>
      <c r="AO208" t="s">
        <v>326</v>
      </c>
      <c r="AP208" t="s">
        <v>327</v>
      </c>
      <c r="AQ208" t="s">
        <v>569</v>
      </c>
      <c r="AR208" t="str">
        <f>TRIM(Table1[[#This Row],[City]])</f>
        <v>Delhi</v>
      </c>
      <c r="AS208" t="str">
        <f>PROPER(Table1[[#This Row],[City]])</f>
        <v>Delhi</v>
      </c>
      <c r="AT208" t="s">
        <v>569</v>
      </c>
      <c r="AU208" t="str">
        <f>CONCATENATE(Table1[[#This Row],[City]],Table1[[#This Row],[State]])</f>
        <v>DelhiDelhi</v>
      </c>
      <c r="AV208" t="s">
        <v>150</v>
      </c>
      <c r="AW208" t="s">
        <v>236</v>
      </c>
      <c r="AX208" t="str">
        <f>REPLACE(Table1[[#This Row],[Product_ID]],1,1,"s")</f>
        <v>s107</v>
      </c>
      <c r="AY208" t="s">
        <v>1053</v>
      </c>
      <c r="AZ208">
        <f>SEARCH("-",Table1[[#This Row],[Product ID]])</f>
        <v>2</v>
      </c>
      <c r="BA208">
        <f>FIND("-",Table1[[#This Row],[Product ID]])</f>
        <v>2</v>
      </c>
      <c r="BB208" t="str">
        <f>MID(Table1[[#This Row],[Product_ID]],2,3)</f>
        <v>107</v>
      </c>
      <c r="BC208" t="str">
        <f>RIGHT(Table1[[#This Row],[Product_ID]],3)</f>
        <v>107</v>
      </c>
      <c r="BD208" t="str">
        <f>LEFT(Table1[[#This Row],[Product_ID]],3)</f>
        <v>P10</v>
      </c>
      <c r="BE208" t="str">
        <f>_xlfn.XLOOKUP(Table1[[#This Row],[Product_ID]],AW:AW,BF:BF,,0)</f>
        <v>Casual Sneakers</v>
      </c>
      <c r="BF208" t="s">
        <v>238</v>
      </c>
      <c r="BG208">
        <f>LEN(Table1[[#This Row],[Product_Name]])</f>
        <v>15</v>
      </c>
      <c r="BH208" t="s">
        <v>224</v>
      </c>
      <c r="BI208">
        <f t="shared" si="28"/>
        <v>75</v>
      </c>
      <c r="BJ208" t="str">
        <f>SUBSTITUTE(Table1[[#This Row],[Category]],"Electronics","ELECTRONICS")</f>
        <v>Fashion</v>
      </c>
      <c r="BN208" t="s">
        <v>225</v>
      </c>
      <c r="BS208" s="14">
        <v>3</v>
      </c>
      <c r="BT208" s="3">
        <v>2799</v>
      </c>
      <c r="BU208" s="4">
        <v>10</v>
      </c>
      <c r="BV208" s="4" t="str">
        <f>IF(AND(Table1[[#This Row],[Quantity]]&gt;=3,Table1[[#This Row],[Discount_%]]&gt;=15%),"Bulk Discount","no")</f>
        <v>Bulk Discount</v>
      </c>
      <c r="BW208" s="4" t="str">
        <f>IF(AND(Table1[[#This Row],[Quantity]]&gt;3,Table1[[#This Row],[Discount_%]]&gt;15%),"Bulk Customer","Normal")</f>
        <v>Normal</v>
      </c>
      <c r="BX208" t="s">
        <v>330</v>
      </c>
      <c r="BY208" t="s">
        <v>136</v>
      </c>
      <c r="CC208" t="str">
        <f>IF(OR(Table1[[#This Row],[Order_Status]]="Returned",Table1[[#This Row],[Order_Status]]="Cancelled"),"Attention Required","Not")</f>
        <v>Not</v>
      </c>
      <c r="CD208" t="str">
        <f>IF(OR(Table1[[#This Row],[Order_Status]]="Returned",Table1[[#This Row],[Order_Status]]="Cancelled"),"Review","no")</f>
        <v>no</v>
      </c>
      <c r="CE208" t="str">
        <f>SUBSTITUTE(Table1[[#This Row],[Order_Status]],"Delivered","Completed")</f>
        <v>Completed</v>
      </c>
      <c r="CF208" s="2">
        <v>45808</v>
      </c>
      <c r="CG208" s="17">
        <f>NETWORKDAYS(Table1[[#This Row],[Order_Date]],Table1[[#This Row],[Delivery_Date]])</f>
        <v>6</v>
      </c>
      <c r="CH208" s="17">
        <f>Table1[[#This Row],[Delivery_Date]]-Table1[[#This Row],[Order_Date]]</f>
        <v>8</v>
      </c>
      <c r="CI208" t="s">
        <v>137</v>
      </c>
      <c r="CJ208" t="str">
        <f>IF(Table1[[#This Row],[Rating]]&gt;=4,"Good","Needs Improvement")</f>
        <v>Needs Improvement</v>
      </c>
      <c r="CK208" t="str">
        <f>IF(OR(Table1[[#This Row],[Rating]]&lt;=2,Table1[[#This Row],[Profit]]&lt;0),"Review","NO")</f>
        <v>NO</v>
      </c>
      <c r="CL208" t="str" cm="1">
        <f t="array" ref="CL208">_xlfn.IFS(Table1[[#This Row],[Rating]]&gt;2,"Poor",Table1[[#This Row],[Rating]]=3,"Average",Table1[[#This Row],[Rating]]=4,"Good",CP208=5,"Excellent")</f>
        <v>Poor</v>
      </c>
      <c r="CM208">
        <f>COUNT(Table1[[#This Row],[Rating]])</f>
        <v>1</v>
      </c>
      <c r="CN208">
        <f>COUNTBLANK(Table1[[#This Row],[Rating]])</f>
        <v>0</v>
      </c>
      <c r="CP208" t="s">
        <v>157</v>
      </c>
      <c r="CQ208" s="14">
        <v>3</v>
      </c>
      <c r="CR208" t="s">
        <v>173</v>
      </c>
      <c r="CS208" t="s">
        <v>195</v>
      </c>
      <c r="CU208" s="3">
        <v>7557.3</v>
      </c>
      <c r="CV208" s="3">
        <f>ROUND(Table1[[#This Row],[Sales_Amount]],0)</f>
        <v>7557</v>
      </c>
      <c r="CW208" s="3"/>
      <c r="CX208" s="3"/>
      <c r="CY208" s="3" t="b">
        <f>IF(AND(Table1[[#This Row],[Sales_Amount]]&gt;=10000,Table1[[#This Row],[Profit]]&gt;0),"Good Order")</f>
        <v>0</v>
      </c>
      <c r="CZ208" s="3" t="str">
        <f>IF(Table1[[#This Row],[Sales_Amount]]&gt;=10000,"High","Normal")</f>
        <v>Normal</v>
      </c>
      <c r="DA208" s="3">
        <v>3057.3</v>
      </c>
      <c r="DB208" s="3">
        <f>ROUND(Table1[[#This Row],[Profit]],0)</f>
        <v>3057</v>
      </c>
      <c r="DC208" s="3">
        <f>ABS(Table1[[#This Row],[Profit]])</f>
        <v>3057.3</v>
      </c>
      <c r="DD208" s="3"/>
      <c r="DE208" s="3"/>
      <c r="DF208" s="3"/>
      <c r="DG208" s="3" t="str">
        <f>IF(Table1[[#This Row],[Profit]]&gt;0,"Profit","Loss")</f>
        <v>Profit</v>
      </c>
      <c r="DH208" s="3" t="str">
        <f>IF(AND(Table1[[#This Row],[Sales_Amount]]&gt;=10000,Table1[[#This Row],[Profit]]&gt;0),"Priority","Normal")</f>
        <v>Normal</v>
      </c>
      <c r="DI208" s="3">
        <f t="shared" ca="1" si="23"/>
        <v>0.54869762487865792</v>
      </c>
      <c r="DJ208" s="3">
        <f t="shared" ca="1" si="24"/>
        <v>63</v>
      </c>
      <c r="DK208" s="3"/>
      <c r="DL208" s="3"/>
      <c r="DM208" s="3"/>
      <c r="DN208" s="3"/>
      <c r="DO208" s="3"/>
      <c r="DP208" s="3"/>
    </row>
    <row r="209" spans="1:120">
      <c r="A209" t="s">
        <v>1054</v>
      </c>
      <c r="B209" t="str">
        <f>REPLACE(Table1[[#This Row],[Order_ID]],1,3,"YOO")</f>
        <v>YOO10208</v>
      </c>
      <c r="C209" t="str">
        <f>MID(Table1[[#This Row],[Order_ID]],4,4)</f>
        <v>1020</v>
      </c>
      <c r="D209" t="str">
        <f>LEFT(Table1[[#This Row],[Order_ID]],4)</f>
        <v>ORD1</v>
      </c>
      <c r="E209" t="str">
        <f>RIGHT(Table1[[#This Row],[Order_ID]],5)</f>
        <v>10208</v>
      </c>
      <c r="F209" t="s">
        <v>5</v>
      </c>
      <c r="G209">
        <v>10208</v>
      </c>
      <c r="H209" t="s">
        <v>1055</v>
      </c>
      <c r="I209" s="2">
        <f>EDATE(Table1[[#This Row],[Order_Date]],3)</f>
        <v>46117</v>
      </c>
      <c r="J209" s="2">
        <f>EDATE(Table1[[#This Row],[Order_Date]],6)</f>
        <v>46208</v>
      </c>
      <c r="K209">
        <f ca="1">YEAR(Table1[[#This Row],[Today]])</f>
        <v>2026</v>
      </c>
      <c r="L209">
        <v>208</v>
      </c>
      <c r="M209">
        <f ca="1">DAY(Table1[[#This Row],[Today]])</f>
        <v>11</v>
      </c>
      <c r="N209" s="19">
        <f t="shared" ca="1" si="27"/>
        <v>46245.589795138891</v>
      </c>
      <c r="O209" s="2">
        <f t="shared" ca="1" si="22"/>
        <v>46245</v>
      </c>
      <c r="P209" s="17">
        <f ca="1">Table1[[#This Row],[Today]]-Table1[[#This Row],[Order_Date]]</f>
        <v>218</v>
      </c>
      <c r="Q209" s="2">
        <v>45865</v>
      </c>
      <c r="R209" s="2">
        <v>46027</v>
      </c>
      <c r="S209" s="6">
        <f t="shared" si="25"/>
        <v>2026</v>
      </c>
      <c r="T209" s="7" t="str">
        <f t="shared" si="26"/>
        <v>January</v>
      </c>
      <c r="U209" s="2">
        <f>WORKDAY(Table1[[#This Row],[Order_Date]],5)</f>
        <v>46034</v>
      </c>
      <c r="V209" s="7" t="str">
        <f>CONCATENATE(Table1[[#This Row],[Customer_ID]],Table1[[#This Row],[Customer_Name]])</f>
        <v xml:space="preserve">C1118  neha gupta  </v>
      </c>
      <c r="W209" t="s">
        <v>354</v>
      </c>
      <c r="X209" t="s">
        <v>583</v>
      </c>
      <c r="Y209">
        <f>COUNTA(Table1[[#This Row],[Customer_Name]])</f>
        <v>1</v>
      </c>
      <c r="Z209" t="str">
        <f>SUBSTITUTE(Table1[[#This Row],[Customer_Name]]," ","_")</f>
        <v>__neha_gupta__</v>
      </c>
      <c r="AA209" s="10">
        <f>IFERROR(SEARCH("a",Table1[[#This Row],[Customer_Name]]),"N/A")</f>
        <v>6</v>
      </c>
      <c r="AB209">
        <f>SEARCH(" ",Table1[[#This Row],[Customer_Name]])</f>
        <v>1</v>
      </c>
      <c r="AC209" s="11">
        <f>IFERROR(FIND("a",Table1[[#This Row],[Customer_Name]]),"N/A")</f>
        <v>6</v>
      </c>
      <c r="AD209">
        <f>FIND(" ",Table1[[#This Row],[Customer_Name]])</f>
        <v>1</v>
      </c>
      <c r="AE209" t="str">
        <f>TRIM(Table1[[#This Row],[Customer_Name]])</f>
        <v>neha gupta</v>
      </c>
      <c r="AF209">
        <f>LEN(Table1[[#This Row],[Trimmed]])</f>
        <v>10</v>
      </c>
      <c r="AG209">
        <f>MAX(Table1[Length])</f>
        <v>15</v>
      </c>
      <c r="AH209" t="str">
        <f>PROPER(Table1[[#This Row],[Customer_Name]])</f>
        <v xml:space="preserve">  Neha Gupta  </v>
      </c>
      <c r="AI209" t="str">
        <f>LOWER(Table1[[#This Row],[Customer_Name]])</f>
        <v xml:space="preserve">  neha gupta  </v>
      </c>
      <c r="AJ209" t="str">
        <f>UPPER(Table1[[#This Row],[Customer_Name]])</f>
        <v xml:space="preserve">  NEHA GUPTA  </v>
      </c>
      <c r="AK209" t="str">
        <f>CONCATENATE(Table1[[#This Row],[Customer_ID]],Table1[[#This Row],[Customer_Name]])</f>
        <v xml:space="preserve">C1118  neha gupta  </v>
      </c>
      <c r="AL209" t="s">
        <v>584</v>
      </c>
      <c r="AM209" t="s">
        <v>585</v>
      </c>
      <c r="AN209" t="s">
        <v>232</v>
      </c>
      <c r="AO209" t="s">
        <v>584</v>
      </c>
      <c r="AP209" t="s">
        <v>585</v>
      </c>
      <c r="AQ209" t="s">
        <v>127</v>
      </c>
      <c r="AR209" t="str">
        <f>TRIM(Table1[[#This Row],[City]])</f>
        <v>Pune</v>
      </c>
      <c r="AS209" t="str">
        <f>PROPER(Table1[[#This Row],[City]])</f>
        <v>Pune</v>
      </c>
      <c r="AT209" t="s">
        <v>128</v>
      </c>
      <c r="AU209" t="str">
        <f>CONCATENATE(Table1[[#This Row],[City]],Table1[[#This Row],[State]])</f>
        <v>PuneMaharashtra</v>
      </c>
      <c r="AV209" t="s">
        <v>129</v>
      </c>
      <c r="AW209" t="s">
        <v>370</v>
      </c>
      <c r="AX209" t="str">
        <f>REPLACE(Table1[[#This Row],[Product_ID]],1,1,"s")</f>
        <v>s108</v>
      </c>
      <c r="AY209" t="s">
        <v>1056</v>
      </c>
      <c r="AZ209">
        <f>SEARCH("-",Table1[[#This Row],[Product ID]])</f>
        <v>2</v>
      </c>
      <c r="BA209">
        <f>FIND("-",Table1[[#This Row],[Product ID]])</f>
        <v>2</v>
      </c>
      <c r="BB209" t="str">
        <f>MID(Table1[[#This Row],[Product_ID]],2,3)</f>
        <v>108</v>
      </c>
      <c r="BC209" t="str">
        <f>RIGHT(Table1[[#This Row],[Product_ID]],3)</f>
        <v>108</v>
      </c>
      <c r="BD209" t="str">
        <f>LEFT(Table1[[#This Row],[Product_ID]],3)</f>
        <v>P10</v>
      </c>
      <c r="BE209" t="str">
        <f>_xlfn.XLOOKUP(Table1[[#This Row],[Product_ID]],AW:AW,BF:BF,,0)</f>
        <v>Hoodie</v>
      </c>
      <c r="BF209" t="s">
        <v>372</v>
      </c>
      <c r="BG209">
        <f>LEN(Table1[[#This Row],[Product_Name]])</f>
        <v>6</v>
      </c>
      <c r="BH209" t="s">
        <v>224</v>
      </c>
      <c r="BI209">
        <f t="shared" si="28"/>
        <v>75</v>
      </c>
      <c r="BJ209" t="str">
        <f>SUBSTITUTE(Table1[[#This Row],[Category]],"Electronics","ELECTRONICS")</f>
        <v>Fashion</v>
      </c>
      <c r="BN209" t="s">
        <v>373</v>
      </c>
      <c r="BS209" s="14">
        <v>3</v>
      </c>
      <c r="BT209" s="3">
        <v>1999</v>
      </c>
      <c r="BU209" s="4">
        <v>10</v>
      </c>
      <c r="BV209" s="4" t="str">
        <f>IF(AND(Table1[[#This Row],[Quantity]]&gt;=3,Table1[[#This Row],[Discount_%]]&gt;=15%),"Bulk Discount","no")</f>
        <v>Bulk Discount</v>
      </c>
      <c r="BW209" s="4" t="str">
        <f>IF(AND(Table1[[#This Row],[Quantity]]&gt;3,Table1[[#This Row],[Discount_%]]&gt;15%),"Bulk Customer","Normal")</f>
        <v>Normal</v>
      </c>
      <c r="BX209" t="s">
        <v>187</v>
      </c>
      <c r="BY209" t="s">
        <v>374</v>
      </c>
      <c r="CC209" t="str">
        <f>IF(OR(Table1[[#This Row],[Order_Status]]="Returned",Table1[[#This Row],[Order_Status]]="Cancelled"),"Attention Required","Not")</f>
        <v>Attention Required</v>
      </c>
      <c r="CD209" t="str">
        <f>IF(OR(Table1[[#This Row],[Order_Status]]="Returned",Table1[[#This Row],[Order_Status]]="Cancelled"),"Review","no")</f>
        <v>Review</v>
      </c>
      <c r="CE209" t="str">
        <f>SUBSTITUTE(Table1[[#This Row],[Order_Status]],"Delivered","Completed")</f>
        <v>Returned</v>
      </c>
      <c r="CF209" s="2">
        <v>46035</v>
      </c>
      <c r="CG209" s="17">
        <f>NETWORKDAYS(Table1[[#This Row],[Order_Date]],Table1[[#This Row],[Delivery_Date]])</f>
        <v>7</v>
      </c>
      <c r="CH209" s="17">
        <f>Table1[[#This Row],[Delivery_Date]]-Table1[[#This Row],[Order_Date]]</f>
        <v>8</v>
      </c>
      <c r="CI209" t="s">
        <v>375</v>
      </c>
      <c r="CJ209" t="str">
        <f>IF(Table1[[#This Row],[Rating]]&gt;=4,"Good","Needs Improvement")</f>
        <v>Good</v>
      </c>
      <c r="CK209" t="str">
        <f>IF(OR(Table1[[#This Row],[Rating]]&lt;=2,Table1[[#This Row],[Profit]]&lt;0),"Review","NO")</f>
        <v>NO</v>
      </c>
      <c r="CL209" t="str" cm="1">
        <f t="array" ref="CL209">_xlfn.IFS(Table1[[#This Row],[Rating]]&gt;2,"Poor",Table1[[#This Row],[Rating]]=3,"Average",Table1[[#This Row],[Rating]]=4,"Good",CP209=5,"Excellent")</f>
        <v>Poor</v>
      </c>
      <c r="CM209">
        <f>COUNT(Table1[[#This Row],[Rating]])</f>
        <v>1</v>
      </c>
      <c r="CN209">
        <f>COUNTBLANK(Table1[[#This Row],[Rating]])</f>
        <v>0</v>
      </c>
      <c r="CP209" t="s">
        <v>157</v>
      </c>
      <c r="CQ209" s="14">
        <v>4</v>
      </c>
      <c r="CR209" t="s">
        <v>139</v>
      </c>
      <c r="CS209" t="s">
        <v>267</v>
      </c>
      <c r="CU209" s="3">
        <v>5397.3</v>
      </c>
      <c r="CV209" s="3">
        <f>ROUND(Table1[[#This Row],[Sales_Amount]],0)</f>
        <v>5397</v>
      </c>
      <c r="CW209" s="3"/>
      <c r="CX209" s="3"/>
      <c r="CY209" s="3" t="b">
        <f>IF(AND(Table1[[#This Row],[Sales_Amount]]&gt;=10000,Table1[[#This Row],[Profit]]&gt;0),"Good Order")</f>
        <v>0</v>
      </c>
      <c r="CZ209" s="3" t="str">
        <f>IF(Table1[[#This Row],[Sales_Amount]]&gt;=10000,"High","Normal")</f>
        <v>Normal</v>
      </c>
      <c r="DA209" s="3">
        <v>2247.3000000000002</v>
      </c>
      <c r="DB209" s="3">
        <f>ROUND(Table1[[#This Row],[Profit]],0)</f>
        <v>2247</v>
      </c>
      <c r="DC209" s="3">
        <f>ABS(Table1[[#This Row],[Profit]])</f>
        <v>2247.3000000000002</v>
      </c>
      <c r="DD209" s="3"/>
      <c r="DE209" s="3"/>
      <c r="DF209" s="3"/>
      <c r="DG209" s="3" t="str">
        <f>IF(Table1[[#This Row],[Profit]]&gt;0,"Profit","Loss")</f>
        <v>Profit</v>
      </c>
      <c r="DH209" s="3" t="str">
        <f>IF(AND(Table1[[#This Row],[Sales_Amount]]&gt;=10000,Table1[[#This Row],[Profit]]&gt;0),"Priority","Normal")</f>
        <v>Normal</v>
      </c>
      <c r="DI209" s="3">
        <f t="shared" ca="1" si="23"/>
        <v>0.49871086813156962</v>
      </c>
      <c r="DJ209" s="3">
        <f t="shared" ca="1" si="24"/>
        <v>97</v>
      </c>
      <c r="DK209" s="3"/>
      <c r="DL209" s="3"/>
      <c r="DM209" s="3"/>
      <c r="DN209" s="3"/>
      <c r="DO209" s="3"/>
      <c r="DP209" s="3"/>
    </row>
    <row r="210" spans="1:120">
      <c r="A210" t="s">
        <v>1057</v>
      </c>
      <c r="B210" t="str">
        <f>REPLACE(Table1[[#This Row],[Order_ID]],1,3,"YOO")</f>
        <v>YOO10209</v>
      </c>
      <c r="C210" t="str">
        <f>MID(Table1[[#This Row],[Order_ID]],4,4)</f>
        <v>1020</v>
      </c>
      <c r="D210" t="str">
        <f>LEFT(Table1[[#This Row],[Order_ID]],4)</f>
        <v>ORD1</v>
      </c>
      <c r="E210" t="str">
        <f>RIGHT(Table1[[#This Row],[Order_ID]],5)</f>
        <v>10209</v>
      </c>
      <c r="F210" t="s">
        <v>5</v>
      </c>
      <c r="G210">
        <v>10209</v>
      </c>
      <c r="H210" t="s">
        <v>1058</v>
      </c>
      <c r="I210" s="2">
        <f>EDATE(Table1[[#This Row],[Order_Date]],3)</f>
        <v>46137</v>
      </c>
      <c r="J210" s="2">
        <f>EDATE(Table1[[#This Row],[Order_Date]],6)</f>
        <v>46228</v>
      </c>
      <c r="K210">
        <f ca="1">YEAR(Table1[[#This Row],[Today]])</f>
        <v>2026</v>
      </c>
      <c r="L210">
        <v>209</v>
      </c>
      <c r="M210">
        <f ca="1">DAY(Table1[[#This Row],[Today]])</f>
        <v>11</v>
      </c>
      <c r="N210" s="19">
        <f t="shared" ca="1" si="27"/>
        <v>46245.589795370368</v>
      </c>
      <c r="O210" s="2">
        <f t="shared" ca="1" si="22"/>
        <v>46245</v>
      </c>
      <c r="P210" s="17">
        <f ca="1">Table1[[#This Row],[Today]]-Table1[[#This Row],[Order_Date]]</f>
        <v>198</v>
      </c>
      <c r="Q210" s="2">
        <v>45866</v>
      </c>
      <c r="R210" s="2">
        <v>46047</v>
      </c>
      <c r="S210" s="6">
        <f t="shared" si="25"/>
        <v>2026</v>
      </c>
      <c r="T210" s="7" t="str">
        <f t="shared" si="26"/>
        <v>January</v>
      </c>
      <c r="U210" s="2">
        <f>WORKDAY(Table1[[#This Row],[Order_Date]],5)</f>
        <v>46052</v>
      </c>
      <c r="V210" s="7" t="str">
        <f>CONCATENATE(Table1[[#This Row],[Customer_ID]],Table1[[#This Row],[Customer_Name]])</f>
        <v>C1077Arjun Rao</v>
      </c>
      <c r="W210" t="s">
        <v>1059</v>
      </c>
      <c r="X210" t="s">
        <v>355</v>
      </c>
      <c r="Y210">
        <f>COUNTA(Table1[[#This Row],[Customer_Name]])</f>
        <v>1</v>
      </c>
      <c r="Z210" t="str">
        <f>SUBSTITUTE(Table1[[#This Row],[Customer_Name]]," ","_")</f>
        <v>Arjun_Rao</v>
      </c>
      <c r="AA210" s="10">
        <f>IFERROR(SEARCH("a",Table1[[#This Row],[Customer_Name]]),"N/A")</f>
        <v>1</v>
      </c>
      <c r="AB210">
        <f>SEARCH(" ",Table1[[#This Row],[Customer_Name]])</f>
        <v>6</v>
      </c>
      <c r="AC210" s="11">
        <f>IFERROR(FIND("a",Table1[[#This Row],[Customer_Name]]),"N/A")</f>
        <v>8</v>
      </c>
      <c r="AD210">
        <f>FIND(" ",Table1[[#This Row],[Customer_Name]])</f>
        <v>6</v>
      </c>
      <c r="AE210" t="str">
        <f>TRIM(Table1[[#This Row],[Customer_Name]])</f>
        <v>Arjun Rao</v>
      </c>
      <c r="AF210">
        <f>LEN(Table1[[#This Row],[Trimmed]])</f>
        <v>9</v>
      </c>
      <c r="AG210">
        <f>MAX(Table1[Length])</f>
        <v>15</v>
      </c>
      <c r="AH210" t="str">
        <f>PROPER(Table1[[#This Row],[Customer_Name]])</f>
        <v>Arjun Rao</v>
      </c>
      <c r="AI210" t="str">
        <f>LOWER(Table1[[#This Row],[Customer_Name]])</f>
        <v>arjun rao</v>
      </c>
      <c r="AJ210" t="str">
        <f>UPPER(Table1[[#This Row],[Customer_Name]])</f>
        <v>ARJUN RAO</v>
      </c>
      <c r="AK210" t="str">
        <f>CONCATENATE(Table1[[#This Row],[Customer_ID]],Table1[[#This Row],[Customer_Name]])</f>
        <v>C1077Arjun Rao</v>
      </c>
      <c r="AL210" t="s">
        <v>356</v>
      </c>
      <c r="AM210" t="s">
        <v>357</v>
      </c>
      <c r="AN210" t="s">
        <v>358</v>
      </c>
      <c r="AO210" t="s">
        <v>356</v>
      </c>
      <c r="AP210" t="s">
        <v>357</v>
      </c>
      <c r="AQ210" t="s">
        <v>233</v>
      </c>
      <c r="AR210" t="str">
        <f>TRIM(Table1[[#This Row],[City]])</f>
        <v>Kolkata</v>
      </c>
      <c r="AS210" t="str">
        <f>PROPER(Table1[[#This Row],[City]])</f>
        <v>Kolkata</v>
      </c>
      <c r="AT210" t="s">
        <v>234</v>
      </c>
      <c r="AU210" t="str">
        <f>CONCATENATE(Table1[[#This Row],[City]],Table1[[#This Row],[State]])</f>
        <v>KolkataWest Bengal</v>
      </c>
      <c r="AV210" t="s">
        <v>235</v>
      </c>
      <c r="AW210" t="s">
        <v>221</v>
      </c>
      <c r="AX210" t="str">
        <f>REPLACE(Table1[[#This Row],[Product_ID]],1,1,"s")</f>
        <v>s106</v>
      </c>
      <c r="AY210" t="s">
        <v>1060</v>
      </c>
      <c r="AZ210">
        <f>SEARCH("-",Table1[[#This Row],[Product ID]])</f>
        <v>2</v>
      </c>
      <c r="BA210">
        <f>FIND("-",Table1[[#This Row],[Product ID]])</f>
        <v>2</v>
      </c>
      <c r="BB210" t="str">
        <f>MID(Table1[[#This Row],[Product_ID]],2,3)</f>
        <v>106</v>
      </c>
      <c r="BC210" t="str">
        <f>RIGHT(Table1[[#This Row],[Product_ID]],3)</f>
        <v>106</v>
      </c>
      <c r="BD210" t="str">
        <f>LEFT(Table1[[#This Row],[Product_ID]],3)</f>
        <v>P10</v>
      </c>
      <c r="BE210" t="str">
        <f>_xlfn.XLOOKUP(Table1[[#This Row],[Product_ID]],AW:AW,BF:BF,,0)</f>
        <v>Running Shoes</v>
      </c>
      <c r="BF210" t="s">
        <v>223</v>
      </c>
      <c r="BG210">
        <f>LEN(Table1[[#This Row],[Product_Name]])</f>
        <v>13</v>
      </c>
      <c r="BH210" t="s">
        <v>224</v>
      </c>
      <c r="BI210">
        <f t="shared" si="28"/>
        <v>75</v>
      </c>
      <c r="BJ210" t="str">
        <f>SUBSTITUTE(Table1[[#This Row],[Category]],"Electronics","ELECTRONICS")</f>
        <v>Fashion</v>
      </c>
      <c r="BN210" t="s">
        <v>225</v>
      </c>
      <c r="BS210" s="14">
        <v>3</v>
      </c>
      <c r="BT210" s="3">
        <v>3499</v>
      </c>
      <c r="BU210" s="4">
        <v>25</v>
      </c>
      <c r="BV210" s="4" t="str">
        <f>IF(AND(Table1[[#This Row],[Quantity]]&gt;=3,Table1[[#This Row],[Discount_%]]&gt;=15%),"Bulk Discount","no")</f>
        <v>Bulk Discount</v>
      </c>
      <c r="BW210" s="4" t="str">
        <f>IF(AND(Table1[[#This Row],[Quantity]]&gt;3,Table1[[#This Row],[Discount_%]]&gt;15%),"Bulk Customer","Normal")</f>
        <v>Normal</v>
      </c>
      <c r="BX210" t="s">
        <v>135</v>
      </c>
      <c r="BY210" t="s">
        <v>136</v>
      </c>
      <c r="CC210" t="str">
        <f>IF(OR(Table1[[#This Row],[Order_Status]]="Returned",Table1[[#This Row],[Order_Status]]="Cancelled"),"Attention Required","Not")</f>
        <v>Not</v>
      </c>
      <c r="CD210" t="str">
        <f>IF(OR(Table1[[#This Row],[Order_Status]]="Returned",Table1[[#This Row],[Order_Status]]="Cancelled"),"Review","no")</f>
        <v>no</v>
      </c>
      <c r="CE210" t="str">
        <f>SUBSTITUTE(Table1[[#This Row],[Order_Status]],"Delivered","Completed")</f>
        <v>Completed</v>
      </c>
      <c r="CF210" s="2">
        <v>46054</v>
      </c>
      <c r="CG210" s="17">
        <f>NETWORKDAYS(Table1[[#This Row],[Order_Date]],Table1[[#This Row],[Delivery_Date]])</f>
        <v>5</v>
      </c>
      <c r="CH210" s="17">
        <f>Table1[[#This Row],[Delivery_Date]]-Table1[[#This Row],[Order_Date]]</f>
        <v>7</v>
      </c>
      <c r="CI210" t="s">
        <v>137</v>
      </c>
      <c r="CJ210" t="str">
        <f>IF(Table1[[#This Row],[Rating]]&gt;=4,"Good","Needs Improvement")</f>
        <v>Needs Improvement</v>
      </c>
      <c r="CK210" t="str">
        <f>IF(OR(Table1[[#This Row],[Rating]]&lt;=2,Table1[[#This Row],[Profit]]&lt;0),"Review","NO")</f>
        <v>NO</v>
      </c>
      <c r="CL210" t="str" cm="1">
        <f t="array" ref="CL210">_xlfn.IFS(Table1[[#This Row],[Rating]]&gt;2,"Poor",Table1[[#This Row],[Rating]]=3,"Average",Table1[[#This Row],[Rating]]=4,"Good",CP210=5,"Excellent")</f>
        <v>Poor</v>
      </c>
      <c r="CM210">
        <f>COUNT(Table1[[#This Row],[Rating]])</f>
        <v>1</v>
      </c>
      <c r="CN210">
        <f>COUNTBLANK(Table1[[#This Row],[Rating]])</f>
        <v>0</v>
      </c>
      <c r="CQ210" s="14">
        <v>3</v>
      </c>
      <c r="CR210" t="s">
        <v>139</v>
      </c>
      <c r="CS210" t="s">
        <v>267</v>
      </c>
      <c r="CU210" s="3">
        <v>7872.75</v>
      </c>
      <c r="CV210" s="3">
        <f>ROUND(Table1[[#This Row],[Sales_Amount]],0)</f>
        <v>7873</v>
      </c>
      <c r="CW210" s="3"/>
      <c r="CX210" s="3"/>
      <c r="CY210" s="3" t="b">
        <f>IF(AND(Table1[[#This Row],[Sales_Amount]]&gt;=10000,Table1[[#This Row],[Profit]]&gt;0),"Good Order")</f>
        <v>0</v>
      </c>
      <c r="CZ210" s="3" t="str">
        <f>IF(Table1[[#This Row],[Sales_Amount]]&gt;=10000,"High","Normal")</f>
        <v>Normal</v>
      </c>
      <c r="DA210" s="3">
        <v>2172.75</v>
      </c>
      <c r="DB210" s="3">
        <f>ROUND(Table1[[#This Row],[Profit]],0)</f>
        <v>2173</v>
      </c>
      <c r="DC210" s="3">
        <f>ABS(Table1[[#This Row],[Profit]])</f>
        <v>2172.75</v>
      </c>
      <c r="DD210" s="3"/>
      <c r="DE210" s="3"/>
      <c r="DF210" s="3"/>
      <c r="DG210" s="3" t="str">
        <f>IF(Table1[[#This Row],[Profit]]&gt;0,"Profit","Loss")</f>
        <v>Profit</v>
      </c>
      <c r="DH210" s="3" t="str">
        <f>IF(AND(Table1[[#This Row],[Sales_Amount]]&gt;=10000,Table1[[#This Row],[Profit]]&gt;0),"Priority","Normal")</f>
        <v>Normal</v>
      </c>
      <c r="DI210" s="3">
        <f t="shared" ca="1" si="23"/>
        <v>0.98534540004085969</v>
      </c>
      <c r="DJ210" s="3">
        <f t="shared" ca="1" si="24"/>
        <v>68</v>
      </c>
      <c r="DK210" s="3"/>
      <c r="DL210" s="3"/>
      <c r="DM210" s="3"/>
      <c r="DN210" s="3"/>
      <c r="DO210" s="3"/>
      <c r="DP210" s="3"/>
    </row>
    <row r="211" spans="1:120">
      <c r="A211" t="s">
        <v>1061</v>
      </c>
      <c r="B211" t="str">
        <f>REPLACE(Table1[[#This Row],[Order_ID]],1,3,"YOO")</f>
        <v>YOO10210</v>
      </c>
      <c r="C211" t="str">
        <f>MID(Table1[[#This Row],[Order_ID]],4,4)</f>
        <v>1021</v>
      </c>
      <c r="D211" t="str">
        <f>LEFT(Table1[[#This Row],[Order_ID]],4)</f>
        <v>ORD1</v>
      </c>
      <c r="E211" t="str">
        <f>RIGHT(Table1[[#This Row],[Order_ID]],5)</f>
        <v>10210</v>
      </c>
      <c r="F211" t="s">
        <v>5</v>
      </c>
      <c r="G211">
        <v>10210</v>
      </c>
      <c r="H211" t="s">
        <v>1062</v>
      </c>
      <c r="I211" s="2">
        <f>EDATE(Table1[[#This Row],[Order_Date]],3)</f>
        <v>46154</v>
      </c>
      <c r="J211" s="2">
        <f>EDATE(Table1[[#This Row],[Order_Date]],6)</f>
        <v>46246</v>
      </c>
      <c r="K211">
        <f ca="1">YEAR(Table1[[#This Row],[Today]])</f>
        <v>2026</v>
      </c>
      <c r="L211">
        <v>210</v>
      </c>
      <c r="M211">
        <f ca="1">DAY(Table1[[#This Row],[Today]])</f>
        <v>11</v>
      </c>
      <c r="N211" s="19">
        <f t="shared" ca="1" si="27"/>
        <v>46245.589795370368</v>
      </c>
      <c r="O211" s="2">
        <f t="shared" ca="1" si="22"/>
        <v>46245</v>
      </c>
      <c r="P211" s="17">
        <f ca="1">Table1[[#This Row],[Today]]-Table1[[#This Row],[Order_Date]]</f>
        <v>180</v>
      </c>
      <c r="Q211" s="2">
        <v>45867</v>
      </c>
      <c r="R211" s="2">
        <v>46065</v>
      </c>
      <c r="S211" s="6">
        <f t="shared" si="25"/>
        <v>2026</v>
      </c>
      <c r="T211" s="7" t="str">
        <f t="shared" si="26"/>
        <v>February</v>
      </c>
      <c r="U211" s="2">
        <f>WORKDAY(Table1[[#This Row],[Order_Date]],5)</f>
        <v>46072</v>
      </c>
      <c r="V211" s="7" t="str">
        <f>CONCATENATE(Table1[[#This Row],[Customer_ID]],Table1[[#This Row],[Customer_Name]])</f>
        <v>C1084Mohit Khan</v>
      </c>
      <c r="W211" t="s">
        <v>944</v>
      </c>
      <c r="X211" t="s">
        <v>162</v>
      </c>
      <c r="Y211">
        <f>COUNTA(Table1[[#This Row],[Customer_Name]])</f>
        <v>1</v>
      </c>
      <c r="Z211" t="str">
        <f>SUBSTITUTE(Table1[[#This Row],[Customer_Name]]," ","_")</f>
        <v>Mohit_Khan</v>
      </c>
      <c r="AA211" s="10">
        <f>IFERROR(SEARCH("a",Table1[[#This Row],[Customer_Name]]),"N/A")</f>
        <v>9</v>
      </c>
      <c r="AB211">
        <f>SEARCH(" ",Table1[[#This Row],[Customer_Name]])</f>
        <v>6</v>
      </c>
      <c r="AC211" s="11">
        <f>IFERROR(FIND("a",Table1[[#This Row],[Customer_Name]]),"N/A")</f>
        <v>9</v>
      </c>
      <c r="AD211">
        <f>FIND(" ",Table1[[#This Row],[Customer_Name]])</f>
        <v>6</v>
      </c>
      <c r="AE211" t="str">
        <f>TRIM(Table1[[#This Row],[Customer_Name]])</f>
        <v>Mohit Khan</v>
      </c>
      <c r="AF211">
        <f>LEN(Table1[[#This Row],[Trimmed]])</f>
        <v>10</v>
      </c>
      <c r="AG211">
        <f>MAX(Table1[Length])</f>
        <v>15</v>
      </c>
      <c r="AH211" t="str">
        <f>PROPER(Table1[[#This Row],[Customer_Name]])</f>
        <v>Mohit Khan</v>
      </c>
      <c r="AI211" t="str">
        <f>LOWER(Table1[[#This Row],[Customer_Name]])</f>
        <v>mohit khan</v>
      </c>
      <c r="AJ211" t="str">
        <f>UPPER(Table1[[#This Row],[Customer_Name]])</f>
        <v>MOHIT KHAN</v>
      </c>
      <c r="AK211" t="str">
        <f>CONCATENATE(Table1[[#This Row],[Customer_ID]],Table1[[#This Row],[Customer_Name]])</f>
        <v>C1084Mohit Khan</v>
      </c>
      <c r="AL211" t="s">
        <v>163</v>
      </c>
      <c r="AM211" t="s">
        <v>164</v>
      </c>
      <c r="AN211" t="s">
        <v>165</v>
      </c>
      <c r="AO211" t="s">
        <v>163</v>
      </c>
      <c r="AP211" t="s">
        <v>164</v>
      </c>
      <c r="AQ211" t="s">
        <v>569</v>
      </c>
      <c r="AR211" t="str">
        <f>TRIM(Table1[[#This Row],[City]])</f>
        <v>Delhi</v>
      </c>
      <c r="AS211" t="str">
        <f>PROPER(Table1[[#This Row],[City]])</f>
        <v>Delhi</v>
      </c>
      <c r="AT211" t="s">
        <v>569</v>
      </c>
      <c r="AU211" t="str">
        <f>CONCATENATE(Table1[[#This Row],[City]],Table1[[#This Row],[State]])</f>
        <v>DelhiDelhi</v>
      </c>
      <c r="AV211" t="s">
        <v>150</v>
      </c>
      <c r="AW211" t="s">
        <v>221</v>
      </c>
      <c r="AX211" t="str">
        <f>REPLACE(Table1[[#This Row],[Product_ID]],1,1,"s")</f>
        <v>s106</v>
      </c>
      <c r="AY211" t="s">
        <v>1063</v>
      </c>
      <c r="AZ211">
        <f>SEARCH("-",Table1[[#This Row],[Product ID]])</f>
        <v>2</v>
      </c>
      <c r="BA211">
        <f>FIND("-",Table1[[#This Row],[Product ID]])</f>
        <v>2</v>
      </c>
      <c r="BB211" t="str">
        <f>MID(Table1[[#This Row],[Product_ID]],2,3)</f>
        <v>106</v>
      </c>
      <c r="BC211" t="str">
        <f>RIGHT(Table1[[#This Row],[Product_ID]],3)</f>
        <v>106</v>
      </c>
      <c r="BD211" t="str">
        <f>LEFT(Table1[[#This Row],[Product_ID]],3)</f>
        <v>P10</v>
      </c>
      <c r="BE211" t="str">
        <f>_xlfn.XLOOKUP(Table1[[#This Row],[Product_ID]],AW:AW,BF:BF,,0)</f>
        <v>Running Shoes</v>
      </c>
      <c r="BF211" t="s">
        <v>223</v>
      </c>
      <c r="BG211">
        <f>LEN(Table1[[#This Row],[Product_Name]])</f>
        <v>13</v>
      </c>
      <c r="BH211" t="s">
        <v>224</v>
      </c>
      <c r="BI211">
        <f t="shared" si="28"/>
        <v>75</v>
      </c>
      <c r="BJ211" t="str">
        <f>SUBSTITUTE(Table1[[#This Row],[Category]],"Electronics","ELECTRONICS")</f>
        <v>Fashion</v>
      </c>
      <c r="BN211" t="s">
        <v>225</v>
      </c>
      <c r="BS211" s="14">
        <v>3</v>
      </c>
      <c r="BT211" s="3">
        <v>3499</v>
      </c>
      <c r="BU211" s="4">
        <v>10</v>
      </c>
      <c r="BV211" s="4" t="str">
        <f>IF(AND(Table1[[#This Row],[Quantity]]&gt;=3,Table1[[#This Row],[Discount_%]]&gt;=15%),"Bulk Discount","no")</f>
        <v>Bulk Discount</v>
      </c>
      <c r="BW211" s="4" t="str">
        <f>IF(AND(Table1[[#This Row],[Quantity]]&gt;3,Table1[[#This Row],[Discount_%]]&gt;15%),"Bulk Customer","Normal")</f>
        <v>Normal</v>
      </c>
      <c r="BX211" t="s">
        <v>192</v>
      </c>
      <c r="BY211" t="s">
        <v>374</v>
      </c>
      <c r="CC211" t="str">
        <f>IF(OR(Table1[[#This Row],[Order_Status]]="Returned",Table1[[#This Row],[Order_Status]]="Cancelled"),"Attention Required","Not")</f>
        <v>Attention Required</v>
      </c>
      <c r="CD211" t="str">
        <f>IF(OR(Table1[[#This Row],[Order_Status]]="Returned",Table1[[#This Row],[Order_Status]]="Cancelled"),"Review","no")</f>
        <v>Review</v>
      </c>
      <c r="CE211" t="str">
        <f>SUBSTITUTE(Table1[[#This Row],[Order_Status]],"Delivered","Completed")</f>
        <v>Returned</v>
      </c>
      <c r="CF211" s="2">
        <v>46073</v>
      </c>
      <c r="CG211" s="17">
        <f>NETWORKDAYS(Table1[[#This Row],[Order_Date]],Table1[[#This Row],[Delivery_Date]])</f>
        <v>7</v>
      </c>
      <c r="CH211" s="17">
        <f>Table1[[#This Row],[Delivery_Date]]-Table1[[#This Row],[Order_Date]]</f>
        <v>8</v>
      </c>
      <c r="CI211" t="s">
        <v>375</v>
      </c>
      <c r="CJ211" t="str">
        <f>IF(Table1[[#This Row],[Rating]]&gt;=4,"Good","Needs Improvement")</f>
        <v>Good</v>
      </c>
      <c r="CK211" t="str">
        <f>IF(OR(Table1[[#This Row],[Rating]]&lt;=2,Table1[[#This Row],[Profit]]&lt;0),"Review","NO")</f>
        <v>NO</v>
      </c>
      <c r="CL211" t="str" cm="1">
        <f t="array" ref="CL211">_xlfn.IFS(Table1[[#This Row],[Rating]]&gt;2,"Poor",Table1[[#This Row],[Rating]]=3,"Average",Table1[[#This Row],[Rating]]=4,"Good",CP211=5,"Excellent")</f>
        <v>Poor</v>
      </c>
      <c r="CM211">
        <f>COUNT(Table1[[#This Row],[Rating]])</f>
        <v>1</v>
      </c>
      <c r="CN211">
        <f>COUNTBLANK(Table1[[#This Row],[Rating]])</f>
        <v>0</v>
      </c>
      <c r="CP211" t="s">
        <v>138</v>
      </c>
      <c r="CQ211" s="14">
        <v>4</v>
      </c>
      <c r="CR211" t="s">
        <v>173</v>
      </c>
      <c r="CS211" t="s">
        <v>140</v>
      </c>
      <c r="CU211" s="3">
        <v>9447.2999999999993</v>
      </c>
      <c r="CV211" s="3">
        <f>ROUND(Table1[[#This Row],[Sales_Amount]],0)</f>
        <v>9447</v>
      </c>
      <c r="CW211" s="3"/>
      <c r="CX211" s="3"/>
      <c r="CY211" s="3" t="b">
        <f>IF(AND(Table1[[#This Row],[Sales_Amount]]&gt;=10000,Table1[[#This Row],[Profit]]&gt;0),"Good Order")</f>
        <v>0</v>
      </c>
      <c r="CZ211" s="3" t="str">
        <f>IF(Table1[[#This Row],[Sales_Amount]]&gt;=10000,"High","Normal")</f>
        <v>Normal</v>
      </c>
      <c r="DA211" s="3">
        <v>3747.3</v>
      </c>
      <c r="DB211" s="3">
        <f>ROUND(Table1[[#This Row],[Profit]],0)</f>
        <v>3747</v>
      </c>
      <c r="DC211" s="3">
        <f>ABS(Table1[[#This Row],[Profit]])</f>
        <v>3747.3</v>
      </c>
      <c r="DD211" s="3"/>
      <c r="DE211" s="3"/>
      <c r="DF211" s="3"/>
      <c r="DG211" s="3" t="str">
        <f>IF(Table1[[#This Row],[Profit]]&gt;0,"Profit","Loss")</f>
        <v>Profit</v>
      </c>
      <c r="DH211" s="3" t="str">
        <f>IF(AND(Table1[[#This Row],[Sales_Amount]]&gt;=10000,Table1[[#This Row],[Profit]]&gt;0),"Priority","Normal")</f>
        <v>Normal</v>
      </c>
      <c r="DI211" s="3">
        <f t="shared" ca="1" si="23"/>
        <v>1.3664821939103788E-2</v>
      </c>
      <c r="DJ211" s="3">
        <f t="shared" ca="1" si="24"/>
        <v>41</v>
      </c>
      <c r="DK211" s="3"/>
      <c r="DL211" s="3"/>
      <c r="DM211" s="3"/>
      <c r="DN211" s="3"/>
      <c r="DO211" s="3"/>
      <c r="DP211" s="3"/>
    </row>
    <row r="212" spans="1:120">
      <c r="A212" t="s">
        <v>1064</v>
      </c>
      <c r="B212" t="str">
        <f>REPLACE(Table1[[#This Row],[Order_ID]],1,3,"YOO")</f>
        <v>YOO10211</v>
      </c>
      <c r="C212" t="str">
        <f>MID(Table1[[#This Row],[Order_ID]],4,4)</f>
        <v>1021</v>
      </c>
      <c r="D212" t="str">
        <f>LEFT(Table1[[#This Row],[Order_ID]],4)</f>
        <v>ORD1</v>
      </c>
      <c r="E212" t="str">
        <f>RIGHT(Table1[[#This Row],[Order_ID]],5)</f>
        <v>10211</v>
      </c>
      <c r="F212" t="s">
        <v>5</v>
      </c>
      <c r="G212">
        <v>10211</v>
      </c>
      <c r="H212" t="s">
        <v>1065</v>
      </c>
      <c r="I212" s="2">
        <f>EDATE(Table1[[#This Row],[Order_Date]],3)</f>
        <v>45954</v>
      </c>
      <c r="J212" s="2">
        <f>EDATE(Table1[[#This Row],[Order_Date]],6)</f>
        <v>46046</v>
      </c>
      <c r="K212">
        <f ca="1">YEAR(Table1[[#This Row],[Today]])</f>
        <v>2026</v>
      </c>
      <c r="L212">
        <v>211</v>
      </c>
      <c r="M212">
        <f ca="1">DAY(Table1[[#This Row],[Today]])</f>
        <v>11</v>
      </c>
      <c r="N212" s="19">
        <f t="shared" ca="1" si="27"/>
        <v>46245.589795138891</v>
      </c>
      <c r="O212" s="2">
        <f t="shared" ca="1" si="22"/>
        <v>46245</v>
      </c>
      <c r="P212" s="17">
        <f ca="1">Table1[[#This Row],[Today]]-Table1[[#This Row],[Order_Date]]</f>
        <v>383</v>
      </c>
      <c r="Q212" s="2">
        <v>45868</v>
      </c>
      <c r="R212" s="2">
        <v>45862</v>
      </c>
      <c r="S212" s="6">
        <f t="shared" si="25"/>
        <v>2025</v>
      </c>
      <c r="T212" s="7" t="str">
        <f t="shared" si="26"/>
        <v>July</v>
      </c>
      <c r="U212" s="2">
        <f>WORKDAY(Table1[[#This Row],[Order_Date]],5)</f>
        <v>45869</v>
      </c>
      <c r="V212" s="7" t="str">
        <f>CONCATENATE(Table1[[#This Row],[Customer_ID]],Table1[[#This Row],[Customer_Name]])</f>
        <v>C1054Nitin Soni</v>
      </c>
      <c r="W212" t="s">
        <v>1026</v>
      </c>
      <c r="X212" t="s">
        <v>144</v>
      </c>
      <c r="Y212">
        <f>COUNTA(Table1[[#This Row],[Customer_Name]])</f>
        <v>1</v>
      </c>
      <c r="Z212" t="str">
        <f>SUBSTITUTE(Table1[[#This Row],[Customer_Name]]," ","_")</f>
        <v>Nitin_Soni</v>
      </c>
      <c r="AA212" s="10" t="str">
        <f>IFERROR(SEARCH("a",Table1[[#This Row],[Customer_Name]]),"N/A")</f>
        <v>N/A</v>
      </c>
      <c r="AB212">
        <f>SEARCH(" ",Table1[[#This Row],[Customer_Name]])</f>
        <v>6</v>
      </c>
      <c r="AC212" s="11" t="str">
        <f>IFERROR(FIND("a",Table1[[#This Row],[Customer_Name]]),"N/A")</f>
        <v>N/A</v>
      </c>
      <c r="AD212">
        <f>FIND(" ",Table1[[#This Row],[Customer_Name]])</f>
        <v>6</v>
      </c>
      <c r="AE212" t="str">
        <f>TRIM(Table1[[#This Row],[Customer_Name]])</f>
        <v>Nitin Soni</v>
      </c>
      <c r="AF212">
        <f>LEN(Table1[[#This Row],[Trimmed]])</f>
        <v>10</v>
      </c>
      <c r="AG212">
        <f>MAX(Table1[Length])</f>
        <v>15</v>
      </c>
      <c r="AH212" t="str">
        <f>PROPER(Table1[[#This Row],[Customer_Name]])</f>
        <v>Nitin Soni</v>
      </c>
      <c r="AI212" t="str">
        <f>LOWER(Table1[[#This Row],[Customer_Name]])</f>
        <v>nitin soni</v>
      </c>
      <c r="AJ212" t="str">
        <f>UPPER(Table1[[#This Row],[Customer_Name]])</f>
        <v>NITIN SONI</v>
      </c>
      <c r="AK212" t="str">
        <f>CONCATENATE(Table1[[#This Row],[Customer_ID]],Table1[[#This Row],[Customer_Name]])</f>
        <v>C1054Nitin Soni</v>
      </c>
      <c r="AL212" t="s">
        <v>145</v>
      </c>
      <c r="AM212" t="s">
        <v>146</v>
      </c>
      <c r="AN212" t="s">
        <v>147</v>
      </c>
      <c r="AO212" t="s">
        <v>145</v>
      </c>
      <c r="AP212" t="s">
        <v>146</v>
      </c>
      <c r="AQ212" t="s">
        <v>233</v>
      </c>
      <c r="AR212" t="str">
        <f>TRIM(Table1[[#This Row],[City]])</f>
        <v>Kolkata</v>
      </c>
      <c r="AS212" t="str">
        <f>PROPER(Table1[[#This Row],[City]])</f>
        <v>Kolkata</v>
      </c>
      <c r="AT212" t="s">
        <v>234</v>
      </c>
      <c r="AU212" t="str">
        <f>CONCATENATE(Table1[[#This Row],[City]],Table1[[#This Row],[State]])</f>
        <v>KolkataWest Bengal</v>
      </c>
      <c r="AV212" t="s">
        <v>235</v>
      </c>
      <c r="AW212" t="s">
        <v>338</v>
      </c>
      <c r="AX212" t="str">
        <f>REPLACE(Table1[[#This Row],[Product_ID]],1,1,"s")</f>
        <v>s115</v>
      </c>
      <c r="AY212" t="s">
        <v>1066</v>
      </c>
      <c r="AZ212">
        <f>SEARCH("-",Table1[[#This Row],[Product ID]])</f>
        <v>2</v>
      </c>
      <c r="BA212">
        <f>FIND("-",Table1[[#This Row],[Product ID]])</f>
        <v>2</v>
      </c>
      <c r="BB212" t="str">
        <f>MID(Table1[[#This Row],[Product_ID]],2,3)</f>
        <v>115</v>
      </c>
      <c r="BC212" t="str">
        <f>RIGHT(Table1[[#This Row],[Product_ID]],3)</f>
        <v>115</v>
      </c>
      <c r="BD212" t="str">
        <f>LEFT(Table1[[#This Row],[Product_ID]],3)</f>
        <v>P11</v>
      </c>
      <c r="BE212" t="str">
        <f>_xlfn.XLOOKUP(Table1[[#This Row],[Product_ID]],AW:AW,BF:BF,,0)</f>
        <v>Dumbbell Set</v>
      </c>
      <c r="BF212" t="s">
        <v>340</v>
      </c>
      <c r="BG212">
        <f>LEN(Table1[[#This Row],[Product_Name]])</f>
        <v>12</v>
      </c>
      <c r="BH212" t="s">
        <v>264</v>
      </c>
      <c r="BI212">
        <f t="shared" si="28"/>
        <v>75</v>
      </c>
      <c r="BJ212" t="str">
        <f>SUBSTITUTE(Table1[[#This Row],[Category]],"Electronics","ELECTRONICS")</f>
        <v>Sports</v>
      </c>
      <c r="BN212" t="s">
        <v>265</v>
      </c>
      <c r="BS212" s="14">
        <v>5</v>
      </c>
      <c r="BT212" s="3">
        <v>2499</v>
      </c>
      <c r="BU212" s="4">
        <v>5</v>
      </c>
      <c r="BV212" s="4" t="str">
        <f>IF(AND(Table1[[#This Row],[Quantity]]&gt;=3,Table1[[#This Row],[Discount_%]]&gt;=15%),"Bulk Discount","no")</f>
        <v>Bulk Discount</v>
      </c>
      <c r="BW212" s="4" t="str">
        <f>IF(AND(Table1[[#This Row],[Quantity]]&gt;3,Table1[[#This Row],[Discount_%]]&gt;15%),"Bulk Customer","Normal")</f>
        <v>Bulk Customer</v>
      </c>
      <c r="BX212" t="s">
        <v>192</v>
      </c>
      <c r="BY212" t="s">
        <v>374</v>
      </c>
      <c r="CC212" t="str">
        <f>IF(OR(Table1[[#This Row],[Order_Status]]="Returned",Table1[[#This Row],[Order_Status]]="Cancelled"),"Attention Required","Not")</f>
        <v>Attention Required</v>
      </c>
      <c r="CD212" t="str">
        <f>IF(OR(Table1[[#This Row],[Order_Status]]="Returned",Table1[[#This Row],[Order_Status]]="Cancelled"),"Review","no")</f>
        <v>Review</v>
      </c>
      <c r="CE212" t="str">
        <f>SUBSTITUTE(Table1[[#This Row],[Order_Status]],"Delivered","Completed")</f>
        <v>Returned</v>
      </c>
      <c r="CF212" s="2">
        <v>45863</v>
      </c>
      <c r="CG212" s="17">
        <f>NETWORKDAYS(Table1[[#This Row],[Order_Date]],Table1[[#This Row],[Delivery_Date]])</f>
        <v>2</v>
      </c>
      <c r="CH212" s="17">
        <f>Table1[[#This Row],[Delivery_Date]]-Table1[[#This Row],[Order_Date]]</f>
        <v>1</v>
      </c>
      <c r="CI212" t="s">
        <v>375</v>
      </c>
      <c r="CJ212" t="str">
        <f>IF(Table1[[#This Row],[Rating]]&gt;=4,"Good","Needs Improvement")</f>
        <v>Needs Improvement</v>
      </c>
      <c r="CK212" t="str">
        <f>IF(OR(Table1[[#This Row],[Rating]]&lt;=2,Table1[[#This Row],[Profit]]&lt;0),"Review","NO")</f>
        <v>Review</v>
      </c>
      <c r="CL212" t="e" cm="1">
        <f t="array" ref="CL212">_xlfn.IFS(Table1[[#This Row],[Rating]]&gt;2,"Poor",Table1[[#This Row],[Rating]]=3,"Average",Table1[[#This Row],[Rating]]=4,"Good",CP212=5,"Excellent")</f>
        <v>#N/A</v>
      </c>
      <c r="CM212">
        <f>COUNT(Table1[[#This Row],[Rating]])</f>
        <v>0</v>
      </c>
      <c r="CN212">
        <f>COUNTBLANK(Table1[[#This Row],[Rating]])</f>
        <v>1</v>
      </c>
      <c r="CR212" t="s">
        <v>139</v>
      </c>
      <c r="CS212" t="s">
        <v>267</v>
      </c>
      <c r="CU212" s="3">
        <v>11870.25</v>
      </c>
      <c r="CV212" s="3">
        <f>ROUND(Table1[[#This Row],[Sales_Amount]],0)</f>
        <v>11870</v>
      </c>
      <c r="CW212" s="3"/>
      <c r="CX212" s="3"/>
      <c r="CY212" s="3" t="str">
        <f>IF(AND(Table1[[#This Row],[Sales_Amount]]&gt;=10000,Table1[[#This Row],[Profit]]&gt;0),"Good Order")</f>
        <v>Good Order</v>
      </c>
      <c r="CZ212" s="3" t="str">
        <f>IF(Table1[[#This Row],[Sales_Amount]]&gt;=10000,"High","Normal")</f>
        <v>High</v>
      </c>
      <c r="DA212" s="3">
        <v>4620.25</v>
      </c>
      <c r="DB212" s="3">
        <f>ROUND(Table1[[#This Row],[Profit]],0)</f>
        <v>4620</v>
      </c>
      <c r="DC212" s="3">
        <f>ABS(Table1[[#This Row],[Profit]])</f>
        <v>4620.25</v>
      </c>
      <c r="DD212" s="3"/>
      <c r="DE212" s="3"/>
      <c r="DF212" s="3"/>
      <c r="DG212" s="3" t="str">
        <f>IF(Table1[[#This Row],[Profit]]&gt;0,"Profit","Loss")</f>
        <v>Profit</v>
      </c>
      <c r="DH212" s="3" t="str">
        <f>IF(AND(Table1[[#This Row],[Sales_Amount]]&gt;=10000,Table1[[#This Row],[Profit]]&gt;0),"Priority","Normal")</f>
        <v>Priority</v>
      </c>
      <c r="DI212" s="3">
        <f t="shared" ca="1" si="23"/>
        <v>0.92185628571214473</v>
      </c>
      <c r="DJ212" s="3">
        <f t="shared" ca="1" si="24"/>
        <v>25</v>
      </c>
      <c r="DK212" s="3"/>
      <c r="DL212" s="3"/>
      <c r="DM212" s="3"/>
      <c r="DN212" s="3"/>
      <c r="DO212" s="3"/>
      <c r="DP212" s="3"/>
    </row>
    <row r="213" spans="1:120">
      <c r="A213" t="s">
        <v>1067</v>
      </c>
      <c r="B213" t="str">
        <f>REPLACE(Table1[[#This Row],[Order_ID]],1,3,"YOO")</f>
        <v>YOO10212</v>
      </c>
      <c r="C213" t="str">
        <f>MID(Table1[[#This Row],[Order_ID]],4,4)</f>
        <v>1021</v>
      </c>
      <c r="D213" t="str">
        <f>LEFT(Table1[[#This Row],[Order_ID]],4)</f>
        <v>ORD1</v>
      </c>
      <c r="E213" t="str">
        <f>RIGHT(Table1[[#This Row],[Order_ID]],5)</f>
        <v>10212</v>
      </c>
      <c r="F213" t="s">
        <v>5</v>
      </c>
      <c r="G213">
        <v>10212</v>
      </c>
      <c r="H213" t="s">
        <v>1068</v>
      </c>
      <c r="I213" s="2">
        <f>EDATE(Table1[[#This Row],[Order_Date]],3)</f>
        <v>45892</v>
      </c>
      <c r="J213" s="2">
        <f>EDATE(Table1[[#This Row],[Order_Date]],6)</f>
        <v>45984</v>
      </c>
      <c r="K213">
        <f ca="1">YEAR(Table1[[#This Row],[Today]])</f>
        <v>2026</v>
      </c>
      <c r="L213">
        <v>212</v>
      </c>
      <c r="M213">
        <f ca="1">DAY(Table1[[#This Row],[Today]])</f>
        <v>11</v>
      </c>
      <c r="N213" s="19">
        <f t="shared" ca="1" si="27"/>
        <v>46245.589795370368</v>
      </c>
      <c r="O213" s="2">
        <f t="shared" ca="1" si="22"/>
        <v>46245</v>
      </c>
      <c r="P213" s="17">
        <f ca="1">Table1[[#This Row],[Today]]-Table1[[#This Row],[Order_Date]]</f>
        <v>445</v>
      </c>
      <c r="Q213" s="2">
        <v>45869</v>
      </c>
      <c r="R213" s="2">
        <v>45800</v>
      </c>
      <c r="S213" s="6">
        <f t="shared" si="25"/>
        <v>2025</v>
      </c>
      <c r="T213" s="7" t="str">
        <f t="shared" si="26"/>
        <v>May</v>
      </c>
      <c r="U213" s="2">
        <f>WORKDAY(Table1[[#This Row],[Order_Date]],5)</f>
        <v>45807</v>
      </c>
      <c r="V213" s="7" t="str">
        <f>CONCATENATE(Table1[[#This Row],[Customer_ID]],Table1[[#This Row],[Customer_Name]])</f>
        <v>C1097Aman Singh</v>
      </c>
      <c r="W213" t="s">
        <v>1069</v>
      </c>
      <c r="X213" t="s">
        <v>123</v>
      </c>
      <c r="Y213">
        <f>COUNTA(Table1[[#This Row],[Customer_Name]])</f>
        <v>1</v>
      </c>
      <c r="Z213" t="str">
        <f>SUBSTITUTE(Table1[[#This Row],[Customer_Name]]," ","_")</f>
        <v>Aman_Singh</v>
      </c>
      <c r="AA213" s="10">
        <f>IFERROR(SEARCH("a",Table1[[#This Row],[Customer_Name]]),"N/A")</f>
        <v>1</v>
      </c>
      <c r="AB213">
        <f>SEARCH(" ",Table1[[#This Row],[Customer_Name]])</f>
        <v>5</v>
      </c>
      <c r="AC213" s="11">
        <f>IFERROR(FIND("a",Table1[[#This Row],[Customer_Name]]),"N/A")</f>
        <v>3</v>
      </c>
      <c r="AD213">
        <f>FIND(" ",Table1[[#This Row],[Customer_Name]])</f>
        <v>5</v>
      </c>
      <c r="AE213" t="str">
        <f>TRIM(Table1[[#This Row],[Customer_Name]])</f>
        <v>Aman Singh</v>
      </c>
      <c r="AF213">
        <f>LEN(Table1[[#This Row],[Trimmed]])</f>
        <v>10</v>
      </c>
      <c r="AG213">
        <f>MAX(Table1[Length])</f>
        <v>15</v>
      </c>
      <c r="AH213" t="str">
        <f>PROPER(Table1[[#This Row],[Customer_Name]])</f>
        <v>Aman Singh</v>
      </c>
      <c r="AI213" t="str">
        <f>LOWER(Table1[[#This Row],[Customer_Name]])</f>
        <v>aman singh</v>
      </c>
      <c r="AJ213" t="str">
        <f>UPPER(Table1[[#This Row],[Customer_Name]])</f>
        <v>AMAN SINGH</v>
      </c>
      <c r="AK213" t="str">
        <f>CONCATENATE(Table1[[#This Row],[Customer_ID]],Table1[[#This Row],[Customer_Name]])</f>
        <v>C1097Aman Singh</v>
      </c>
      <c r="AL213" t="s">
        <v>124</v>
      </c>
      <c r="AM213" t="s">
        <v>125</v>
      </c>
      <c r="AN213" t="s">
        <v>126</v>
      </c>
      <c r="AO213" t="s">
        <v>124</v>
      </c>
      <c r="AP213" t="s">
        <v>125</v>
      </c>
      <c r="AQ213" t="s">
        <v>284</v>
      </c>
      <c r="AR213" t="str">
        <f>TRIM(Table1[[#This Row],[City]])</f>
        <v>Hyderabad</v>
      </c>
      <c r="AS213" t="str">
        <f>PROPER(Table1[[#This Row],[City]])</f>
        <v>Hyderabad</v>
      </c>
      <c r="AT213" t="s">
        <v>285</v>
      </c>
      <c r="AU213" t="str">
        <f>CONCATENATE(Table1[[#This Row],[City]],Table1[[#This Row],[State]])</f>
        <v>HyderabadTelangana</v>
      </c>
      <c r="AV213" t="s">
        <v>168</v>
      </c>
      <c r="AW213" t="s">
        <v>130</v>
      </c>
      <c r="AX213" t="str">
        <f>REPLACE(Table1[[#This Row],[Product_ID]],1,1,"s")</f>
        <v>s111</v>
      </c>
      <c r="AY213" t="s">
        <v>1070</v>
      </c>
      <c r="AZ213">
        <f>SEARCH("-",Table1[[#This Row],[Product ID]])</f>
        <v>2</v>
      </c>
      <c r="BA213">
        <f>FIND("-",Table1[[#This Row],[Product ID]])</f>
        <v>2</v>
      </c>
      <c r="BB213" t="str">
        <f>MID(Table1[[#This Row],[Product_ID]],2,3)</f>
        <v>111</v>
      </c>
      <c r="BC213" t="str">
        <f>RIGHT(Table1[[#This Row],[Product_ID]],3)</f>
        <v>111</v>
      </c>
      <c r="BD213" t="str">
        <f>LEFT(Table1[[#This Row],[Product_ID]],3)</f>
        <v>P11</v>
      </c>
      <c r="BE213" t="str">
        <f>_xlfn.XLOOKUP(Table1[[#This Row],[Product_ID]],AW:AW,BF:BF,,0)</f>
        <v>Coffee Maker</v>
      </c>
      <c r="BF213" t="s">
        <v>132</v>
      </c>
      <c r="BG213">
        <f>LEN(Table1[[#This Row],[Product_Name]])</f>
        <v>12</v>
      </c>
      <c r="BH213" t="s">
        <v>133</v>
      </c>
      <c r="BI213">
        <f t="shared" si="28"/>
        <v>75</v>
      </c>
      <c r="BJ213" t="str">
        <f>SUBSTITUTE(Table1[[#This Row],[Category]],"Electronics","ELECTRONICS")</f>
        <v>Home</v>
      </c>
      <c r="BN213" t="s">
        <v>134</v>
      </c>
      <c r="BS213" s="14">
        <v>3</v>
      </c>
      <c r="BT213" s="3">
        <v>3999</v>
      </c>
      <c r="BU213" s="4">
        <v>10</v>
      </c>
      <c r="BV213" s="4" t="str">
        <f>IF(AND(Table1[[#This Row],[Quantity]]&gt;=3,Table1[[#This Row],[Discount_%]]&gt;=15%),"Bulk Discount","no")</f>
        <v>Bulk Discount</v>
      </c>
      <c r="BW213" s="4" t="str">
        <f>IF(AND(Table1[[#This Row],[Quantity]]&gt;3,Table1[[#This Row],[Discount_%]]&gt;15%),"Bulk Customer","Normal")</f>
        <v>Normal</v>
      </c>
      <c r="BX213" t="s">
        <v>330</v>
      </c>
      <c r="BY213" t="s">
        <v>136</v>
      </c>
      <c r="CC213" t="str">
        <f>IF(OR(Table1[[#This Row],[Order_Status]]="Returned",Table1[[#This Row],[Order_Status]]="Cancelled"),"Attention Required","Not")</f>
        <v>Not</v>
      </c>
      <c r="CD213" t="str">
        <f>IF(OR(Table1[[#This Row],[Order_Status]]="Returned",Table1[[#This Row],[Order_Status]]="Cancelled"),"Review","no")</f>
        <v>no</v>
      </c>
      <c r="CE213" t="str">
        <f>SUBSTITUTE(Table1[[#This Row],[Order_Status]],"Delivered","Completed")</f>
        <v>Completed</v>
      </c>
      <c r="CF213" s="2">
        <v>45803</v>
      </c>
      <c r="CG213" s="17">
        <f>NETWORKDAYS(Table1[[#This Row],[Order_Date]],Table1[[#This Row],[Delivery_Date]])</f>
        <v>2</v>
      </c>
      <c r="CH213" s="17">
        <f>Table1[[#This Row],[Delivery_Date]]-Table1[[#This Row],[Order_Date]]</f>
        <v>3</v>
      </c>
      <c r="CI213" t="s">
        <v>137</v>
      </c>
      <c r="CJ213" t="str">
        <f>IF(Table1[[#This Row],[Rating]]&gt;=4,"Good","Needs Improvement")</f>
        <v>Good</v>
      </c>
      <c r="CK213" t="str">
        <f>IF(OR(Table1[[#This Row],[Rating]]&lt;=2,Table1[[#This Row],[Profit]]&lt;0),"Review","NO")</f>
        <v>NO</v>
      </c>
      <c r="CL213" t="str" cm="1">
        <f t="array" ref="CL213">_xlfn.IFS(Table1[[#This Row],[Rating]]&gt;2,"Poor",Table1[[#This Row],[Rating]]=3,"Average",Table1[[#This Row],[Rating]]=4,"Good",CP213=5,"Excellent")</f>
        <v>Poor</v>
      </c>
      <c r="CM213">
        <f>COUNT(Table1[[#This Row],[Rating]])</f>
        <v>1</v>
      </c>
      <c r="CN213">
        <f>COUNTBLANK(Table1[[#This Row],[Rating]])</f>
        <v>0</v>
      </c>
      <c r="CP213" t="s">
        <v>266</v>
      </c>
      <c r="CQ213" s="14">
        <v>5</v>
      </c>
      <c r="CR213" t="s">
        <v>173</v>
      </c>
      <c r="CS213" t="s">
        <v>174</v>
      </c>
      <c r="CU213" s="3">
        <v>10797.3</v>
      </c>
      <c r="CV213" s="3">
        <f>ROUND(Table1[[#This Row],[Sales_Amount]],0)</f>
        <v>10797</v>
      </c>
      <c r="CW213" s="3"/>
      <c r="CX213" s="3"/>
      <c r="CY213" s="3" t="str">
        <f>IF(AND(Table1[[#This Row],[Sales_Amount]]&gt;=10000,Table1[[#This Row],[Profit]]&gt;0),"Good Order")</f>
        <v>Good Order</v>
      </c>
      <c r="CZ213" s="3" t="str">
        <f>IF(Table1[[#This Row],[Sales_Amount]]&gt;=10000,"High","Normal")</f>
        <v>High</v>
      </c>
      <c r="DA213" s="3">
        <v>3297.3</v>
      </c>
      <c r="DB213" s="3">
        <f>ROUND(Table1[[#This Row],[Profit]],0)</f>
        <v>3297</v>
      </c>
      <c r="DC213" s="3">
        <f>ABS(Table1[[#This Row],[Profit]])</f>
        <v>3297.3</v>
      </c>
      <c r="DD213" s="3"/>
      <c r="DE213" s="3"/>
      <c r="DF213" s="3"/>
      <c r="DG213" s="3" t="str">
        <f>IF(Table1[[#This Row],[Profit]]&gt;0,"Profit","Loss")</f>
        <v>Profit</v>
      </c>
      <c r="DH213" s="3" t="str">
        <f>IF(AND(Table1[[#This Row],[Sales_Amount]]&gt;=10000,Table1[[#This Row],[Profit]]&gt;0),"Priority","Normal")</f>
        <v>Priority</v>
      </c>
      <c r="DI213" s="3">
        <f t="shared" ca="1" si="23"/>
        <v>0.82691362651754918</v>
      </c>
      <c r="DJ213" s="3">
        <f t="shared" ca="1" si="24"/>
        <v>14</v>
      </c>
      <c r="DK213" s="3"/>
      <c r="DL213" s="3"/>
      <c r="DM213" s="3"/>
      <c r="DN213" s="3"/>
      <c r="DO213" s="3"/>
      <c r="DP213" s="3"/>
    </row>
    <row r="214" spans="1:120">
      <c r="A214" t="s">
        <v>1071</v>
      </c>
      <c r="B214" t="str">
        <f>REPLACE(Table1[[#This Row],[Order_ID]],1,3,"YOO")</f>
        <v>YOO10213</v>
      </c>
      <c r="C214" t="str">
        <f>MID(Table1[[#This Row],[Order_ID]],4,4)</f>
        <v>1021</v>
      </c>
      <c r="D214" t="str">
        <f>LEFT(Table1[[#This Row],[Order_ID]],4)</f>
        <v>ORD1</v>
      </c>
      <c r="E214" t="str">
        <f>RIGHT(Table1[[#This Row],[Order_ID]],5)</f>
        <v>10213</v>
      </c>
      <c r="F214" t="s">
        <v>5</v>
      </c>
      <c r="G214">
        <v>10213</v>
      </c>
      <c r="H214" t="s">
        <v>1072</v>
      </c>
      <c r="I214" s="2">
        <f>EDATE(Table1[[#This Row],[Order_Date]],3)</f>
        <v>46268</v>
      </c>
      <c r="J214" s="2">
        <f>EDATE(Table1[[#This Row],[Order_Date]],6)</f>
        <v>46359</v>
      </c>
      <c r="K214">
        <f ca="1">YEAR(Table1[[#This Row],[Today]])</f>
        <v>2026</v>
      </c>
      <c r="L214">
        <v>213</v>
      </c>
      <c r="M214">
        <f ca="1">DAY(Table1[[#This Row],[Today]])</f>
        <v>11</v>
      </c>
      <c r="N214" s="19">
        <f t="shared" ca="1" si="27"/>
        <v>46245.589795370368</v>
      </c>
      <c r="O214" s="2">
        <f t="shared" ca="1" si="22"/>
        <v>46245</v>
      </c>
      <c r="P214" s="17">
        <f ca="1">Table1[[#This Row],[Today]]-Table1[[#This Row],[Order_Date]]</f>
        <v>69</v>
      </c>
      <c r="Q214" s="2">
        <v>45870</v>
      </c>
      <c r="R214" s="2">
        <v>46176</v>
      </c>
      <c r="S214" s="6">
        <f t="shared" si="25"/>
        <v>2026</v>
      </c>
      <c r="T214" s="7" t="str">
        <f t="shared" si="26"/>
        <v>June</v>
      </c>
      <c r="U214" s="2">
        <f>WORKDAY(Table1[[#This Row],[Order_Date]],5)</f>
        <v>46183</v>
      </c>
      <c r="V214" s="7" t="str">
        <f>CONCATENATE(Table1[[#This Row],[Customer_ID]],Table1[[#This Row],[Customer_Name]])</f>
        <v>C1028Anjali Joshi</v>
      </c>
      <c r="W214" t="s">
        <v>309</v>
      </c>
      <c r="X214" t="s">
        <v>310</v>
      </c>
      <c r="Y214">
        <f>COUNTA(Table1[[#This Row],[Customer_Name]])</f>
        <v>1</v>
      </c>
      <c r="Z214" t="str">
        <f>SUBSTITUTE(Table1[[#This Row],[Customer_Name]]," ","_")</f>
        <v>Anjali_Joshi</v>
      </c>
      <c r="AA214" s="10">
        <f>IFERROR(SEARCH("a",Table1[[#This Row],[Customer_Name]]),"N/A")</f>
        <v>1</v>
      </c>
      <c r="AB214">
        <f>SEARCH(" ",Table1[[#This Row],[Customer_Name]])</f>
        <v>7</v>
      </c>
      <c r="AC214" s="11">
        <f>IFERROR(FIND("a",Table1[[#This Row],[Customer_Name]]),"N/A")</f>
        <v>4</v>
      </c>
      <c r="AD214">
        <f>FIND(" ",Table1[[#This Row],[Customer_Name]])</f>
        <v>7</v>
      </c>
      <c r="AE214" t="str">
        <f>TRIM(Table1[[#This Row],[Customer_Name]])</f>
        <v>Anjali Joshi</v>
      </c>
      <c r="AF214">
        <f>LEN(Table1[[#This Row],[Trimmed]])</f>
        <v>12</v>
      </c>
      <c r="AG214">
        <f>MAX(Table1[Length])</f>
        <v>15</v>
      </c>
      <c r="AH214" t="str">
        <f>PROPER(Table1[[#This Row],[Customer_Name]])</f>
        <v>Anjali Joshi</v>
      </c>
      <c r="AI214" t="str">
        <f>LOWER(Table1[[#This Row],[Customer_Name]])</f>
        <v>anjali joshi</v>
      </c>
      <c r="AJ214" t="str">
        <f>UPPER(Table1[[#This Row],[Customer_Name]])</f>
        <v>ANJALI JOSHI</v>
      </c>
      <c r="AK214" t="str">
        <f>CONCATENATE(Table1[[#This Row],[Customer_ID]],Table1[[#This Row],[Customer_Name]])</f>
        <v>C1028Anjali Joshi</v>
      </c>
      <c r="AL214" t="s">
        <v>311</v>
      </c>
      <c r="AM214" t="s">
        <v>312</v>
      </c>
      <c r="AN214" t="s">
        <v>313</v>
      </c>
      <c r="AO214" t="s">
        <v>311</v>
      </c>
      <c r="AP214" t="s">
        <v>312</v>
      </c>
      <c r="AQ214" t="s">
        <v>304</v>
      </c>
      <c r="AR214" t="str">
        <f>TRIM(Table1[[#This Row],[City]])</f>
        <v>Chennai</v>
      </c>
      <c r="AS214" t="str">
        <f>PROPER(Table1[[#This Row],[City]])</f>
        <v>Chennai</v>
      </c>
      <c r="AT214" t="s">
        <v>305</v>
      </c>
      <c r="AU214" t="str">
        <f>CONCATENATE(Table1[[#This Row],[City]],Table1[[#This Row],[State]])</f>
        <v>ChennaiTamil Nadu</v>
      </c>
      <c r="AV214" t="s">
        <v>168</v>
      </c>
      <c r="AW214" t="s">
        <v>236</v>
      </c>
      <c r="AX214" t="str">
        <f>REPLACE(Table1[[#This Row],[Product_ID]],1,1,"s")</f>
        <v>s107</v>
      </c>
      <c r="AY214" t="s">
        <v>1073</v>
      </c>
      <c r="AZ214">
        <f>SEARCH("-",Table1[[#This Row],[Product ID]])</f>
        <v>2</v>
      </c>
      <c r="BA214">
        <f>FIND("-",Table1[[#This Row],[Product ID]])</f>
        <v>2</v>
      </c>
      <c r="BB214" t="str">
        <f>MID(Table1[[#This Row],[Product_ID]],2,3)</f>
        <v>107</v>
      </c>
      <c r="BC214" t="str">
        <f>RIGHT(Table1[[#This Row],[Product_ID]],3)</f>
        <v>107</v>
      </c>
      <c r="BD214" t="str">
        <f>LEFT(Table1[[#This Row],[Product_ID]],3)</f>
        <v>P10</v>
      </c>
      <c r="BE214" t="str">
        <f>_xlfn.XLOOKUP(Table1[[#This Row],[Product_ID]],AW:AW,BF:BF,,0)</f>
        <v>Casual Sneakers</v>
      </c>
      <c r="BF214" t="s">
        <v>238</v>
      </c>
      <c r="BG214">
        <f>LEN(Table1[[#This Row],[Product_Name]])</f>
        <v>15</v>
      </c>
      <c r="BH214" t="s">
        <v>224</v>
      </c>
      <c r="BI214">
        <f t="shared" si="28"/>
        <v>75</v>
      </c>
      <c r="BJ214" t="str">
        <f>SUBSTITUTE(Table1[[#This Row],[Category]],"Electronics","ELECTRONICS")</f>
        <v>Fashion</v>
      </c>
      <c r="BN214" t="s">
        <v>225</v>
      </c>
      <c r="BS214" s="14">
        <v>4</v>
      </c>
      <c r="BT214" s="3">
        <v>2799</v>
      </c>
      <c r="BU214" s="4">
        <v>0</v>
      </c>
      <c r="BV214" s="4" t="str">
        <f>IF(AND(Table1[[#This Row],[Quantity]]&gt;=3,Table1[[#This Row],[Discount_%]]&gt;=15%),"Bulk Discount","no")</f>
        <v>no</v>
      </c>
      <c r="BW214" s="4" t="str">
        <f>IF(AND(Table1[[#This Row],[Quantity]]&gt;3,Table1[[#This Row],[Discount_%]]&gt;15%),"Bulk Customer","Normal")</f>
        <v>Normal</v>
      </c>
      <c r="BX214" t="s">
        <v>192</v>
      </c>
      <c r="BY214" t="s">
        <v>193</v>
      </c>
      <c r="CC214" t="str">
        <f>IF(OR(Table1[[#This Row],[Order_Status]]="Returned",Table1[[#This Row],[Order_Status]]="Cancelled"),"Attention Required","Not")</f>
        <v>Not</v>
      </c>
      <c r="CD214" t="str">
        <f>IF(OR(Table1[[#This Row],[Order_Status]]="Returned",Table1[[#This Row],[Order_Status]]="Cancelled"),"Review","no")</f>
        <v>no</v>
      </c>
      <c r="CE214" t="str">
        <f>SUBSTITUTE(Table1[[#This Row],[Order_Status]],"Delivered","Completed")</f>
        <v>Shipped</v>
      </c>
      <c r="CF214" s="2">
        <v>46182</v>
      </c>
      <c r="CG214" s="17">
        <f>NETWORKDAYS(Table1[[#This Row],[Order_Date]],Table1[[#This Row],[Delivery_Date]])</f>
        <v>5</v>
      </c>
      <c r="CH214" s="17">
        <f>Table1[[#This Row],[Delivery_Date]]-Table1[[#This Row],[Order_Date]]</f>
        <v>6</v>
      </c>
      <c r="CI214" t="s">
        <v>137</v>
      </c>
      <c r="CJ214" t="str">
        <f>IF(Table1[[#This Row],[Rating]]&gt;=4,"Good","Needs Improvement")</f>
        <v>Needs Improvement</v>
      </c>
      <c r="CK214" t="str">
        <f>IF(OR(Table1[[#This Row],[Rating]]&lt;=2,Table1[[#This Row],[Profit]]&lt;0),"Review","NO")</f>
        <v>Review</v>
      </c>
      <c r="CL214" t="e" cm="1">
        <f t="array" ref="CL214">_xlfn.IFS(Table1[[#This Row],[Rating]]&gt;2,"Poor",Table1[[#This Row],[Rating]]=3,"Average",Table1[[#This Row],[Rating]]=4,"Good",CP214=5,"Excellent")</f>
        <v>#N/A</v>
      </c>
      <c r="CM214">
        <f>COUNT(Table1[[#This Row],[Rating]])</f>
        <v>1</v>
      </c>
      <c r="CN214">
        <f>COUNTBLANK(Table1[[#This Row],[Rating]])</f>
        <v>0</v>
      </c>
      <c r="CP214" t="s">
        <v>194</v>
      </c>
      <c r="CQ214" s="14">
        <v>2</v>
      </c>
      <c r="CR214" t="s">
        <v>204</v>
      </c>
      <c r="CS214" t="s">
        <v>174</v>
      </c>
      <c r="CU214" s="3">
        <v>11196</v>
      </c>
      <c r="CV214" s="3">
        <f>ROUND(Table1[[#This Row],[Sales_Amount]],0)</f>
        <v>11196</v>
      </c>
      <c r="CW214" s="3"/>
      <c r="CX214" s="3"/>
      <c r="CY214" s="3" t="str">
        <f>IF(AND(Table1[[#This Row],[Sales_Amount]]&gt;=10000,Table1[[#This Row],[Profit]]&gt;0),"Good Order")</f>
        <v>Good Order</v>
      </c>
      <c r="CZ214" s="3" t="str">
        <f>IF(Table1[[#This Row],[Sales_Amount]]&gt;=10000,"High","Normal")</f>
        <v>High</v>
      </c>
      <c r="DA214" s="3">
        <v>5196</v>
      </c>
      <c r="DB214" s="3">
        <f>ROUND(Table1[[#This Row],[Profit]],0)</f>
        <v>5196</v>
      </c>
      <c r="DC214" s="3">
        <f>ABS(Table1[[#This Row],[Profit]])</f>
        <v>5196</v>
      </c>
      <c r="DD214" s="3"/>
      <c r="DE214" s="3"/>
      <c r="DF214" s="3"/>
      <c r="DG214" s="3" t="str">
        <f>IF(Table1[[#This Row],[Profit]]&gt;0,"Profit","Loss")</f>
        <v>Profit</v>
      </c>
      <c r="DH214" s="3" t="str">
        <f>IF(AND(Table1[[#This Row],[Sales_Amount]]&gt;=10000,Table1[[#This Row],[Profit]]&gt;0),"Priority","Normal")</f>
        <v>Priority</v>
      </c>
      <c r="DI214" s="3">
        <f t="shared" ca="1" si="23"/>
        <v>0.55219040299513145</v>
      </c>
      <c r="DJ214" s="3">
        <f t="shared" ca="1" si="24"/>
        <v>90</v>
      </c>
      <c r="DK214" s="3"/>
      <c r="DL214" s="3"/>
      <c r="DM214" s="3"/>
      <c r="DN214" s="3"/>
      <c r="DO214" s="3"/>
      <c r="DP214" s="3"/>
    </row>
    <row r="215" spans="1:120">
      <c r="A215" t="s">
        <v>1074</v>
      </c>
      <c r="B215" t="str">
        <f>REPLACE(Table1[[#This Row],[Order_ID]],1,3,"YOO")</f>
        <v>YOO10214</v>
      </c>
      <c r="C215" t="str">
        <f>MID(Table1[[#This Row],[Order_ID]],4,4)</f>
        <v>1021</v>
      </c>
      <c r="D215" t="str">
        <f>LEFT(Table1[[#This Row],[Order_ID]],4)</f>
        <v>ORD1</v>
      </c>
      <c r="E215" t="str">
        <f>RIGHT(Table1[[#This Row],[Order_ID]],5)</f>
        <v>10214</v>
      </c>
      <c r="F215" t="s">
        <v>5</v>
      </c>
      <c r="G215">
        <v>10214</v>
      </c>
      <c r="H215" t="s">
        <v>1075</v>
      </c>
      <c r="I215" s="2">
        <f>EDATE(Table1[[#This Row],[Order_Date]],3)</f>
        <v>46156</v>
      </c>
      <c r="J215" s="2">
        <f>EDATE(Table1[[#This Row],[Order_Date]],6)</f>
        <v>46248</v>
      </c>
      <c r="K215">
        <f ca="1">YEAR(Table1[[#This Row],[Today]])</f>
        <v>2026</v>
      </c>
      <c r="L215">
        <v>214</v>
      </c>
      <c r="M215">
        <f ca="1">DAY(Table1[[#This Row],[Today]])</f>
        <v>11</v>
      </c>
      <c r="N215" s="19">
        <f t="shared" ca="1" si="27"/>
        <v>46245.589795138891</v>
      </c>
      <c r="O215" s="2">
        <f t="shared" ca="1" si="22"/>
        <v>46245</v>
      </c>
      <c r="P215" s="17">
        <f ca="1">Table1[[#This Row],[Today]]-Table1[[#This Row],[Order_Date]]</f>
        <v>178</v>
      </c>
      <c r="Q215" s="2">
        <v>45871</v>
      </c>
      <c r="R215" s="2">
        <v>46067</v>
      </c>
      <c r="S215" s="6">
        <f t="shared" si="25"/>
        <v>2026</v>
      </c>
      <c r="T215" s="7" t="str">
        <f t="shared" si="26"/>
        <v>February</v>
      </c>
      <c r="U215" s="2">
        <f>WORKDAY(Table1[[#This Row],[Order_Date]],5)</f>
        <v>46073</v>
      </c>
      <c r="V215" s="7" t="str">
        <f>CONCATENATE(Table1[[#This Row],[Customer_ID]],Table1[[#This Row],[Customer_Name]])</f>
        <v>C1067Anjali Joshi</v>
      </c>
      <c r="W215" t="s">
        <v>1076</v>
      </c>
      <c r="X215" t="s">
        <v>310</v>
      </c>
      <c r="Y215">
        <f>COUNTA(Table1[[#This Row],[Customer_Name]])</f>
        <v>1</v>
      </c>
      <c r="Z215" t="str">
        <f>SUBSTITUTE(Table1[[#This Row],[Customer_Name]]," ","_")</f>
        <v>Anjali_Joshi</v>
      </c>
      <c r="AA215" s="10">
        <f>IFERROR(SEARCH("a",Table1[[#This Row],[Customer_Name]]),"N/A")</f>
        <v>1</v>
      </c>
      <c r="AB215">
        <f>SEARCH(" ",Table1[[#This Row],[Customer_Name]])</f>
        <v>7</v>
      </c>
      <c r="AC215" s="11">
        <f>IFERROR(FIND("a",Table1[[#This Row],[Customer_Name]]),"N/A")</f>
        <v>4</v>
      </c>
      <c r="AD215">
        <f>FIND(" ",Table1[[#This Row],[Customer_Name]])</f>
        <v>7</v>
      </c>
      <c r="AE215" t="str">
        <f>TRIM(Table1[[#This Row],[Customer_Name]])</f>
        <v>Anjali Joshi</v>
      </c>
      <c r="AF215">
        <f>LEN(Table1[[#This Row],[Trimmed]])</f>
        <v>12</v>
      </c>
      <c r="AG215">
        <f>MAX(Table1[Length])</f>
        <v>15</v>
      </c>
      <c r="AH215" t="str">
        <f>PROPER(Table1[[#This Row],[Customer_Name]])</f>
        <v>Anjali Joshi</v>
      </c>
      <c r="AI215" t="str">
        <f>LOWER(Table1[[#This Row],[Customer_Name]])</f>
        <v>anjali joshi</v>
      </c>
      <c r="AJ215" t="str">
        <f>UPPER(Table1[[#This Row],[Customer_Name]])</f>
        <v>ANJALI JOSHI</v>
      </c>
      <c r="AK215" t="str">
        <f>CONCATENATE(Table1[[#This Row],[Customer_ID]],Table1[[#This Row],[Customer_Name]])</f>
        <v>C1067Anjali Joshi</v>
      </c>
      <c r="AL215" t="s">
        <v>311</v>
      </c>
      <c r="AM215" t="s">
        <v>312</v>
      </c>
      <c r="AN215" t="s">
        <v>313</v>
      </c>
      <c r="AO215" t="s">
        <v>311</v>
      </c>
      <c r="AP215" t="s">
        <v>312</v>
      </c>
      <c r="AQ215" t="s">
        <v>233</v>
      </c>
      <c r="AR215" t="str">
        <f>TRIM(Table1[[#This Row],[City]])</f>
        <v>Kolkata</v>
      </c>
      <c r="AS215" t="str">
        <f>PROPER(Table1[[#This Row],[City]])</f>
        <v>Kolkata</v>
      </c>
      <c r="AT215" t="s">
        <v>234</v>
      </c>
      <c r="AU215" t="str">
        <f>CONCATENATE(Table1[[#This Row],[City]],Table1[[#This Row],[State]])</f>
        <v>KolkataWest Bengal</v>
      </c>
      <c r="AV215" t="s">
        <v>235</v>
      </c>
      <c r="AW215" t="s">
        <v>275</v>
      </c>
      <c r="AX215" t="str">
        <f>REPLACE(Table1[[#This Row],[Product_ID]],1,1,"s")</f>
        <v>s101</v>
      </c>
      <c r="AY215" t="s">
        <v>1077</v>
      </c>
      <c r="AZ215">
        <f>SEARCH("-",Table1[[#This Row],[Product ID]])</f>
        <v>2</v>
      </c>
      <c r="BA215">
        <f>FIND("-",Table1[[#This Row],[Product ID]])</f>
        <v>2</v>
      </c>
      <c r="BB215" t="str">
        <f>MID(Table1[[#This Row],[Product_ID]],2,3)</f>
        <v>101</v>
      </c>
      <c r="BC215" t="str">
        <f>RIGHT(Table1[[#This Row],[Product_ID]],3)</f>
        <v>101</v>
      </c>
      <c r="BD215" t="str">
        <f>LEFT(Table1[[#This Row],[Product_ID]],3)</f>
        <v>P10</v>
      </c>
      <c r="BE215" t="str">
        <f>_xlfn.XLOOKUP(Table1[[#This Row],[Product_ID]],AW:AW,BF:BF,,0)</f>
        <v>Wireless Mouse</v>
      </c>
      <c r="BF215" t="s">
        <v>277</v>
      </c>
      <c r="BG215">
        <f>LEN(Table1[[#This Row],[Product_Name]])</f>
        <v>14</v>
      </c>
      <c r="BH215" t="s">
        <v>154</v>
      </c>
      <c r="BI215">
        <f t="shared" si="28"/>
        <v>75</v>
      </c>
      <c r="BJ215" t="str">
        <f>SUBSTITUTE(Table1[[#This Row],[Category]],"Electronics","ELECTRONICS")</f>
        <v>ELECTRONICS</v>
      </c>
      <c r="BN215" t="s">
        <v>155</v>
      </c>
      <c r="BS215" s="14">
        <v>3</v>
      </c>
      <c r="BT215" s="3">
        <v>799</v>
      </c>
      <c r="BU215" s="4">
        <v>20</v>
      </c>
      <c r="BV215" s="4" t="str">
        <f>IF(AND(Table1[[#This Row],[Quantity]]&gt;=3,Table1[[#This Row],[Discount_%]]&gt;=15%),"Bulk Discount","no")</f>
        <v>Bulk Discount</v>
      </c>
      <c r="BW215" s="4" t="str">
        <f>IF(AND(Table1[[#This Row],[Quantity]]&gt;3,Table1[[#This Row],[Discount_%]]&gt;15%),"Bulk Customer","Normal")</f>
        <v>Normal</v>
      </c>
      <c r="BX215" t="s">
        <v>135</v>
      </c>
      <c r="BY215" t="s">
        <v>136</v>
      </c>
      <c r="CC215" t="str">
        <f>IF(OR(Table1[[#This Row],[Order_Status]]="Returned",Table1[[#This Row],[Order_Status]]="Cancelled"),"Attention Required","Not")</f>
        <v>Not</v>
      </c>
      <c r="CD215" t="str">
        <f>IF(OR(Table1[[#This Row],[Order_Status]]="Returned",Table1[[#This Row],[Order_Status]]="Cancelled"),"Review","no")</f>
        <v>no</v>
      </c>
      <c r="CE215" t="str">
        <f>SUBSTITUTE(Table1[[#This Row],[Order_Status]],"Delivered","Completed")</f>
        <v>Completed</v>
      </c>
      <c r="CF215" s="2">
        <v>46068</v>
      </c>
      <c r="CG215" s="17">
        <f>NETWORKDAYS(Table1[[#This Row],[Order_Date]],Table1[[#This Row],[Delivery_Date]])</f>
        <v>0</v>
      </c>
      <c r="CH215" s="17">
        <f>Table1[[#This Row],[Delivery_Date]]-Table1[[#This Row],[Order_Date]]</f>
        <v>1</v>
      </c>
      <c r="CI215" t="s">
        <v>137</v>
      </c>
      <c r="CJ215" t="str">
        <f>IF(Table1[[#This Row],[Rating]]&gt;=4,"Good","Needs Improvement")</f>
        <v>Needs Improvement</v>
      </c>
      <c r="CK215" t="str">
        <f>IF(OR(Table1[[#This Row],[Rating]]&lt;=2,Table1[[#This Row],[Profit]]&lt;0),"Review","NO")</f>
        <v>Review</v>
      </c>
      <c r="CL215" t="e" cm="1">
        <f t="array" ref="CL215">_xlfn.IFS(Table1[[#This Row],[Rating]]&gt;2,"Poor",Table1[[#This Row],[Rating]]=3,"Average",Table1[[#This Row],[Rating]]=4,"Good",CP215=5,"Excellent")</f>
        <v>#N/A</v>
      </c>
      <c r="CM215">
        <f>COUNT(Table1[[#This Row],[Rating]])</f>
        <v>1</v>
      </c>
      <c r="CN215">
        <f>COUNTBLANK(Table1[[#This Row],[Rating]])</f>
        <v>0</v>
      </c>
      <c r="CQ215" s="14">
        <v>2</v>
      </c>
      <c r="CR215" t="s">
        <v>204</v>
      </c>
      <c r="CS215" t="s">
        <v>174</v>
      </c>
      <c r="CU215" s="3">
        <v>1917.6</v>
      </c>
      <c r="CV215" s="3">
        <f>ROUND(Table1[[#This Row],[Sales_Amount]],0)</f>
        <v>1918</v>
      </c>
      <c r="CW215" s="3"/>
      <c r="CX215" s="3"/>
      <c r="CY215" s="3" t="b">
        <f>IF(AND(Table1[[#This Row],[Sales_Amount]]&gt;=10000,Table1[[#This Row],[Profit]]&gt;0),"Good Order")</f>
        <v>0</v>
      </c>
      <c r="CZ215" s="3" t="str">
        <f>IF(Table1[[#This Row],[Sales_Amount]]&gt;=10000,"High","Normal")</f>
        <v>Normal</v>
      </c>
      <c r="DA215" s="3">
        <v>657.6</v>
      </c>
      <c r="DB215" s="3">
        <f>ROUND(Table1[[#This Row],[Profit]],0)</f>
        <v>658</v>
      </c>
      <c r="DC215" s="3">
        <f>ABS(Table1[[#This Row],[Profit]])</f>
        <v>657.6</v>
      </c>
      <c r="DD215" s="3"/>
      <c r="DE215" s="3"/>
      <c r="DF215" s="3"/>
      <c r="DG215" s="3" t="str">
        <f>IF(Table1[[#This Row],[Profit]]&gt;0,"Profit","Loss")</f>
        <v>Profit</v>
      </c>
      <c r="DH215" s="3" t="str">
        <f>IF(AND(Table1[[#This Row],[Sales_Amount]]&gt;=10000,Table1[[#This Row],[Profit]]&gt;0),"Priority","Normal")</f>
        <v>Normal</v>
      </c>
      <c r="DI215" s="3">
        <f t="shared" ca="1" si="23"/>
        <v>0.19506605415179812</v>
      </c>
      <c r="DJ215" s="3">
        <f t="shared" ca="1" si="24"/>
        <v>97</v>
      </c>
      <c r="DK215" s="3"/>
      <c r="DL215" s="3"/>
      <c r="DM215" s="3"/>
      <c r="DN215" s="3"/>
      <c r="DO215" s="3"/>
      <c r="DP215" s="3"/>
    </row>
    <row r="216" spans="1:120">
      <c r="A216" t="s">
        <v>1078</v>
      </c>
      <c r="B216" t="str">
        <f>REPLACE(Table1[[#This Row],[Order_ID]],1,3,"YOO")</f>
        <v>YOO10215</v>
      </c>
      <c r="C216" t="str">
        <f>MID(Table1[[#This Row],[Order_ID]],4,4)</f>
        <v>1021</v>
      </c>
      <c r="D216" t="str">
        <f>LEFT(Table1[[#This Row],[Order_ID]],4)</f>
        <v>ORD1</v>
      </c>
      <c r="E216" t="str">
        <f>RIGHT(Table1[[#This Row],[Order_ID]],5)</f>
        <v>10215</v>
      </c>
      <c r="F216" t="s">
        <v>5</v>
      </c>
      <c r="G216">
        <v>10215</v>
      </c>
      <c r="H216" t="s">
        <v>1079</v>
      </c>
      <c r="I216" s="2">
        <f>EDATE(Table1[[#This Row],[Order_Date]],3)</f>
        <v>45976</v>
      </c>
      <c r="J216" s="2">
        <f>EDATE(Table1[[#This Row],[Order_Date]],6)</f>
        <v>46068</v>
      </c>
      <c r="K216">
        <f ca="1">YEAR(Table1[[#This Row],[Today]])</f>
        <v>2026</v>
      </c>
      <c r="L216">
        <v>215</v>
      </c>
      <c r="M216">
        <f ca="1">DAY(Table1[[#This Row],[Today]])</f>
        <v>11</v>
      </c>
      <c r="N216" s="19">
        <f t="shared" ca="1" si="27"/>
        <v>46245.589795370368</v>
      </c>
      <c r="O216" s="2">
        <f t="shared" ca="1" si="22"/>
        <v>46245</v>
      </c>
      <c r="P216" s="17">
        <f ca="1">Table1[[#This Row],[Today]]-Table1[[#This Row],[Order_Date]]</f>
        <v>361</v>
      </c>
      <c r="Q216" s="2">
        <v>45872</v>
      </c>
      <c r="R216" s="2">
        <v>45884</v>
      </c>
      <c r="S216" s="6">
        <f t="shared" si="25"/>
        <v>2025</v>
      </c>
      <c r="T216" s="7" t="str">
        <f t="shared" si="26"/>
        <v>August</v>
      </c>
      <c r="U216" s="2">
        <f>WORKDAY(Table1[[#This Row],[Order_Date]],5)</f>
        <v>45891</v>
      </c>
      <c r="V216" s="7" t="str">
        <f>CONCATENATE(Table1[[#This Row],[Customer_ID]],Table1[[#This Row],[Customer_Name]])</f>
        <v>C1089Rahul Sharma</v>
      </c>
      <c r="W216" t="s">
        <v>506</v>
      </c>
      <c r="X216" t="s">
        <v>290</v>
      </c>
      <c r="Y216">
        <f>COUNTA(Table1[[#This Row],[Customer_Name]])</f>
        <v>1</v>
      </c>
      <c r="Z216" t="str">
        <f>SUBSTITUTE(Table1[[#This Row],[Customer_Name]]," ","_")</f>
        <v>Rahul_Sharma</v>
      </c>
      <c r="AA216" s="10">
        <f>IFERROR(SEARCH("a",Table1[[#This Row],[Customer_Name]]),"N/A")</f>
        <v>2</v>
      </c>
      <c r="AB216">
        <f>SEARCH(" ",Table1[[#This Row],[Customer_Name]])</f>
        <v>6</v>
      </c>
      <c r="AC216" s="11">
        <f>IFERROR(FIND("a",Table1[[#This Row],[Customer_Name]]),"N/A")</f>
        <v>2</v>
      </c>
      <c r="AD216">
        <f>FIND(" ",Table1[[#This Row],[Customer_Name]])</f>
        <v>6</v>
      </c>
      <c r="AE216" t="str">
        <f>TRIM(Table1[[#This Row],[Customer_Name]])</f>
        <v>Rahul Sharma</v>
      </c>
      <c r="AF216">
        <f>LEN(Table1[[#This Row],[Trimmed]])</f>
        <v>12</v>
      </c>
      <c r="AG216">
        <f>MAX(Table1[Length])</f>
        <v>15</v>
      </c>
      <c r="AH216" t="str">
        <f>PROPER(Table1[[#This Row],[Customer_Name]])</f>
        <v>Rahul Sharma</v>
      </c>
      <c r="AI216" t="str">
        <f>LOWER(Table1[[#This Row],[Customer_Name]])</f>
        <v>rahul sharma</v>
      </c>
      <c r="AJ216" t="str">
        <f>UPPER(Table1[[#This Row],[Customer_Name]])</f>
        <v>RAHUL SHARMA</v>
      </c>
      <c r="AK216" t="str">
        <f>CONCATENATE(Table1[[#This Row],[Customer_ID]],Table1[[#This Row],[Customer_Name]])</f>
        <v>C1089Rahul Sharma</v>
      </c>
      <c r="AL216" t="s">
        <v>291</v>
      </c>
      <c r="AM216" t="s">
        <v>292</v>
      </c>
      <c r="AN216" t="s">
        <v>245</v>
      </c>
      <c r="AO216" t="s">
        <v>291</v>
      </c>
      <c r="AP216" t="s">
        <v>292</v>
      </c>
      <c r="AQ216" t="s">
        <v>423</v>
      </c>
      <c r="AR216" t="str">
        <f>TRIM(Table1[[#This Row],[City]])</f>
        <v>Ahmedabad</v>
      </c>
      <c r="AS216" t="str">
        <f>PROPER(Table1[[#This Row],[City]])</f>
        <v>Ahmedabad</v>
      </c>
      <c r="AT216" t="s">
        <v>424</v>
      </c>
      <c r="AU216" t="str">
        <f>CONCATENATE(Table1[[#This Row],[City]],Table1[[#This Row],[State]])</f>
        <v>AhmedabadGujarat</v>
      </c>
      <c r="AV216" t="s">
        <v>129</v>
      </c>
      <c r="AW216" t="s">
        <v>363</v>
      </c>
      <c r="AX216" t="str">
        <f>REPLACE(Table1[[#This Row],[Product_ID]],1,1,"s")</f>
        <v>s110</v>
      </c>
      <c r="AY216" t="s">
        <v>1080</v>
      </c>
      <c r="AZ216">
        <f>SEARCH("-",Table1[[#This Row],[Product ID]])</f>
        <v>2</v>
      </c>
      <c r="BA216">
        <f>FIND("-",Table1[[#This Row],[Product ID]])</f>
        <v>2</v>
      </c>
      <c r="BB216" t="str">
        <f>MID(Table1[[#This Row],[Product_ID]],2,3)</f>
        <v>110</v>
      </c>
      <c r="BC216" t="str">
        <f>RIGHT(Table1[[#This Row],[Product_ID]],3)</f>
        <v>110</v>
      </c>
      <c r="BD216" t="str">
        <f>LEFT(Table1[[#This Row],[Product_ID]],3)</f>
        <v>P11</v>
      </c>
      <c r="BE216" t="str">
        <f>_xlfn.XLOOKUP(Table1[[#This Row],[Product_ID]],AW:AW,BF:BF,,0)</f>
        <v>Smart Watch</v>
      </c>
      <c r="BF216" t="s">
        <v>365</v>
      </c>
      <c r="BG216">
        <f>LEN(Table1[[#This Row],[Product_Name]])</f>
        <v>11</v>
      </c>
      <c r="BH216" t="s">
        <v>154</v>
      </c>
      <c r="BI216">
        <f t="shared" si="28"/>
        <v>75</v>
      </c>
      <c r="BJ216" t="str">
        <f>SUBSTITUTE(Table1[[#This Row],[Category]],"Electronics","ELECTRONICS")</f>
        <v>ELECTRONICS</v>
      </c>
      <c r="BN216" t="s">
        <v>366</v>
      </c>
      <c r="BS216" s="14">
        <v>4</v>
      </c>
      <c r="BT216" s="3">
        <v>4999</v>
      </c>
      <c r="BU216" s="4">
        <v>15</v>
      </c>
      <c r="BV216" s="4" t="str">
        <f>IF(AND(Table1[[#This Row],[Quantity]]&gt;=3,Table1[[#This Row],[Discount_%]]&gt;=15%),"Bulk Discount","no")</f>
        <v>Bulk Discount</v>
      </c>
      <c r="BW216" s="4" t="str">
        <f>IF(AND(Table1[[#This Row],[Quantity]]&gt;3,Table1[[#This Row],[Discount_%]]&gt;15%),"Bulk Customer","Normal")</f>
        <v>Bulk Customer</v>
      </c>
      <c r="BX216" t="s">
        <v>330</v>
      </c>
      <c r="BY216" t="s">
        <v>136</v>
      </c>
      <c r="CC216" t="str">
        <f>IF(OR(Table1[[#This Row],[Order_Status]]="Returned",Table1[[#This Row],[Order_Status]]="Cancelled"),"Attention Required","Not")</f>
        <v>Not</v>
      </c>
      <c r="CD216" t="str">
        <f>IF(OR(Table1[[#This Row],[Order_Status]]="Returned",Table1[[#This Row],[Order_Status]]="Cancelled"),"Review","no")</f>
        <v>no</v>
      </c>
      <c r="CE216" t="str">
        <f>SUBSTITUTE(Table1[[#This Row],[Order_Status]],"Delivered","Completed")</f>
        <v>Completed</v>
      </c>
      <c r="CF216" s="2">
        <v>45892</v>
      </c>
      <c r="CG216" s="17">
        <f>NETWORKDAYS(Table1[[#This Row],[Order_Date]],Table1[[#This Row],[Delivery_Date]])</f>
        <v>6</v>
      </c>
      <c r="CH216" s="17">
        <f>Table1[[#This Row],[Delivery_Date]]-Table1[[#This Row],[Order_Date]]</f>
        <v>8</v>
      </c>
      <c r="CI216" t="s">
        <v>137</v>
      </c>
      <c r="CJ216" t="str">
        <f>IF(Table1[[#This Row],[Rating]]&gt;=4,"Good","Needs Improvement")</f>
        <v>Needs Improvement</v>
      </c>
      <c r="CK216" t="str">
        <f>IF(OR(Table1[[#This Row],[Rating]]&lt;=2,Table1[[#This Row],[Profit]]&lt;0),"Review","NO")</f>
        <v>NO</v>
      </c>
      <c r="CL216" t="str" cm="1">
        <f t="array" ref="CL216">_xlfn.IFS(Table1[[#This Row],[Rating]]&gt;2,"Poor",Table1[[#This Row],[Rating]]=3,"Average",Table1[[#This Row],[Rating]]=4,"Good",CP216=5,"Excellent")</f>
        <v>Poor</v>
      </c>
      <c r="CM216">
        <f>COUNT(Table1[[#This Row],[Rating]])</f>
        <v>1</v>
      </c>
      <c r="CN216">
        <f>COUNTBLANK(Table1[[#This Row],[Rating]])</f>
        <v>0</v>
      </c>
      <c r="CP216" t="s">
        <v>331</v>
      </c>
      <c r="CQ216" s="14">
        <v>3</v>
      </c>
      <c r="CR216" t="s">
        <v>173</v>
      </c>
      <c r="CS216" t="s">
        <v>267</v>
      </c>
      <c r="CU216" s="3">
        <v>16996.599999999999</v>
      </c>
      <c r="CV216" s="3">
        <f>ROUND(Table1[[#This Row],[Sales_Amount]],0)</f>
        <v>16997</v>
      </c>
      <c r="CW216" s="3"/>
      <c r="CX216" s="3"/>
      <c r="CY216" s="3" t="str">
        <f>IF(AND(Table1[[#This Row],[Sales_Amount]]&gt;=10000,Table1[[#This Row],[Profit]]&gt;0),"Good Order")</f>
        <v>Good Order</v>
      </c>
      <c r="CZ216" s="3" t="str">
        <f>IF(Table1[[#This Row],[Sales_Amount]]&gt;=10000,"High","Normal")</f>
        <v>High</v>
      </c>
      <c r="DA216" s="3">
        <v>4596.6000000000004</v>
      </c>
      <c r="DB216" s="3">
        <f>ROUND(Table1[[#This Row],[Profit]],0)</f>
        <v>4597</v>
      </c>
      <c r="DC216" s="3">
        <f>ABS(Table1[[#This Row],[Profit]])</f>
        <v>4596.6000000000004</v>
      </c>
      <c r="DD216" s="3"/>
      <c r="DE216" s="3"/>
      <c r="DF216" s="3"/>
      <c r="DG216" s="3" t="str">
        <f>IF(Table1[[#This Row],[Profit]]&gt;0,"Profit","Loss")</f>
        <v>Profit</v>
      </c>
      <c r="DH216" s="3" t="str">
        <f>IF(AND(Table1[[#This Row],[Sales_Amount]]&gt;=10000,Table1[[#This Row],[Profit]]&gt;0),"Priority","Normal")</f>
        <v>Priority</v>
      </c>
      <c r="DI216" s="3">
        <f t="shared" ca="1" si="23"/>
        <v>0.4496705757051922</v>
      </c>
      <c r="DJ216" s="3">
        <f t="shared" ca="1" si="24"/>
        <v>4</v>
      </c>
      <c r="DK216" s="3"/>
      <c r="DL216" s="3"/>
      <c r="DM216" s="3"/>
      <c r="DN216" s="3"/>
      <c r="DO216" s="3"/>
      <c r="DP216" s="3"/>
    </row>
    <row r="217" spans="1:120">
      <c r="A217" t="s">
        <v>1081</v>
      </c>
      <c r="B217" t="str">
        <f>REPLACE(Table1[[#This Row],[Order_ID]],1,3,"YOO")</f>
        <v>YOO10216</v>
      </c>
      <c r="C217" t="str">
        <f>MID(Table1[[#This Row],[Order_ID]],4,4)</f>
        <v>1021</v>
      </c>
      <c r="D217" t="str">
        <f>LEFT(Table1[[#This Row],[Order_ID]],4)</f>
        <v>ORD1</v>
      </c>
      <c r="E217" t="str">
        <f>RIGHT(Table1[[#This Row],[Order_ID]],5)</f>
        <v>10216</v>
      </c>
      <c r="F217" t="s">
        <v>5</v>
      </c>
      <c r="G217">
        <v>10216</v>
      </c>
      <c r="H217" t="s">
        <v>1082</v>
      </c>
      <c r="I217" s="2">
        <f>EDATE(Table1[[#This Row],[Order_Date]],3)</f>
        <v>45867</v>
      </c>
      <c r="J217" s="2">
        <f>EDATE(Table1[[#This Row],[Order_Date]],6)</f>
        <v>45959</v>
      </c>
      <c r="K217">
        <f ca="1">YEAR(Table1[[#This Row],[Today]])</f>
        <v>2026</v>
      </c>
      <c r="L217">
        <v>216</v>
      </c>
      <c r="M217">
        <f ca="1">DAY(Table1[[#This Row],[Today]])</f>
        <v>11</v>
      </c>
      <c r="N217" s="19">
        <f t="shared" ca="1" si="27"/>
        <v>46245.589795370368</v>
      </c>
      <c r="O217" s="2">
        <f t="shared" ca="1" si="22"/>
        <v>46245</v>
      </c>
      <c r="P217" s="17">
        <f ca="1">Table1[[#This Row],[Today]]-Table1[[#This Row],[Order_Date]]</f>
        <v>469</v>
      </c>
      <c r="Q217" s="2">
        <v>45873</v>
      </c>
      <c r="R217" s="2">
        <v>45776</v>
      </c>
      <c r="S217" s="6">
        <f t="shared" si="25"/>
        <v>2025</v>
      </c>
      <c r="T217" s="7" t="str">
        <f t="shared" si="26"/>
        <v>April</v>
      </c>
      <c r="U217" s="2">
        <f>WORKDAY(Table1[[#This Row],[Order_Date]],5)</f>
        <v>45783</v>
      </c>
      <c r="V217" s="7" t="str">
        <f>CONCATENATE(Table1[[#This Row],[Customer_ID]],Table1[[#This Row],[Customer_Name]])</f>
        <v>C1053Aditya Malhotra</v>
      </c>
      <c r="W217" t="s">
        <v>720</v>
      </c>
      <c r="X217" t="s">
        <v>257</v>
      </c>
      <c r="Y217">
        <f>COUNTA(Table1[[#This Row],[Customer_Name]])</f>
        <v>1</v>
      </c>
      <c r="Z217" t="str">
        <f>SUBSTITUTE(Table1[[#This Row],[Customer_Name]]," ","_")</f>
        <v>Aditya_Malhotra</v>
      </c>
      <c r="AA217" s="10">
        <f>IFERROR(SEARCH("a",Table1[[#This Row],[Customer_Name]]),"N/A")</f>
        <v>1</v>
      </c>
      <c r="AB217">
        <f>SEARCH(" ",Table1[[#This Row],[Customer_Name]])</f>
        <v>7</v>
      </c>
      <c r="AC217" s="11">
        <f>IFERROR(FIND("a",Table1[[#This Row],[Customer_Name]]),"N/A")</f>
        <v>6</v>
      </c>
      <c r="AD217">
        <f>FIND(" ",Table1[[#This Row],[Customer_Name]])</f>
        <v>7</v>
      </c>
      <c r="AE217" t="str">
        <f>TRIM(Table1[[#This Row],[Customer_Name]])</f>
        <v>Aditya Malhotra</v>
      </c>
      <c r="AF217">
        <f>LEN(Table1[[#This Row],[Trimmed]])</f>
        <v>15</v>
      </c>
      <c r="AG217">
        <f>MAX(Table1[Length])</f>
        <v>15</v>
      </c>
      <c r="AH217" t="str">
        <f>PROPER(Table1[[#This Row],[Customer_Name]])</f>
        <v>Aditya Malhotra</v>
      </c>
      <c r="AI217" t="str">
        <f>LOWER(Table1[[#This Row],[Customer_Name]])</f>
        <v>aditya malhotra</v>
      </c>
      <c r="AJ217" t="str">
        <f>UPPER(Table1[[#This Row],[Customer_Name]])</f>
        <v>ADITYA MALHOTRA</v>
      </c>
      <c r="AK217" t="str">
        <f>CONCATENATE(Table1[[#This Row],[Customer_ID]],Table1[[#This Row],[Customer_Name]])</f>
        <v>C1053Aditya Malhotra</v>
      </c>
      <c r="AL217" t="s">
        <v>258</v>
      </c>
      <c r="AM217" t="s">
        <v>259</v>
      </c>
      <c r="AN217" t="s">
        <v>260</v>
      </c>
      <c r="AO217" t="s">
        <v>258</v>
      </c>
      <c r="AP217" t="s">
        <v>259</v>
      </c>
      <c r="AQ217" t="s">
        <v>127</v>
      </c>
      <c r="AR217" t="str">
        <f>TRIM(Table1[[#This Row],[City]])</f>
        <v>Pune</v>
      </c>
      <c r="AS217" t="str">
        <f>PROPER(Table1[[#This Row],[City]])</f>
        <v>Pune</v>
      </c>
      <c r="AT217" t="s">
        <v>128</v>
      </c>
      <c r="AU217" t="str">
        <f>CONCATENATE(Table1[[#This Row],[City]],Table1[[#This Row],[State]])</f>
        <v>PuneMaharashtra</v>
      </c>
      <c r="AV217" t="s">
        <v>129</v>
      </c>
      <c r="AW217" t="s">
        <v>338</v>
      </c>
      <c r="AX217" t="str">
        <f>REPLACE(Table1[[#This Row],[Product_ID]],1,1,"s")</f>
        <v>s115</v>
      </c>
      <c r="AY217" t="s">
        <v>1083</v>
      </c>
      <c r="AZ217">
        <f>SEARCH("-",Table1[[#This Row],[Product ID]])</f>
        <v>2</v>
      </c>
      <c r="BA217">
        <f>FIND("-",Table1[[#This Row],[Product ID]])</f>
        <v>2</v>
      </c>
      <c r="BB217" t="str">
        <f>MID(Table1[[#This Row],[Product_ID]],2,3)</f>
        <v>115</v>
      </c>
      <c r="BC217" t="str">
        <f>RIGHT(Table1[[#This Row],[Product_ID]],3)</f>
        <v>115</v>
      </c>
      <c r="BD217" t="str">
        <f>LEFT(Table1[[#This Row],[Product_ID]],3)</f>
        <v>P11</v>
      </c>
      <c r="BE217" t="str">
        <f>_xlfn.XLOOKUP(Table1[[#This Row],[Product_ID]],AW:AW,BF:BF,,0)</f>
        <v>Dumbbell Set</v>
      </c>
      <c r="BF217" t="s">
        <v>340</v>
      </c>
      <c r="BG217">
        <f>LEN(Table1[[#This Row],[Product_Name]])</f>
        <v>12</v>
      </c>
      <c r="BH217" t="s">
        <v>264</v>
      </c>
      <c r="BI217">
        <f t="shared" si="28"/>
        <v>75</v>
      </c>
      <c r="BJ217" t="str">
        <f>SUBSTITUTE(Table1[[#This Row],[Category]],"Electronics","ELECTRONICS")</f>
        <v>Sports</v>
      </c>
      <c r="BN217" t="s">
        <v>265</v>
      </c>
      <c r="BS217" s="14">
        <v>2</v>
      </c>
      <c r="BT217" s="3">
        <v>2499</v>
      </c>
      <c r="BU217" s="4">
        <v>15</v>
      </c>
      <c r="BV217" s="4" t="str">
        <f>IF(AND(Table1[[#This Row],[Quantity]]&gt;=3,Table1[[#This Row],[Discount_%]]&gt;=15%),"Bulk Discount","no")</f>
        <v>no</v>
      </c>
      <c r="BW217" s="4" t="str">
        <f>IF(AND(Table1[[#This Row],[Quantity]]&gt;3,Table1[[#This Row],[Discount_%]]&gt;15%),"Bulk Customer","Normal")</f>
        <v>Normal</v>
      </c>
      <c r="BX217" t="s">
        <v>330</v>
      </c>
      <c r="BY217" t="s">
        <v>136</v>
      </c>
      <c r="CC217" t="str">
        <f>IF(OR(Table1[[#This Row],[Order_Status]]="Returned",Table1[[#This Row],[Order_Status]]="Cancelled"),"Attention Required","Not")</f>
        <v>Not</v>
      </c>
      <c r="CD217" t="str">
        <f>IF(OR(Table1[[#This Row],[Order_Status]]="Returned",Table1[[#This Row],[Order_Status]]="Cancelled"),"Review","no")</f>
        <v>no</v>
      </c>
      <c r="CE217" t="str">
        <f>SUBSTITUTE(Table1[[#This Row],[Order_Status]],"Delivered","Completed")</f>
        <v>Completed</v>
      </c>
      <c r="CF217" s="2">
        <v>45782</v>
      </c>
      <c r="CG217" s="17">
        <f>NETWORKDAYS(Table1[[#This Row],[Order_Date]],Table1[[#This Row],[Delivery_Date]])</f>
        <v>5</v>
      </c>
      <c r="CH217" s="17">
        <f>Table1[[#This Row],[Delivery_Date]]-Table1[[#This Row],[Order_Date]]</f>
        <v>6</v>
      </c>
      <c r="CI217" t="s">
        <v>137</v>
      </c>
      <c r="CJ217" t="str">
        <f>IF(Table1[[#This Row],[Rating]]&gt;=4,"Good","Needs Improvement")</f>
        <v>Needs Improvement</v>
      </c>
      <c r="CK217" t="str">
        <f>IF(OR(Table1[[#This Row],[Rating]]&lt;=2,Table1[[#This Row],[Profit]]&lt;0),"Review","NO")</f>
        <v>Review</v>
      </c>
      <c r="CL217" t="e" cm="1">
        <f t="array" ref="CL217">_xlfn.IFS(Table1[[#This Row],[Rating]]&gt;2,"Poor",Table1[[#This Row],[Rating]]=3,"Average",Table1[[#This Row],[Rating]]=4,"Good",CP217=5,"Excellent")</f>
        <v>#N/A</v>
      </c>
      <c r="CM217">
        <f>COUNT(Table1[[#This Row],[Rating]])</f>
        <v>0</v>
      </c>
      <c r="CN217">
        <f>COUNTBLANK(Table1[[#This Row],[Rating]])</f>
        <v>1</v>
      </c>
      <c r="CP217" t="s">
        <v>157</v>
      </c>
      <c r="CR217" t="s">
        <v>173</v>
      </c>
      <c r="CS217" t="s">
        <v>140</v>
      </c>
      <c r="CU217" s="3">
        <v>4248.3</v>
      </c>
      <c r="CV217" s="3">
        <f>ROUND(Table1[[#This Row],[Sales_Amount]],0)</f>
        <v>4248</v>
      </c>
      <c r="CW217" s="3"/>
      <c r="CX217" s="3"/>
      <c r="CY217" s="3" t="b">
        <f>IF(AND(Table1[[#This Row],[Sales_Amount]]&gt;=10000,Table1[[#This Row],[Profit]]&gt;0),"Good Order")</f>
        <v>0</v>
      </c>
      <c r="CZ217" s="3" t="str">
        <f>IF(Table1[[#This Row],[Sales_Amount]]&gt;=10000,"High","Normal")</f>
        <v>Normal</v>
      </c>
      <c r="DA217" s="3">
        <v>1348.3</v>
      </c>
      <c r="DB217" s="3">
        <f>ROUND(Table1[[#This Row],[Profit]],0)</f>
        <v>1348</v>
      </c>
      <c r="DC217" s="3">
        <f>ABS(Table1[[#This Row],[Profit]])</f>
        <v>1348.3</v>
      </c>
      <c r="DD217" s="3"/>
      <c r="DE217" s="3"/>
      <c r="DF217" s="3"/>
      <c r="DG217" s="3" t="str">
        <f>IF(Table1[[#This Row],[Profit]]&gt;0,"Profit","Loss")</f>
        <v>Profit</v>
      </c>
      <c r="DH217" s="3" t="str">
        <f>IF(AND(Table1[[#This Row],[Sales_Amount]]&gt;=10000,Table1[[#This Row],[Profit]]&gt;0),"Priority","Normal")</f>
        <v>Normal</v>
      </c>
      <c r="DI217" s="3">
        <f t="shared" ca="1" si="23"/>
        <v>0.21028023438637866</v>
      </c>
      <c r="DJ217" s="3">
        <f t="shared" ca="1" si="24"/>
        <v>30</v>
      </c>
      <c r="DK217" s="3"/>
      <c r="DL217" s="3"/>
      <c r="DM217" s="3"/>
      <c r="DN217" s="3"/>
      <c r="DO217" s="3"/>
      <c r="DP217" s="3"/>
    </row>
    <row r="218" spans="1:120">
      <c r="A218" t="s">
        <v>1084</v>
      </c>
      <c r="B218" t="str">
        <f>REPLACE(Table1[[#This Row],[Order_ID]],1,3,"YOO")</f>
        <v>YOO10217</v>
      </c>
      <c r="C218" t="str">
        <f>MID(Table1[[#This Row],[Order_ID]],4,4)</f>
        <v>1021</v>
      </c>
      <c r="D218" t="str">
        <f>LEFT(Table1[[#This Row],[Order_ID]],4)</f>
        <v>ORD1</v>
      </c>
      <c r="E218" t="str">
        <f>RIGHT(Table1[[#This Row],[Order_ID]],5)</f>
        <v>10217</v>
      </c>
      <c r="F218" t="s">
        <v>5</v>
      </c>
      <c r="G218">
        <v>10217</v>
      </c>
      <c r="H218" t="s">
        <v>1085</v>
      </c>
      <c r="I218" s="2">
        <f>EDATE(Table1[[#This Row],[Order_Date]],3)</f>
        <v>46212</v>
      </c>
      <c r="J218" s="2">
        <f>EDATE(Table1[[#This Row],[Order_Date]],6)</f>
        <v>46304</v>
      </c>
      <c r="K218">
        <f ca="1">YEAR(Table1[[#This Row],[Today]])</f>
        <v>2026</v>
      </c>
      <c r="L218">
        <v>217</v>
      </c>
      <c r="M218">
        <f ca="1">DAY(Table1[[#This Row],[Today]])</f>
        <v>11</v>
      </c>
      <c r="N218" s="19">
        <f t="shared" ca="1" si="27"/>
        <v>46245.589795138891</v>
      </c>
      <c r="O218" s="2">
        <f t="shared" ca="1" si="22"/>
        <v>46245</v>
      </c>
      <c r="P218" s="17">
        <f ca="1">Table1[[#This Row],[Today]]-Table1[[#This Row],[Order_Date]]</f>
        <v>124</v>
      </c>
      <c r="Q218" s="2">
        <v>45874</v>
      </c>
      <c r="R218" s="2">
        <v>46121</v>
      </c>
      <c r="S218" s="6">
        <f t="shared" si="25"/>
        <v>2026</v>
      </c>
      <c r="T218" s="7" t="str">
        <f t="shared" si="26"/>
        <v>April</v>
      </c>
      <c r="U218" s="2">
        <f>WORKDAY(Table1[[#This Row],[Order_Date]],5)</f>
        <v>46128</v>
      </c>
      <c r="V218" s="7" t="str">
        <f>CONCATENATE(Table1[[#This Row],[Customer_ID]],Table1[[#This Row],[Customer_Name]])</f>
        <v>C1006Arjun Rao</v>
      </c>
      <c r="W218" t="s">
        <v>1086</v>
      </c>
      <c r="X218" t="s">
        <v>355</v>
      </c>
      <c r="Y218">
        <f>COUNTA(Table1[[#This Row],[Customer_Name]])</f>
        <v>1</v>
      </c>
      <c r="Z218" t="str">
        <f>SUBSTITUTE(Table1[[#This Row],[Customer_Name]]," ","_")</f>
        <v>Arjun_Rao</v>
      </c>
      <c r="AA218" s="10">
        <f>IFERROR(SEARCH("a",Table1[[#This Row],[Customer_Name]]),"N/A")</f>
        <v>1</v>
      </c>
      <c r="AB218">
        <f>SEARCH(" ",Table1[[#This Row],[Customer_Name]])</f>
        <v>6</v>
      </c>
      <c r="AC218" s="11">
        <f>IFERROR(FIND("a",Table1[[#This Row],[Customer_Name]]),"N/A")</f>
        <v>8</v>
      </c>
      <c r="AD218">
        <f>FIND(" ",Table1[[#This Row],[Customer_Name]])</f>
        <v>6</v>
      </c>
      <c r="AE218" t="str">
        <f>TRIM(Table1[[#This Row],[Customer_Name]])</f>
        <v>Arjun Rao</v>
      </c>
      <c r="AF218">
        <f>LEN(Table1[[#This Row],[Trimmed]])</f>
        <v>9</v>
      </c>
      <c r="AG218">
        <f>MAX(Table1[Length])</f>
        <v>15</v>
      </c>
      <c r="AH218" t="str">
        <f>PROPER(Table1[[#This Row],[Customer_Name]])</f>
        <v>Arjun Rao</v>
      </c>
      <c r="AI218" t="str">
        <f>LOWER(Table1[[#This Row],[Customer_Name]])</f>
        <v>arjun rao</v>
      </c>
      <c r="AJ218" t="str">
        <f>UPPER(Table1[[#This Row],[Customer_Name]])</f>
        <v>ARJUN RAO</v>
      </c>
      <c r="AK218" t="str">
        <f>CONCATENATE(Table1[[#This Row],[Customer_ID]],Table1[[#This Row],[Customer_Name]])</f>
        <v>C1006Arjun Rao</v>
      </c>
      <c r="AL218" t="s">
        <v>356</v>
      </c>
      <c r="AM218" t="s">
        <v>357</v>
      </c>
      <c r="AN218" t="s">
        <v>358</v>
      </c>
      <c r="AO218" t="s">
        <v>356</v>
      </c>
      <c r="AP218" t="s">
        <v>357</v>
      </c>
      <c r="AQ218" t="s">
        <v>423</v>
      </c>
      <c r="AR218" t="str">
        <f>TRIM(Table1[[#This Row],[City]])</f>
        <v>Ahmedabad</v>
      </c>
      <c r="AS218" t="str">
        <f>PROPER(Table1[[#This Row],[City]])</f>
        <v>Ahmedabad</v>
      </c>
      <c r="AT218" t="s">
        <v>424</v>
      </c>
      <c r="AU218" t="str">
        <f>CONCATENATE(Table1[[#This Row],[City]],Table1[[#This Row],[State]])</f>
        <v>AhmedabadGujarat</v>
      </c>
      <c r="AV218" t="s">
        <v>129</v>
      </c>
      <c r="AW218" t="s">
        <v>370</v>
      </c>
      <c r="AX218" t="str">
        <f>REPLACE(Table1[[#This Row],[Product_ID]],1,1,"s")</f>
        <v>s108</v>
      </c>
      <c r="AY218" t="s">
        <v>1087</v>
      </c>
      <c r="AZ218">
        <f>SEARCH("-",Table1[[#This Row],[Product ID]])</f>
        <v>2</v>
      </c>
      <c r="BA218">
        <f>FIND("-",Table1[[#This Row],[Product ID]])</f>
        <v>2</v>
      </c>
      <c r="BB218" t="str">
        <f>MID(Table1[[#This Row],[Product_ID]],2,3)</f>
        <v>108</v>
      </c>
      <c r="BC218" t="str">
        <f>RIGHT(Table1[[#This Row],[Product_ID]],3)</f>
        <v>108</v>
      </c>
      <c r="BD218" t="str">
        <f>LEFT(Table1[[#This Row],[Product_ID]],3)</f>
        <v>P10</v>
      </c>
      <c r="BE218" t="str">
        <f>_xlfn.XLOOKUP(Table1[[#This Row],[Product_ID]],AW:AW,BF:BF,,0)</f>
        <v>Hoodie</v>
      </c>
      <c r="BF218" t="s">
        <v>372</v>
      </c>
      <c r="BG218">
        <f>LEN(Table1[[#This Row],[Product_Name]])</f>
        <v>6</v>
      </c>
      <c r="BH218" t="s">
        <v>224</v>
      </c>
      <c r="BI218">
        <f t="shared" si="28"/>
        <v>75</v>
      </c>
      <c r="BJ218" t="str">
        <f>SUBSTITUTE(Table1[[#This Row],[Category]],"Electronics","ELECTRONICS")</f>
        <v>Fashion</v>
      </c>
      <c r="BN218" t="s">
        <v>373</v>
      </c>
      <c r="BS218" s="14">
        <v>3</v>
      </c>
      <c r="BT218" s="3">
        <v>1999</v>
      </c>
      <c r="BU218" s="4">
        <v>0</v>
      </c>
      <c r="BV218" s="4" t="str">
        <f>IF(AND(Table1[[#This Row],[Quantity]]&gt;=3,Table1[[#This Row],[Discount_%]]&gt;=15%),"Bulk Discount","no")</f>
        <v>no</v>
      </c>
      <c r="BW218" s="4" t="str">
        <f>IF(AND(Table1[[#This Row],[Quantity]]&gt;3,Table1[[#This Row],[Discount_%]]&gt;15%),"Bulk Customer","Normal")</f>
        <v>Normal</v>
      </c>
      <c r="BX218" t="s">
        <v>172</v>
      </c>
      <c r="BY218" t="s">
        <v>136</v>
      </c>
      <c r="CC218" t="str">
        <f>IF(OR(Table1[[#This Row],[Order_Status]]="Returned",Table1[[#This Row],[Order_Status]]="Cancelled"),"Attention Required","Not")</f>
        <v>Not</v>
      </c>
      <c r="CD218" t="str">
        <f>IF(OR(Table1[[#This Row],[Order_Status]]="Returned",Table1[[#This Row],[Order_Status]]="Cancelled"),"Review","no")</f>
        <v>no</v>
      </c>
      <c r="CE218" t="str">
        <f>SUBSTITUTE(Table1[[#This Row],[Order_Status]],"Delivered","Completed")</f>
        <v>Completed</v>
      </c>
      <c r="CF218" s="2">
        <v>46122</v>
      </c>
      <c r="CG218" s="17">
        <f>NETWORKDAYS(Table1[[#This Row],[Order_Date]],Table1[[#This Row],[Delivery_Date]])</f>
        <v>2</v>
      </c>
      <c r="CH218" s="17">
        <f>Table1[[#This Row],[Delivery_Date]]-Table1[[#This Row],[Order_Date]]</f>
        <v>1</v>
      </c>
      <c r="CI218" t="s">
        <v>137</v>
      </c>
      <c r="CJ218" t="str">
        <f>IF(Table1[[#This Row],[Rating]]&gt;=4,"Good","Needs Improvement")</f>
        <v>Needs Improvement</v>
      </c>
      <c r="CK218" t="str">
        <f>IF(OR(Table1[[#This Row],[Rating]]&lt;=2,Table1[[#This Row],[Profit]]&lt;0),"Review","NO")</f>
        <v>Review</v>
      </c>
      <c r="CL218" t="e" cm="1">
        <f t="array" ref="CL218">_xlfn.IFS(Table1[[#This Row],[Rating]]&gt;2,"Poor",Table1[[#This Row],[Rating]]=3,"Average",Table1[[#This Row],[Rating]]=4,"Good",CP218=5,"Excellent")</f>
        <v>#N/A</v>
      </c>
      <c r="CM218">
        <f>COUNT(Table1[[#This Row],[Rating]])</f>
        <v>1</v>
      </c>
      <c r="CN218">
        <f>COUNTBLANK(Table1[[#This Row],[Rating]])</f>
        <v>0</v>
      </c>
      <c r="CQ218" s="14">
        <v>2</v>
      </c>
      <c r="CR218" t="s">
        <v>139</v>
      </c>
      <c r="CS218" t="s">
        <v>213</v>
      </c>
      <c r="CU218" s="3">
        <v>5997</v>
      </c>
      <c r="CV218" s="3">
        <f>ROUND(Table1[[#This Row],[Sales_Amount]],0)</f>
        <v>5997</v>
      </c>
      <c r="CW218" s="3"/>
      <c r="CX218" s="3"/>
      <c r="CY218" s="3" t="b">
        <f>IF(AND(Table1[[#This Row],[Sales_Amount]]&gt;=10000,Table1[[#This Row],[Profit]]&gt;0),"Good Order")</f>
        <v>0</v>
      </c>
      <c r="CZ218" s="3" t="str">
        <f>IF(Table1[[#This Row],[Sales_Amount]]&gt;=10000,"High","Normal")</f>
        <v>Normal</v>
      </c>
      <c r="DA218" s="3">
        <v>2847</v>
      </c>
      <c r="DB218" s="3">
        <f>ROUND(Table1[[#This Row],[Profit]],0)</f>
        <v>2847</v>
      </c>
      <c r="DC218" s="3">
        <f>ABS(Table1[[#This Row],[Profit]])</f>
        <v>2847</v>
      </c>
      <c r="DD218" s="3"/>
      <c r="DE218" s="3"/>
      <c r="DF218" s="3"/>
      <c r="DG218" s="3" t="str">
        <f>IF(Table1[[#This Row],[Profit]]&gt;0,"Profit","Loss")</f>
        <v>Profit</v>
      </c>
      <c r="DH218" s="3" t="str">
        <f>IF(AND(Table1[[#This Row],[Sales_Amount]]&gt;=10000,Table1[[#This Row],[Profit]]&gt;0),"Priority","Normal")</f>
        <v>Normal</v>
      </c>
      <c r="DI218" s="3">
        <f t="shared" ca="1" si="23"/>
        <v>0.68993435518933266</v>
      </c>
      <c r="DJ218" s="3">
        <f t="shared" ca="1" si="24"/>
        <v>11</v>
      </c>
      <c r="DK218" s="3"/>
      <c r="DL218" s="3"/>
      <c r="DM218" s="3"/>
      <c r="DN218" s="3"/>
      <c r="DO218" s="3"/>
      <c r="DP218" s="3"/>
    </row>
    <row r="219" spans="1:120">
      <c r="A219" t="s">
        <v>1088</v>
      </c>
      <c r="B219" t="str">
        <f>REPLACE(Table1[[#This Row],[Order_ID]],1,3,"YOO")</f>
        <v>YOO10218</v>
      </c>
      <c r="C219" t="str">
        <f>MID(Table1[[#This Row],[Order_ID]],4,4)</f>
        <v>1021</v>
      </c>
      <c r="D219" t="str">
        <f>LEFT(Table1[[#This Row],[Order_ID]],4)</f>
        <v>ORD1</v>
      </c>
      <c r="E219" t="str">
        <f>RIGHT(Table1[[#This Row],[Order_ID]],5)</f>
        <v>10218</v>
      </c>
      <c r="F219" t="s">
        <v>5</v>
      </c>
      <c r="G219">
        <v>10218</v>
      </c>
      <c r="H219" t="s">
        <v>1089</v>
      </c>
      <c r="I219" s="2">
        <f>EDATE(Table1[[#This Row],[Order_Date]],3)</f>
        <v>45928</v>
      </c>
      <c r="J219" s="2">
        <f>EDATE(Table1[[#This Row],[Order_Date]],6)</f>
        <v>46019</v>
      </c>
      <c r="K219">
        <f ca="1">YEAR(Table1[[#This Row],[Today]])</f>
        <v>2026</v>
      </c>
      <c r="L219">
        <v>218</v>
      </c>
      <c r="M219">
        <f ca="1">DAY(Table1[[#This Row],[Today]])</f>
        <v>11</v>
      </c>
      <c r="N219" s="19">
        <f t="shared" ca="1" si="27"/>
        <v>46245.589795370368</v>
      </c>
      <c r="O219" s="2">
        <f t="shared" ca="1" si="22"/>
        <v>46245</v>
      </c>
      <c r="P219" s="17">
        <f ca="1">Table1[[#This Row],[Today]]-Table1[[#This Row],[Order_Date]]</f>
        <v>409</v>
      </c>
      <c r="Q219" s="2">
        <v>45875</v>
      </c>
      <c r="R219" s="2">
        <v>45836</v>
      </c>
      <c r="S219" s="6">
        <f t="shared" si="25"/>
        <v>2025</v>
      </c>
      <c r="T219" s="7" t="str">
        <f t="shared" si="26"/>
        <v>June</v>
      </c>
      <c r="U219" s="2">
        <f>WORKDAY(Table1[[#This Row],[Order_Date]],5)</f>
        <v>45842</v>
      </c>
      <c r="V219" s="7" t="str">
        <f>CONCATENATE(Table1[[#This Row],[Customer_ID]],Table1[[#This Row],[Customer_Name]])</f>
        <v>C1060Mohit Khan</v>
      </c>
      <c r="W219" t="s">
        <v>652</v>
      </c>
      <c r="X219" t="s">
        <v>162</v>
      </c>
      <c r="Y219">
        <f>COUNTA(Table1[[#This Row],[Customer_Name]])</f>
        <v>1</v>
      </c>
      <c r="Z219" t="str">
        <f>SUBSTITUTE(Table1[[#This Row],[Customer_Name]]," ","_")</f>
        <v>Mohit_Khan</v>
      </c>
      <c r="AA219" s="10">
        <f>IFERROR(SEARCH("a",Table1[[#This Row],[Customer_Name]]),"N/A")</f>
        <v>9</v>
      </c>
      <c r="AB219">
        <f>SEARCH(" ",Table1[[#This Row],[Customer_Name]])</f>
        <v>6</v>
      </c>
      <c r="AC219" s="11">
        <f>IFERROR(FIND("a",Table1[[#This Row],[Customer_Name]]),"N/A")</f>
        <v>9</v>
      </c>
      <c r="AD219">
        <f>FIND(" ",Table1[[#This Row],[Customer_Name]])</f>
        <v>6</v>
      </c>
      <c r="AE219" t="str">
        <f>TRIM(Table1[[#This Row],[Customer_Name]])</f>
        <v>Mohit Khan</v>
      </c>
      <c r="AF219">
        <f>LEN(Table1[[#This Row],[Trimmed]])</f>
        <v>10</v>
      </c>
      <c r="AG219">
        <f>MAX(Table1[Length])</f>
        <v>15</v>
      </c>
      <c r="AH219" t="str">
        <f>PROPER(Table1[[#This Row],[Customer_Name]])</f>
        <v>Mohit Khan</v>
      </c>
      <c r="AI219" t="str">
        <f>LOWER(Table1[[#This Row],[Customer_Name]])</f>
        <v>mohit khan</v>
      </c>
      <c r="AJ219" t="str">
        <f>UPPER(Table1[[#This Row],[Customer_Name]])</f>
        <v>MOHIT KHAN</v>
      </c>
      <c r="AK219" t="str">
        <f>CONCATENATE(Table1[[#This Row],[Customer_ID]],Table1[[#This Row],[Customer_Name]])</f>
        <v>C1060Mohit Khan</v>
      </c>
      <c r="AL219" t="s">
        <v>163</v>
      </c>
      <c r="AM219" t="s">
        <v>164</v>
      </c>
      <c r="AN219" t="s">
        <v>165</v>
      </c>
      <c r="AO219" t="s">
        <v>163</v>
      </c>
      <c r="AP219" t="s">
        <v>164</v>
      </c>
      <c r="AQ219" t="s">
        <v>304</v>
      </c>
      <c r="AR219" t="str">
        <f>TRIM(Table1[[#This Row],[City]])</f>
        <v>Chennai</v>
      </c>
      <c r="AS219" t="str">
        <f>PROPER(Table1[[#This Row],[City]])</f>
        <v>Chennai</v>
      </c>
      <c r="AT219" t="s">
        <v>305</v>
      </c>
      <c r="AU219" t="str">
        <f>CONCATENATE(Table1[[#This Row],[City]],Table1[[#This Row],[State]])</f>
        <v>ChennaiTamil Nadu</v>
      </c>
      <c r="AV219" t="s">
        <v>168</v>
      </c>
      <c r="AW219" t="s">
        <v>201</v>
      </c>
      <c r="AX219" t="str">
        <f>REPLACE(Table1[[#This Row],[Product_ID]],1,1,"s")</f>
        <v>s104</v>
      </c>
      <c r="AY219" t="s">
        <v>1090</v>
      </c>
      <c r="AZ219">
        <f>SEARCH("-",Table1[[#This Row],[Product ID]])</f>
        <v>2</v>
      </c>
      <c r="BA219">
        <f>FIND("-",Table1[[#This Row],[Product ID]])</f>
        <v>2</v>
      </c>
      <c r="BB219" t="str">
        <f>MID(Table1[[#This Row],[Product_ID]],2,3)</f>
        <v>104</v>
      </c>
      <c r="BC219" t="str">
        <f>RIGHT(Table1[[#This Row],[Product_ID]],3)</f>
        <v>104</v>
      </c>
      <c r="BD219" t="str">
        <f>LEFT(Table1[[#This Row],[Product_ID]],3)</f>
        <v>P10</v>
      </c>
      <c r="BE219" t="str">
        <f>_xlfn.XLOOKUP(Table1[[#This Row],[Product_ID]],AW:AW,BF:BF,,0)</f>
        <v>USB-C Hub</v>
      </c>
      <c r="BF219" t="s">
        <v>203</v>
      </c>
      <c r="BG219">
        <f>LEN(Table1[[#This Row],[Product_Name]])</f>
        <v>9</v>
      </c>
      <c r="BH219" t="s">
        <v>154</v>
      </c>
      <c r="BI219">
        <f t="shared" si="28"/>
        <v>75</v>
      </c>
      <c r="BJ219" t="str">
        <f>SUBSTITUTE(Table1[[#This Row],[Category]],"Electronics","ELECTRONICS")</f>
        <v>ELECTRONICS</v>
      </c>
      <c r="BN219" t="s">
        <v>155</v>
      </c>
      <c r="BS219" s="14">
        <v>5</v>
      </c>
      <c r="BT219" s="3">
        <v>1899</v>
      </c>
      <c r="BU219" s="4">
        <v>5</v>
      </c>
      <c r="BV219" s="4" t="str">
        <f>IF(AND(Table1[[#This Row],[Quantity]]&gt;=3,Table1[[#This Row],[Discount_%]]&gt;=15%),"Bulk Discount","no")</f>
        <v>Bulk Discount</v>
      </c>
      <c r="BW219" s="4" t="str">
        <f>IF(AND(Table1[[#This Row],[Quantity]]&gt;3,Table1[[#This Row],[Discount_%]]&gt;15%),"Bulk Customer","Normal")</f>
        <v>Bulk Customer</v>
      </c>
      <c r="BX219" t="s">
        <v>187</v>
      </c>
      <c r="BY219" t="s">
        <v>136</v>
      </c>
      <c r="CC219" t="str">
        <f>IF(OR(Table1[[#This Row],[Order_Status]]="Returned",Table1[[#This Row],[Order_Status]]="Cancelled"),"Attention Required","Not")</f>
        <v>Not</v>
      </c>
      <c r="CD219" t="str">
        <f>IF(OR(Table1[[#This Row],[Order_Status]]="Returned",Table1[[#This Row],[Order_Status]]="Cancelled"),"Review","no")</f>
        <v>no</v>
      </c>
      <c r="CE219" t="str">
        <f>SUBSTITUTE(Table1[[#This Row],[Order_Status]],"Delivered","Completed")</f>
        <v>Completed</v>
      </c>
      <c r="CF219" s="2">
        <v>45843</v>
      </c>
      <c r="CG219" s="17">
        <f>NETWORKDAYS(Table1[[#This Row],[Order_Date]],Table1[[#This Row],[Delivery_Date]])</f>
        <v>5</v>
      </c>
      <c r="CH219" s="17">
        <f>Table1[[#This Row],[Delivery_Date]]-Table1[[#This Row],[Order_Date]]</f>
        <v>7</v>
      </c>
      <c r="CI219" t="s">
        <v>137</v>
      </c>
      <c r="CJ219" t="str">
        <f>IF(Table1[[#This Row],[Rating]]&gt;=4,"Good","Needs Improvement")</f>
        <v>Needs Improvement</v>
      </c>
      <c r="CK219" t="str">
        <f>IF(OR(Table1[[#This Row],[Rating]]&lt;=2,Table1[[#This Row],[Profit]]&lt;0),"Review","NO")</f>
        <v>Review</v>
      </c>
      <c r="CL219" t="e" cm="1">
        <f t="array" ref="CL219">_xlfn.IFS(Table1[[#This Row],[Rating]]&gt;2,"Poor",Table1[[#This Row],[Rating]]=3,"Average",Table1[[#This Row],[Rating]]=4,"Good",CP219=5,"Excellent")</f>
        <v>#N/A</v>
      </c>
      <c r="CM219">
        <f>COUNT(Table1[[#This Row],[Rating]])</f>
        <v>0</v>
      </c>
      <c r="CN219">
        <f>COUNTBLANK(Table1[[#This Row],[Rating]])</f>
        <v>1</v>
      </c>
      <c r="CP219" t="s">
        <v>194</v>
      </c>
      <c r="CR219" t="s">
        <v>204</v>
      </c>
      <c r="CS219" t="s">
        <v>213</v>
      </c>
      <c r="CU219" s="3">
        <v>9020.25</v>
      </c>
      <c r="CV219" s="3">
        <f>ROUND(Table1[[#This Row],[Sales_Amount]],0)</f>
        <v>9020</v>
      </c>
      <c r="CW219" s="3"/>
      <c r="CX219" s="3"/>
      <c r="CY219" s="3" t="b">
        <f>IF(AND(Table1[[#This Row],[Sales_Amount]]&gt;=10000,Table1[[#This Row],[Profit]]&gt;0),"Good Order")</f>
        <v>0</v>
      </c>
      <c r="CZ219" s="3" t="str">
        <f>IF(Table1[[#This Row],[Sales_Amount]]&gt;=10000,"High","Normal")</f>
        <v>Normal</v>
      </c>
      <c r="DA219" s="3">
        <v>3520.25</v>
      </c>
      <c r="DB219" s="3">
        <f>ROUND(Table1[[#This Row],[Profit]],0)</f>
        <v>3520</v>
      </c>
      <c r="DC219" s="3">
        <f>ABS(Table1[[#This Row],[Profit]])</f>
        <v>3520.25</v>
      </c>
      <c r="DD219" s="3"/>
      <c r="DE219" s="3"/>
      <c r="DF219" s="3"/>
      <c r="DG219" s="3" t="str">
        <f>IF(Table1[[#This Row],[Profit]]&gt;0,"Profit","Loss")</f>
        <v>Profit</v>
      </c>
      <c r="DH219" s="3" t="str">
        <f>IF(AND(Table1[[#This Row],[Sales_Amount]]&gt;=10000,Table1[[#This Row],[Profit]]&gt;0),"Priority","Normal")</f>
        <v>Normal</v>
      </c>
      <c r="DI219" s="3">
        <f t="shared" ca="1" si="23"/>
        <v>0.31199869761601118</v>
      </c>
      <c r="DJ219" s="3">
        <f t="shared" ca="1" si="24"/>
        <v>93</v>
      </c>
      <c r="DK219" s="3"/>
      <c r="DL219" s="3"/>
      <c r="DM219" s="3"/>
      <c r="DN219" s="3"/>
      <c r="DO219" s="3"/>
      <c r="DP219" s="3"/>
    </row>
    <row r="220" spans="1:120">
      <c r="A220" t="s">
        <v>1091</v>
      </c>
      <c r="B220" t="str">
        <f>REPLACE(Table1[[#This Row],[Order_ID]],1,3,"YOO")</f>
        <v>YOO10219</v>
      </c>
      <c r="C220" t="str">
        <f>MID(Table1[[#This Row],[Order_ID]],4,4)</f>
        <v>1021</v>
      </c>
      <c r="D220" t="str">
        <f>LEFT(Table1[[#This Row],[Order_ID]],4)</f>
        <v>ORD1</v>
      </c>
      <c r="E220" t="str">
        <f>RIGHT(Table1[[#This Row],[Order_ID]],5)</f>
        <v>10219</v>
      </c>
      <c r="F220" t="s">
        <v>5</v>
      </c>
      <c r="G220">
        <v>10219</v>
      </c>
      <c r="H220" t="s">
        <v>1092</v>
      </c>
      <c r="I220" s="2">
        <f>EDATE(Table1[[#This Row],[Order_Date]],3)</f>
        <v>45777</v>
      </c>
      <c r="J220" s="2">
        <f>EDATE(Table1[[#This Row],[Order_Date]],6)</f>
        <v>45868</v>
      </c>
      <c r="K220">
        <f ca="1">YEAR(Table1[[#This Row],[Today]])</f>
        <v>2026</v>
      </c>
      <c r="L220">
        <v>219</v>
      </c>
      <c r="M220">
        <f ca="1">DAY(Table1[[#This Row],[Today]])</f>
        <v>11</v>
      </c>
      <c r="N220" s="19">
        <f t="shared" ca="1" si="27"/>
        <v>46245.589795370368</v>
      </c>
      <c r="O220" s="2">
        <f t="shared" ca="1" si="22"/>
        <v>46245</v>
      </c>
      <c r="P220" s="17">
        <f ca="1">Table1[[#This Row],[Today]]-Table1[[#This Row],[Order_Date]]</f>
        <v>558</v>
      </c>
      <c r="Q220" s="2">
        <v>45876</v>
      </c>
      <c r="R220" s="2">
        <v>45687</v>
      </c>
      <c r="S220" s="6">
        <f t="shared" si="25"/>
        <v>2025</v>
      </c>
      <c r="T220" s="7" t="str">
        <f t="shared" si="26"/>
        <v>January</v>
      </c>
      <c r="U220" s="2">
        <f>WORKDAY(Table1[[#This Row],[Order_Date]],5)</f>
        <v>45694</v>
      </c>
      <c r="V220" s="7" t="str">
        <f>CONCATENATE(Table1[[#This Row],[Customer_ID]],Table1[[#This Row],[Customer_Name]])</f>
        <v>C1002Karan Patel</v>
      </c>
      <c r="W220" t="s">
        <v>1041</v>
      </c>
      <c r="X220" t="s">
        <v>280</v>
      </c>
      <c r="Y220">
        <f>COUNTA(Table1[[#This Row],[Customer_Name]])</f>
        <v>1</v>
      </c>
      <c r="Z220" t="str">
        <f>SUBSTITUTE(Table1[[#This Row],[Customer_Name]]," ","_")</f>
        <v>Karan_Patel</v>
      </c>
      <c r="AA220" s="10">
        <f>IFERROR(SEARCH("a",Table1[[#This Row],[Customer_Name]]),"N/A")</f>
        <v>2</v>
      </c>
      <c r="AB220">
        <f>SEARCH(" ",Table1[[#This Row],[Customer_Name]])</f>
        <v>6</v>
      </c>
      <c r="AC220" s="11">
        <f>IFERROR(FIND("a",Table1[[#This Row],[Customer_Name]]),"N/A")</f>
        <v>2</v>
      </c>
      <c r="AD220">
        <f>FIND(" ",Table1[[#This Row],[Customer_Name]])</f>
        <v>6</v>
      </c>
      <c r="AE220" t="str">
        <f>TRIM(Table1[[#This Row],[Customer_Name]])</f>
        <v>Karan Patel</v>
      </c>
      <c r="AF220">
        <f>LEN(Table1[[#This Row],[Trimmed]])</f>
        <v>11</v>
      </c>
      <c r="AG220">
        <f>MAX(Table1[Length])</f>
        <v>15</v>
      </c>
      <c r="AH220" t="str">
        <f>PROPER(Table1[[#This Row],[Customer_Name]])</f>
        <v>Karan Patel</v>
      </c>
      <c r="AI220" t="str">
        <f>LOWER(Table1[[#This Row],[Customer_Name]])</f>
        <v>karan patel</v>
      </c>
      <c r="AJ220" t="str">
        <f>UPPER(Table1[[#This Row],[Customer_Name]])</f>
        <v>KARAN PATEL</v>
      </c>
      <c r="AK220" t="str">
        <f>CONCATENATE(Table1[[#This Row],[Customer_ID]],Table1[[#This Row],[Customer_Name]])</f>
        <v>C1002Karan Patel</v>
      </c>
      <c r="AL220" t="s">
        <v>281</v>
      </c>
      <c r="AM220" t="s">
        <v>282</v>
      </c>
      <c r="AN220" t="s">
        <v>283</v>
      </c>
      <c r="AO220" t="s">
        <v>281</v>
      </c>
      <c r="AP220" t="s">
        <v>282</v>
      </c>
      <c r="AQ220" t="s">
        <v>166</v>
      </c>
      <c r="AR220" t="str">
        <f>TRIM(Table1[[#This Row],[City]])</f>
        <v>Bengaluru</v>
      </c>
      <c r="AS220" t="str">
        <f>PROPER(Table1[[#This Row],[City]])</f>
        <v>Bengaluru</v>
      </c>
      <c r="AT220" t="s">
        <v>167</v>
      </c>
      <c r="AU220" t="str">
        <f>CONCATENATE(Table1[[#This Row],[City]],Table1[[#This Row],[State]])</f>
        <v>BengaluruKarnataka</v>
      </c>
      <c r="AV220" t="s">
        <v>168</v>
      </c>
      <c r="AW220" t="s">
        <v>236</v>
      </c>
      <c r="AX220" t="str">
        <f>REPLACE(Table1[[#This Row],[Product_ID]],1,1,"s")</f>
        <v>s107</v>
      </c>
      <c r="AY220" t="s">
        <v>1093</v>
      </c>
      <c r="AZ220">
        <f>SEARCH("-",Table1[[#This Row],[Product ID]])</f>
        <v>2</v>
      </c>
      <c r="BA220">
        <f>FIND("-",Table1[[#This Row],[Product ID]])</f>
        <v>2</v>
      </c>
      <c r="BB220" t="str">
        <f>MID(Table1[[#This Row],[Product_ID]],2,3)</f>
        <v>107</v>
      </c>
      <c r="BC220" t="str">
        <f>RIGHT(Table1[[#This Row],[Product_ID]],3)</f>
        <v>107</v>
      </c>
      <c r="BD220" t="str">
        <f>LEFT(Table1[[#This Row],[Product_ID]],3)</f>
        <v>P10</v>
      </c>
      <c r="BE220" t="str">
        <f>_xlfn.XLOOKUP(Table1[[#This Row],[Product_ID]],AW:AW,BF:BF,,0)</f>
        <v>Casual Sneakers</v>
      </c>
      <c r="BF220" t="s">
        <v>238</v>
      </c>
      <c r="BG220">
        <f>LEN(Table1[[#This Row],[Product_Name]])</f>
        <v>15</v>
      </c>
      <c r="BH220" t="s">
        <v>224</v>
      </c>
      <c r="BI220">
        <f t="shared" si="28"/>
        <v>75</v>
      </c>
      <c r="BJ220" t="str">
        <f>SUBSTITUTE(Table1[[#This Row],[Category]],"Electronics","ELECTRONICS")</f>
        <v>Fashion</v>
      </c>
      <c r="BN220" t="s">
        <v>225</v>
      </c>
      <c r="BS220" s="14">
        <v>5</v>
      </c>
      <c r="BT220" s="3">
        <v>2799</v>
      </c>
      <c r="BU220" s="4">
        <v>10</v>
      </c>
      <c r="BV220" s="4" t="str">
        <f>IF(AND(Table1[[#This Row],[Quantity]]&gt;=3,Table1[[#This Row],[Discount_%]]&gt;=15%),"Bulk Discount","no")</f>
        <v>Bulk Discount</v>
      </c>
      <c r="BW220" s="4" t="str">
        <f>IF(AND(Table1[[#This Row],[Quantity]]&gt;3,Table1[[#This Row],[Discount_%]]&gt;15%),"Bulk Customer","Normal")</f>
        <v>Bulk Customer</v>
      </c>
      <c r="BX220" t="s">
        <v>187</v>
      </c>
      <c r="BY220" t="s">
        <v>136</v>
      </c>
      <c r="CC220" t="str">
        <f>IF(OR(Table1[[#This Row],[Order_Status]]="Returned",Table1[[#This Row],[Order_Status]]="Cancelled"),"Attention Required","Not")</f>
        <v>Not</v>
      </c>
      <c r="CD220" t="str">
        <f>IF(OR(Table1[[#This Row],[Order_Status]]="Returned",Table1[[#This Row],[Order_Status]]="Cancelled"),"Review","no")</f>
        <v>no</v>
      </c>
      <c r="CE220" t="str">
        <f>SUBSTITUTE(Table1[[#This Row],[Order_Status]],"Delivered","Completed")</f>
        <v>Completed</v>
      </c>
      <c r="CF220" s="2">
        <v>45694</v>
      </c>
      <c r="CG220" s="17">
        <f>NETWORKDAYS(Table1[[#This Row],[Order_Date]],Table1[[#This Row],[Delivery_Date]])</f>
        <v>6</v>
      </c>
      <c r="CH220" s="17">
        <f>Table1[[#This Row],[Delivery_Date]]-Table1[[#This Row],[Order_Date]]</f>
        <v>7</v>
      </c>
      <c r="CI220" t="s">
        <v>137</v>
      </c>
      <c r="CJ220" t="str">
        <f>IF(Table1[[#This Row],[Rating]]&gt;=4,"Good","Needs Improvement")</f>
        <v>Good</v>
      </c>
      <c r="CK220" t="str">
        <f>IF(OR(Table1[[#This Row],[Rating]]&lt;=2,Table1[[#This Row],[Profit]]&lt;0),"Review","NO")</f>
        <v>NO</v>
      </c>
      <c r="CL220" t="str" cm="1">
        <f t="array" ref="CL220">_xlfn.IFS(Table1[[#This Row],[Rating]]&gt;2,"Poor",Table1[[#This Row],[Rating]]=3,"Average",Table1[[#This Row],[Rating]]=4,"Good",CP220=5,"Excellent")</f>
        <v>Poor</v>
      </c>
      <c r="CM220">
        <f>COUNT(Table1[[#This Row],[Rating]])</f>
        <v>1</v>
      </c>
      <c r="CN220">
        <f>COUNTBLANK(Table1[[#This Row],[Rating]])</f>
        <v>0</v>
      </c>
      <c r="CP220" t="s">
        <v>157</v>
      </c>
      <c r="CQ220" s="14">
        <v>5</v>
      </c>
      <c r="CR220" t="s">
        <v>204</v>
      </c>
      <c r="CS220" t="s">
        <v>140</v>
      </c>
      <c r="CU220" s="3">
        <v>12595.5</v>
      </c>
      <c r="CV220" s="3">
        <f>ROUND(Table1[[#This Row],[Sales_Amount]],0)</f>
        <v>12596</v>
      </c>
      <c r="CW220" s="3"/>
      <c r="CX220" s="3"/>
      <c r="CY220" s="3" t="str">
        <f>IF(AND(Table1[[#This Row],[Sales_Amount]]&gt;=10000,Table1[[#This Row],[Profit]]&gt;0),"Good Order")</f>
        <v>Good Order</v>
      </c>
      <c r="CZ220" s="3" t="str">
        <f>IF(Table1[[#This Row],[Sales_Amount]]&gt;=10000,"High","Normal")</f>
        <v>High</v>
      </c>
      <c r="DA220" s="3">
        <v>5095.5</v>
      </c>
      <c r="DB220" s="3">
        <f>ROUND(Table1[[#This Row],[Profit]],0)</f>
        <v>5096</v>
      </c>
      <c r="DC220" s="3">
        <f>ABS(Table1[[#This Row],[Profit]])</f>
        <v>5095.5</v>
      </c>
      <c r="DD220" s="3"/>
      <c r="DE220" s="3"/>
      <c r="DF220" s="3"/>
      <c r="DG220" s="3" t="str">
        <f>IF(Table1[[#This Row],[Profit]]&gt;0,"Profit","Loss")</f>
        <v>Profit</v>
      </c>
      <c r="DH220" s="3" t="str">
        <f>IF(AND(Table1[[#This Row],[Sales_Amount]]&gt;=10000,Table1[[#This Row],[Profit]]&gt;0),"Priority","Normal")</f>
        <v>Priority</v>
      </c>
      <c r="DI220" s="3">
        <f t="shared" ca="1" si="23"/>
        <v>0.89400267311896475</v>
      </c>
      <c r="DJ220" s="3">
        <f t="shared" ca="1" si="24"/>
        <v>9</v>
      </c>
      <c r="DK220" s="3"/>
      <c r="DL220" s="3"/>
      <c r="DM220" s="3"/>
      <c r="DN220" s="3"/>
      <c r="DO220" s="3"/>
      <c r="DP220" s="3"/>
    </row>
    <row r="221" spans="1:120">
      <c r="A221" t="s">
        <v>1094</v>
      </c>
      <c r="B221" t="str">
        <f>REPLACE(Table1[[#This Row],[Order_ID]],1,3,"YOO")</f>
        <v>YOO10220</v>
      </c>
      <c r="C221" t="str">
        <f>MID(Table1[[#This Row],[Order_ID]],4,4)</f>
        <v>1022</v>
      </c>
      <c r="D221" t="str">
        <f>LEFT(Table1[[#This Row],[Order_ID]],4)</f>
        <v>ORD1</v>
      </c>
      <c r="E221" t="str">
        <f>RIGHT(Table1[[#This Row],[Order_ID]],5)</f>
        <v>10220</v>
      </c>
      <c r="F221" t="s">
        <v>5</v>
      </c>
      <c r="G221">
        <v>10220</v>
      </c>
      <c r="H221" t="s">
        <v>1095</v>
      </c>
      <c r="I221" s="2">
        <f>EDATE(Table1[[#This Row],[Order_Date]],3)</f>
        <v>46299</v>
      </c>
      <c r="J221" s="2">
        <f>EDATE(Table1[[#This Row],[Order_Date]],6)</f>
        <v>46391</v>
      </c>
      <c r="K221">
        <f ca="1">YEAR(Table1[[#This Row],[Today]])</f>
        <v>2026</v>
      </c>
      <c r="L221">
        <v>220</v>
      </c>
      <c r="M221">
        <f ca="1">DAY(Table1[[#This Row],[Today]])</f>
        <v>11</v>
      </c>
      <c r="N221" s="19">
        <f t="shared" ca="1" si="27"/>
        <v>46245.589795138891</v>
      </c>
      <c r="O221" s="2">
        <f t="shared" ca="1" si="22"/>
        <v>46245</v>
      </c>
      <c r="P221" s="17">
        <f ca="1">Table1[[#This Row],[Today]]-Table1[[#This Row],[Order_Date]]</f>
        <v>38</v>
      </c>
      <c r="Q221" s="2">
        <v>45877</v>
      </c>
      <c r="R221" s="2">
        <v>46207</v>
      </c>
      <c r="S221" s="6">
        <f t="shared" si="25"/>
        <v>2026</v>
      </c>
      <c r="T221" s="7" t="str">
        <f t="shared" si="26"/>
        <v>July</v>
      </c>
      <c r="U221" s="2">
        <f>WORKDAY(Table1[[#This Row],[Order_Date]],5)</f>
        <v>46213</v>
      </c>
      <c r="V221" s="7" t="str">
        <f>CONCATENATE(Table1[[#This Row],[Customer_ID]],Table1[[#This Row],[Customer_Name]])</f>
        <v>C1030Vikas Yadav</v>
      </c>
      <c r="W221" t="s">
        <v>645</v>
      </c>
      <c r="X221" t="s">
        <v>208</v>
      </c>
      <c r="Y221">
        <f>COUNTA(Table1[[#This Row],[Customer_Name]])</f>
        <v>1</v>
      </c>
      <c r="Z221" t="str">
        <f>SUBSTITUTE(Table1[[#This Row],[Customer_Name]]," ","_")</f>
        <v>Vikas_Yadav</v>
      </c>
      <c r="AA221" s="10">
        <f>IFERROR(SEARCH("a",Table1[[#This Row],[Customer_Name]]),"N/A")</f>
        <v>4</v>
      </c>
      <c r="AB221">
        <f>SEARCH(" ",Table1[[#This Row],[Customer_Name]])</f>
        <v>6</v>
      </c>
      <c r="AC221" s="11">
        <f>IFERROR(FIND("a",Table1[[#This Row],[Customer_Name]]),"N/A")</f>
        <v>4</v>
      </c>
      <c r="AD221">
        <f>FIND(" ",Table1[[#This Row],[Customer_Name]])</f>
        <v>6</v>
      </c>
      <c r="AE221" t="str">
        <f>TRIM(Table1[[#This Row],[Customer_Name]])</f>
        <v>Vikas Yadav</v>
      </c>
      <c r="AF221">
        <f>LEN(Table1[[#This Row],[Trimmed]])</f>
        <v>11</v>
      </c>
      <c r="AG221">
        <f>MAX(Table1[Length])</f>
        <v>15</v>
      </c>
      <c r="AH221" t="str">
        <f>PROPER(Table1[[#This Row],[Customer_Name]])</f>
        <v>Vikas Yadav</v>
      </c>
      <c r="AI221" t="str">
        <f>LOWER(Table1[[#This Row],[Customer_Name]])</f>
        <v>vikas yadav</v>
      </c>
      <c r="AJ221" t="str">
        <f>UPPER(Table1[[#This Row],[Customer_Name]])</f>
        <v>VIKAS YADAV</v>
      </c>
      <c r="AK221" t="str">
        <f>CONCATENATE(Table1[[#This Row],[Customer_ID]],Table1[[#This Row],[Customer_Name]])</f>
        <v>C1030Vikas Yadav</v>
      </c>
      <c r="AL221" t="s">
        <v>209</v>
      </c>
      <c r="AM221" t="s">
        <v>210</v>
      </c>
      <c r="AN221" t="s">
        <v>211</v>
      </c>
      <c r="AO221" t="s">
        <v>209</v>
      </c>
      <c r="AP221" t="s">
        <v>210</v>
      </c>
      <c r="AQ221" t="s">
        <v>127</v>
      </c>
      <c r="AR221" t="str">
        <f>TRIM(Table1[[#This Row],[City]])</f>
        <v>Pune</v>
      </c>
      <c r="AS221" t="str">
        <f>PROPER(Table1[[#This Row],[City]])</f>
        <v>Pune</v>
      </c>
      <c r="AT221" t="s">
        <v>128</v>
      </c>
      <c r="AU221" t="str">
        <f>CONCATENATE(Table1[[#This Row],[City]],Table1[[#This Row],[State]])</f>
        <v>PuneMaharashtra</v>
      </c>
      <c r="AV221" t="s">
        <v>129</v>
      </c>
      <c r="AW221" t="s">
        <v>363</v>
      </c>
      <c r="AX221" t="str">
        <f>REPLACE(Table1[[#This Row],[Product_ID]],1,1,"s")</f>
        <v>s110</v>
      </c>
      <c r="AY221" t="s">
        <v>1096</v>
      </c>
      <c r="AZ221">
        <f>SEARCH("-",Table1[[#This Row],[Product ID]])</f>
        <v>2</v>
      </c>
      <c r="BA221">
        <f>FIND("-",Table1[[#This Row],[Product ID]])</f>
        <v>2</v>
      </c>
      <c r="BB221" t="str">
        <f>MID(Table1[[#This Row],[Product_ID]],2,3)</f>
        <v>110</v>
      </c>
      <c r="BC221" t="str">
        <f>RIGHT(Table1[[#This Row],[Product_ID]],3)</f>
        <v>110</v>
      </c>
      <c r="BD221" t="str">
        <f>LEFT(Table1[[#This Row],[Product_ID]],3)</f>
        <v>P11</v>
      </c>
      <c r="BE221" t="str">
        <f>_xlfn.XLOOKUP(Table1[[#This Row],[Product_ID]],AW:AW,BF:BF,,0)</f>
        <v>Smart Watch</v>
      </c>
      <c r="BF221" t="s">
        <v>365</v>
      </c>
      <c r="BG221">
        <f>LEN(Table1[[#This Row],[Product_Name]])</f>
        <v>11</v>
      </c>
      <c r="BH221" t="s">
        <v>154</v>
      </c>
      <c r="BI221">
        <f t="shared" si="28"/>
        <v>75</v>
      </c>
      <c r="BJ221" t="str">
        <f>SUBSTITUTE(Table1[[#This Row],[Category]],"Electronics","ELECTRONICS")</f>
        <v>ELECTRONICS</v>
      </c>
      <c r="BN221" t="s">
        <v>366</v>
      </c>
      <c r="BS221" s="14">
        <v>2</v>
      </c>
      <c r="BT221" s="3">
        <v>4999</v>
      </c>
      <c r="BU221" s="4">
        <v>15</v>
      </c>
      <c r="BV221" s="4" t="str">
        <f>IF(AND(Table1[[#This Row],[Quantity]]&gt;=3,Table1[[#This Row],[Discount_%]]&gt;=15%),"Bulk Discount","no")</f>
        <v>no</v>
      </c>
      <c r="BW221" s="4" t="str">
        <f>IF(AND(Table1[[#This Row],[Quantity]]&gt;3,Table1[[#This Row],[Discount_%]]&gt;15%),"Bulk Customer","Normal")</f>
        <v>Normal</v>
      </c>
      <c r="BX221" t="s">
        <v>330</v>
      </c>
      <c r="BY221" t="s">
        <v>136</v>
      </c>
      <c r="CC221" t="str">
        <f>IF(OR(Table1[[#This Row],[Order_Status]]="Returned",Table1[[#This Row],[Order_Status]]="Cancelled"),"Attention Required","Not")</f>
        <v>Not</v>
      </c>
      <c r="CD221" t="str">
        <f>IF(OR(Table1[[#This Row],[Order_Status]]="Returned",Table1[[#This Row],[Order_Status]]="Cancelled"),"Review","no")</f>
        <v>no</v>
      </c>
      <c r="CE221" t="str">
        <f>SUBSTITUTE(Table1[[#This Row],[Order_Status]],"Delivered","Completed")</f>
        <v>Completed</v>
      </c>
      <c r="CF221" s="2">
        <v>46211</v>
      </c>
      <c r="CG221" s="17">
        <f>NETWORKDAYS(Table1[[#This Row],[Order_Date]],Table1[[#This Row],[Delivery_Date]])</f>
        <v>3</v>
      </c>
      <c r="CH221" s="17">
        <f>Table1[[#This Row],[Delivery_Date]]-Table1[[#This Row],[Order_Date]]</f>
        <v>4</v>
      </c>
      <c r="CI221" t="s">
        <v>137</v>
      </c>
      <c r="CJ221" t="str">
        <f>IF(Table1[[#This Row],[Rating]]&gt;=4,"Good","Needs Improvement")</f>
        <v>Needs Improvement</v>
      </c>
      <c r="CK221" t="str">
        <f>IF(OR(Table1[[#This Row],[Rating]]&lt;=2,Table1[[#This Row],[Profit]]&lt;0),"Review","NO")</f>
        <v>Review</v>
      </c>
      <c r="CL221" t="e" cm="1">
        <f t="array" ref="CL221">_xlfn.IFS(Table1[[#This Row],[Rating]]&gt;2,"Poor",Table1[[#This Row],[Rating]]=3,"Average",Table1[[#This Row],[Rating]]=4,"Good",CP221=5,"Excellent")</f>
        <v>#N/A</v>
      </c>
      <c r="CM221">
        <f>COUNT(Table1[[#This Row],[Rating]])</f>
        <v>0</v>
      </c>
      <c r="CN221">
        <f>COUNTBLANK(Table1[[#This Row],[Rating]])</f>
        <v>1</v>
      </c>
      <c r="CP221" t="s">
        <v>266</v>
      </c>
      <c r="CR221" t="s">
        <v>204</v>
      </c>
      <c r="CS221" t="s">
        <v>195</v>
      </c>
      <c r="CU221" s="3">
        <v>8498.2999999999993</v>
      </c>
      <c r="CV221" s="3">
        <f>ROUND(Table1[[#This Row],[Sales_Amount]],0)</f>
        <v>8498</v>
      </c>
      <c r="CW221" s="3"/>
      <c r="CX221" s="3"/>
      <c r="CY221" s="3" t="b">
        <f>IF(AND(Table1[[#This Row],[Sales_Amount]]&gt;=10000,Table1[[#This Row],[Profit]]&gt;0),"Good Order")</f>
        <v>0</v>
      </c>
      <c r="CZ221" s="3" t="str">
        <f>IF(Table1[[#This Row],[Sales_Amount]]&gt;=10000,"High","Normal")</f>
        <v>Normal</v>
      </c>
      <c r="DA221" s="3">
        <v>2298.3000000000002</v>
      </c>
      <c r="DB221" s="3">
        <f>ROUND(Table1[[#This Row],[Profit]],0)</f>
        <v>2298</v>
      </c>
      <c r="DC221" s="3">
        <f>ABS(Table1[[#This Row],[Profit]])</f>
        <v>2298.3000000000002</v>
      </c>
      <c r="DD221" s="3"/>
      <c r="DE221" s="3"/>
      <c r="DF221" s="3"/>
      <c r="DG221" s="3" t="str">
        <f>IF(Table1[[#This Row],[Profit]]&gt;0,"Profit","Loss")</f>
        <v>Profit</v>
      </c>
      <c r="DH221" s="3" t="str">
        <f>IF(AND(Table1[[#This Row],[Sales_Amount]]&gt;=10000,Table1[[#This Row],[Profit]]&gt;0),"Priority","Normal")</f>
        <v>Normal</v>
      </c>
      <c r="DI221" s="3">
        <f t="shared" ca="1" si="23"/>
        <v>0.2343735210852752</v>
      </c>
      <c r="DJ221" s="3">
        <f t="shared" ca="1" si="24"/>
        <v>90</v>
      </c>
      <c r="DK221" s="3"/>
      <c r="DL221" s="3"/>
      <c r="DM221" s="3"/>
      <c r="DN221" s="3"/>
      <c r="DO221" s="3"/>
      <c r="DP221" s="3"/>
    </row>
    <row r="222" spans="1:120">
      <c r="A222" t="s">
        <v>1097</v>
      </c>
      <c r="B222" t="str">
        <f>REPLACE(Table1[[#This Row],[Order_ID]],1,3,"YOO")</f>
        <v>YOO10221</v>
      </c>
      <c r="C222" t="str">
        <f>MID(Table1[[#This Row],[Order_ID]],4,4)</f>
        <v>1022</v>
      </c>
      <c r="D222" t="str">
        <f>LEFT(Table1[[#This Row],[Order_ID]],4)</f>
        <v>ORD1</v>
      </c>
      <c r="E222" t="str">
        <f>RIGHT(Table1[[#This Row],[Order_ID]],5)</f>
        <v>10221</v>
      </c>
      <c r="F222" t="s">
        <v>5</v>
      </c>
      <c r="G222">
        <v>10221</v>
      </c>
      <c r="H222" t="s">
        <v>1098</v>
      </c>
      <c r="I222" s="2">
        <f>EDATE(Table1[[#This Row],[Order_Date]],3)</f>
        <v>46148</v>
      </c>
      <c r="J222" s="2">
        <f>EDATE(Table1[[#This Row],[Order_Date]],6)</f>
        <v>46240</v>
      </c>
      <c r="K222">
        <f ca="1">YEAR(Table1[[#This Row],[Today]])</f>
        <v>2026</v>
      </c>
      <c r="L222">
        <v>221</v>
      </c>
      <c r="M222">
        <f ca="1">DAY(Table1[[#This Row],[Today]])</f>
        <v>11</v>
      </c>
      <c r="N222" s="19">
        <f t="shared" ca="1" si="27"/>
        <v>46245.589795370368</v>
      </c>
      <c r="O222" s="2">
        <f t="shared" ca="1" si="22"/>
        <v>46245</v>
      </c>
      <c r="P222" s="17">
        <f ca="1">Table1[[#This Row],[Today]]-Table1[[#This Row],[Order_Date]]</f>
        <v>186</v>
      </c>
      <c r="Q222" s="2">
        <v>45878</v>
      </c>
      <c r="R222" s="2">
        <v>46059</v>
      </c>
      <c r="S222" s="6">
        <f t="shared" si="25"/>
        <v>2026</v>
      </c>
      <c r="T222" s="7" t="str">
        <f t="shared" si="26"/>
        <v>February</v>
      </c>
      <c r="U222" s="2">
        <f>WORKDAY(Table1[[#This Row],[Order_Date]],5)</f>
        <v>46066</v>
      </c>
      <c r="V222" s="7" t="str">
        <f>CONCATENATE(Table1[[#This Row],[Customer_ID]],Table1[[#This Row],[Customer_Name]])</f>
        <v>C1045Pooja Jain</v>
      </c>
      <c r="W222" t="s">
        <v>428</v>
      </c>
      <c r="X222" t="s">
        <v>419</v>
      </c>
      <c r="Y222">
        <f>COUNTA(Table1[[#This Row],[Customer_Name]])</f>
        <v>1</v>
      </c>
      <c r="Z222" t="str">
        <f>SUBSTITUTE(Table1[[#This Row],[Customer_Name]]," ","_")</f>
        <v>Pooja_Jain</v>
      </c>
      <c r="AA222" s="10">
        <f>IFERROR(SEARCH("a",Table1[[#This Row],[Customer_Name]]),"N/A")</f>
        <v>5</v>
      </c>
      <c r="AB222">
        <f>SEARCH(" ",Table1[[#This Row],[Customer_Name]])</f>
        <v>6</v>
      </c>
      <c r="AC222" s="11">
        <f>IFERROR(FIND("a",Table1[[#This Row],[Customer_Name]]),"N/A")</f>
        <v>5</v>
      </c>
      <c r="AD222">
        <f>FIND(" ",Table1[[#This Row],[Customer_Name]])</f>
        <v>6</v>
      </c>
      <c r="AE222" t="str">
        <f>TRIM(Table1[[#This Row],[Customer_Name]])</f>
        <v>Pooja Jain</v>
      </c>
      <c r="AF222">
        <f>LEN(Table1[[#This Row],[Trimmed]])</f>
        <v>10</v>
      </c>
      <c r="AG222">
        <f>MAX(Table1[Length])</f>
        <v>15</v>
      </c>
      <c r="AH222" t="str">
        <f>PROPER(Table1[[#This Row],[Customer_Name]])</f>
        <v>Pooja Jain</v>
      </c>
      <c r="AI222" t="str">
        <f>LOWER(Table1[[#This Row],[Customer_Name]])</f>
        <v>pooja jain</v>
      </c>
      <c r="AJ222" t="str">
        <f>UPPER(Table1[[#This Row],[Customer_Name]])</f>
        <v>POOJA JAIN</v>
      </c>
      <c r="AK222" t="str">
        <f>CONCATENATE(Table1[[#This Row],[Customer_ID]],Table1[[#This Row],[Customer_Name]])</f>
        <v>C1045Pooja Jain</v>
      </c>
      <c r="AL222" t="s">
        <v>420</v>
      </c>
      <c r="AM222" t="s">
        <v>421</v>
      </c>
      <c r="AN222" t="s">
        <v>422</v>
      </c>
      <c r="AO222" t="s">
        <v>420</v>
      </c>
      <c r="AP222" t="s">
        <v>421</v>
      </c>
      <c r="AQ222" t="s">
        <v>166</v>
      </c>
      <c r="AR222" t="str">
        <f>TRIM(Table1[[#This Row],[City]])</f>
        <v>Bengaluru</v>
      </c>
      <c r="AS222" t="str">
        <f>PROPER(Table1[[#This Row],[City]])</f>
        <v>Bengaluru</v>
      </c>
      <c r="AT222" t="s">
        <v>167</v>
      </c>
      <c r="AU222" t="str">
        <f>CONCATENATE(Table1[[#This Row],[City]],Table1[[#This Row],[State]])</f>
        <v>BengaluruKarnataka</v>
      </c>
      <c r="AV222" t="s">
        <v>168</v>
      </c>
      <c r="AW222" t="s">
        <v>363</v>
      </c>
      <c r="AX222" t="str">
        <f>REPLACE(Table1[[#This Row],[Product_ID]],1,1,"s")</f>
        <v>s110</v>
      </c>
      <c r="AY222" t="s">
        <v>1099</v>
      </c>
      <c r="AZ222">
        <f>SEARCH("-",Table1[[#This Row],[Product ID]])</f>
        <v>2</v>
      </c>
      <c r="BA222">
        <f>FIND("-",Table1[[#This Row],[Product ID]])</f>
        <v>2</v>
      </c>
      <c r="BB222" t="str">
        <f>MID(Table1[[#This Row],[Product_ID]],2,3)</f>
        <v>110</v>
      </c>
      <c r="BC222" t="str">
        <f>RIGHT(Table1[[#This Row],[Product_ID]],3)</f>
        <v>110</v>
      </c>
      <c r="BD222" t="str">
        <f>LEFT(Table1[[#This Row],[Product_ID]],3)</f>
        <v>P11</v>
      </c>
      <c r="BE222" t="str">
        <f>_xlfn.XLOOKUP(Table1[[#This Row],[Product_ID]],AW:AW,BF:BF,,0)</f>
        <v>Smart Watch</v>
      </c>
      <c r="BF222" t="s">
        <v>365</v>
      </c>
      <c r="BG222">
        <f>LEN(Table1[[#This Row],[Product_Name]])</f>
        <v>11</v>
      </c>
      <c r="BH222" t="s">
        <v>154</v>
      </c>
      <c r="BI222">
        <f t="shared" si="28"/>
        <v>75</v>
      </c>
      <c r="BJ222" t="str">
        <f>SUBSTITUTE(Table1[[#This Row],[Category]],"Electronics","ELECTRONICS")</f>
        <v>ELECTRONICS</v>
      </c>
      <c r="BN222" t="s">
        <v>366</v>
      </c>
      <c r="BS222" s="14">
        <v>5</v>
      </c>
      <c r="BT222" s="3">
        <v>4999</v>
      </c>
      <c r="BU222" s="4">
        <v>0</v>
      </c>
      <c r="BV222" s="4" t="str">
        <f>IF(AND(Table1[[#This Row],[Quantity]]&gt;=3,Table1[[#This Row],[Discount_%]]&gt;=15%),"Bulk Discount","no")</f>
        <v>no</v>
      </c>
      <c r="BW222" s="4" t="str">
        <f>IF(AND(Table1[[#This Row],[Quantity]]&gt;3,Table1[[#This Row],[Discount_%]]&gt;15%),"Bulk Customer","Normal")</f>
        <v>Normal</v>
      </c>
      <c r="BX222" t="s">
        <v>135</v>
      </c>
      <c r="BY222" t="s">
        <v>136</v>
      </c>
      <c r="CC222" t="str">
        <f>IF(OR(Table1[[#This Row],[Order_Status]]="Returned",Table1[[#This Row],[Order_Status]]="Cancelled"),"Attention Required","Not")</f>
        <v>Not</v>
      </c>
      <c r="CD222" t="str">
        <f>IF(OR(Table1[[#This Row],[Order_Status]]="Returned",Table1[[#This Row],[Order_Status]]="Cancelled"),"Review","no")</f>
        <v>no</v>
      </c>
      <c r="CE222" t="str">
        <f>SUBSTITUTE(Table1[[#This Row],[Order_Status]],"Delivered","Completed")</f>
        <v>Completed</v>
      </c>
      <c r="CF222" s="2">
        <v>46065</v>
      </c>
      <c r="CG222" s="17">
        <f>NETWORKDAYS(Table1[[#This Row],[Order_Date]],Table1[[#This Row],[Delivery_Date]])</f>
        <v>5</v>
      </c>
      <c r="CH222" s="17">
        <f>Table1[[#This Row],[Delivery_Date]]-Table1[[#This Row],[Order_Date]]</f>
        <v>6</v>
      </c>
      <c r="CI222" t="s">
        <v>137</v>
      </c>
      <c r="CJ222" t="str">
        <f>IF(Table1[[#This Row],[Rating]]&gt;=4,"Good","Needs Improvement")</f>
        <v>Needs Improvement</v>
      </c>
      <c r="CK222" t="str">
        <f>IF(OR(Table1[[#This Row],[Rating]]&lt;=2,Table1[[#This Row],[Profit]]&lt;0),"Review","NO")</f>
        <v>Review</v>
      </c>
      <c r="CL222" t="e" cm="1">
        <f t="array" ref="CL222">_xlfn.IFS(Table1[[#This Row],[Rating]]&gt;2,"Poor",Table1[[#This Row],[Rating]]=3,"Average",Table1[[#This Row],[Rating]]=4,"Good",CP222=5,"Excellent")</f>
        <v>#N/A</v>
      </c>
      <c r="CM222">
        <f>COUNT(Table1[[#This Row],[Rating]])</f>
        <v>0</v>
      </c>
      <c r="CN222">
        <f>COUNTBLANK(Table1[[#This Row],[Rating]])</f>
        <v>1</v>
      </c>
      <c r="CP222" t="s">
        <v>266</v>
      </c>
      <c r="CR222" t="s">
        <v>139</v>
      </c>
      <c r="CS222" t="s">
        <v>213</v>
      </c>
      <c r="CU222" s="3">
        <v>24995</v>
      </c>
      <c r="CV222" s="3">
        <f>ROUND(Table1[[#This Row],[Sales_Amount]],0)</f>
        <v>24995</v>
      </c>
      <c r="CW222" s="3"/>
      <c r="CX222" s="3"/>
      <c r="CY222" s="3" t="str">
        <f>IF(AND(Table1[[#This Row],[Sales_Amount]]&gt;=10000,Table1[[#This Row],[Profit]]&gt;0),"Good Order")</f>
        <v>Good Order</v>
      </c>
      <c r="CZ222" s="3" t="str">
        <f>IF(Table1[[#This Row],[Sales_Amount]]&gt;=10000,"High","Normal")</f>
        <v>High</v>
      </c>
      <c r="DA222" s="3">
        <v>9495</v>
      </c>
      <c r="DB222" s="3">
        <f>ROUND(Table1[[#This Row],[Profit]],0)</f>
        <v>9495</v>
      </c>
      <c r="DC222" s="3">
        <f>ABS(Table1[[#This Row],[Profit]])</f>
        <v>9495</v>
      </c>
      <c r="DD222" s="3"/>
      <c r="DE222" s="3"/>
      <c r="DF222" s="3"/>
      <c r="DG222" s="3" t="str">
        <f>IF(Table1[[#This Row],[Profit]]&gt;0,"Profit","Loss")</f>
        <v>Profit</v>
      </c>
      <c r="DH222" s="3" t="str">
        <f>IF(AND(Table1[[#This Row],[Sales_Amount]]&gt;=10000,Table1[[#This Row],[Profit]]&gt;0),"Priority","Normal")</f>
        <v>Priority</v>
      </c>
      <c r="DI222" s="3">
        <f t="shared" ca="1" si="23"/>
        <v>0.47497631412155605</v>
      </c>
      <c r="DJ222" s="3">
        <f t="shared" ca="1" si="24"/>
        <v>52</v>
      </c>
      <c r="DK222" s="3"/>
      <c r="DL222" s="3"/>
      <c r="DM222" s="3"/>
      <c r="DN222" s="3"/>
      <c r="DO222" s="3"/>
      <c r="DP222" s="3"/>
    </row>
    <row r="223" spans="1:120">
      <c r="A223" t="s">
        <v>1100</v>
      </c>
      <c r="B223" t="str">
        <f>REPLACE(Table1[[#This Row],[Order_ID]],1,3,"YOO")</f>
        <v>YOO10222</v>
      </c>
      <c r="C223" t="str">
        <f>MID(Table1[[#This Row],[Order_ID]],4,4)</f>
        <v>1022</v>
      </c>
      <c r="D223" t="str">
        <f>LEFT(Table1[[#This Row],[Order_ID]],4)</f>
        <v>ORD1</v>
      </c>
      <c r="E223" t="str">
        <f>RIGHT(Table1[[#This Row],[Order_ID]],5)</f>
        <v>10222</v>
      </c>
      <c r="F223" t="s">
        <v>5</v>
      </c>
      <c r="G223">
        <v>10222</v>
      </c>
      <c r="H223" t="s">
        <v>1101</v>
      </c>
      <c r="I223" s="2">
        <f>EDATE(Table1[[#This Row],[Order_Date]],3)</f>
        <v>45870</v>
      </c>
      <c r="J223" s="2">
        <f>EDATE(Table1[[#This Row],[Order_Date]],6)</f>
        <v>45962</v>
      </c>
      <c r="K223">
        <f ca="1">YEAR(Table1[[#This Row],[Today]])</f>
        <v>2026</v>
      </c>
      <c r="L223">
        <v>222</v>
      </c>
      <c r="M223">
        <f ca="1">DAY(Table1[[#This Row],[Today]])</f>
        <v>11</v>
      </c>
      <c r="N223" s="19">
        <f t="shared" ca="1" si="27"/>
        <v>46245.589795370368</v>
      </c>
      <c r="O223" s="2">
        <f t="shared" ca="1" si="22"/>
        <v>46245</v>
      </c>
      <c r="P223" s="17">
        <f ca="1">Table1[[#This Row],[Today]]-Table1[[#This Row],[Order_Date]]</f>
        <v>467</v>
      </c>
      <c r="Q223" s="2">
        <v>45879</v>
      </c>
      <c r="R223" s="2">
        <v>45778</v>
      </c>
      <c r="S223" s="6">
        <f t="shared" si="25"/>
        <v>2025</v>
      </c>
      <c r="T223" s="7" t="str">
        <f t="shared" si="26"/>
        <v>May</v>
      </c>
      <c r="U223" s="2">
        <f>WORKDAY(Table1[[#This Row],[Order_Date]],5)</f>
        <v>45785</v>
      </c>
      <c r="V223" s="7" t="str">
        <f>CONCATENATE(Table1[[#This Row],[Customer_ID]],Table1[[#This Row],[Customer_Name]])</f>
        <v>C1037Aditya Malhotra</v>
      </c>
      <c r="W223" t="s">
        <v>557</v>
      </c>
      <c r="X223" t="s">
        <v>257</v>
      </c>
      <c r="Y223">
        <f>COUNTA(Table1[[#This Row],[Customer_Name]])</f>
        <v>1</v>
      </c>
      <c r="Z223" t="str">
        <f>SUBSTITUTE(Table1[[#This Row],[Customer_Name]]," ","_")</f>
        <v>Aditya_Malhotra</v>
      </c>
      <c r="AA223" s="10">
        <f>IFERROR(SEARCH("a",Table1[[#This Row],[Customer_Name]]),"N/A")</f>
        <v>1</v>
      </c>
      <c r="AB223">
        <f>SEARCH(" ",Table1[[#This Row],[Customer_Name]])</f>
        <v>7</v>
      </c>
      <c r="AC223" s="11">
        <f>IFERROR(FIND("a",Table1[[#This Row],[Customer_Name]]),"N/A")</f>
        <v>6</v>
      </c>
      <c r="AD223">
        <f>FIND(" ",Table1[[#This Row],[Customer_Name]])</f>
        <v>7</v>
      </c>
      <c r="AE223" t="str">
        <f>TRIM(Table1[[#This Row],[Customer_Name]])</f>
        <v>Aditya Malhotra</v>
      </c>
      <c r="AF223">
        <f>LEN(Table1[[#This Row],[Trimmed]])</f>
        <v>15</v>
      </c>
      <c r="AG223">
        <f>MAX(Table1[Length])</f>
        <v>15</v>
      </c>
      <c r="AH223" t="str">
        <f>PROPER(Table1[[#This Row],[Customer_Name]])</f>
        <v>Aditya Malhotra</v>
      </c>
      <c r="AI223" t="str">
        <f>LOWER(Table1[[#This Row],[Customer_Name]])</f>
        <v>aditya malhotra</v>
      </c>
      <c r="AJ223" t="str">
        <f>UPPER(Table1[[#This Row],[Customer_Name]])</f>
        <v>ADITYA MALHOTRA</v>
      </c>
      <c r="AK223" t="str">
        <f>CONCATENATE(Table1[[#This Row],[Customer_ID]],Table1[[#This Row],[Customer_Name]])</f>
        <v>C1037Aditya Malhotra</v>
      </c>
      <c r="AL223" t="s">
        <v>258</v>
      </c>
      <c r="AM223" t="s">
        <v>259</v>
      </c>
      <c r="AN223" t="s">
        <v>260</v>
      </c>
      <c r="AO223" t="s">
        <v>258</v>
      </c>
      <c r="AP223" t="s">
        <v>259</v>
      </c>
      <c r="AQ223" t="s">
        <v>344</v>
      </c>
      <c r="AR223" t="str">
        <f>TRIM(Table1[[#This Row],[City]])</f>
        <v>Bhopal</v>
      </c>
      <c r="AS223" t="str">
        <f>PROPER(Table1[[#This Row],[City]])</f>
        <v>Bhopal</v>
      </c>
      <c r="AT223" t="s">
        <v>345</v>
      </c>
      <c r="AU223" t="str">
        <f>CONCATENATE(Table1[[#This Row],[City]],Table1[[#This Row],[State]])</f>
        <v>BhopalMadhya Pradesh</v>
      </c>
      <c r="AV223" t="s">
        <v>346</v>
      </c>
      <c r="AW223" t="s">
        <v>319</v>
      </c>
      <c r="AX223" t="str">
        <f>REPLACE(Table1[[#This Row],[Product_ID]],1,1,"s")</f>
        <v>s103</v>
      </c>
      <c r="AY223" t="s">
        <v>1102</v>
      </c>
      <c r="AZ223">
        <f>SEARCH("-",Table1[[#This Row],[Product ID]])</f>
        <v>2</v>
      </c>
      <c r="BA223">
        <f>FIND("-",Table1[[#This Row],[Product ID]])</f>
        <v>2</v>
      </c>
      <c r="BB223" t="str">
        <f>MID(Table1[[#This Row],[Product_ID]],2,3)</f>
        <v>103</v>
      </c>
      <c r="BC223" t="str">
        <f>RIGHT(Table1[[#This Row],[Product_ID]],3)</f>
        <v>103</v>
      </c>
      <c r="BD223" t="str">
        <f>LEFT(Table1[[#This Row],[Product_ID]],3)</f>
        <v>P10</v>
      </c>
      <c r="BE223" t="str">
        <f>_xlfn.XLOOKUP(Table1[[#This Row],[Product_ID]],AW:AW,BF:BF,,0)</f>
        <v>Laptop Stand</v>
      </c>
      <c r="BF223" t="s">
        <v>321</v>
      </c>
      <c r="BG223">
        <f>LEN(Table1[[#This Row],[Product_Name]])</f>
        <v>12</v>
      </c>
      <c r="BH223" t="s">
        <v>154</v>
      </c>
      <c r="BI223">
        <f t="shared" si="28"/>
        <v>75</v>
      </c>
      <c r="BJ223" t="str">
        <f>SUBSTITUTE(Table1[[#This Row],[Category]],"Electronics","ELECTRONICS")</f>
        <v>ELECTRONICS</v>
      </c>
      <c r="BN223" t="s">
        <v>155</v>
      </c>
      <c r="BS223" s="14">
        <v>2</v>
      </c>
      <c r="BT223" s="3">
        <v>1599</v>
      </c>
      <c r="BU223" s="4">
        <v>10</v>
      </c>
      <c r="BV223" s="4" t="str">
        <f>IF(AND(Table1[[#This Row],[Quantity]]&gt;=3,Table1[[#This Row],[Discount_%]]&gt;=15%),"Bulk Discount","no")</f>
        <v>no</v>
      </c>
      <c r="BW223" s="4" t="str">
        <f>IF(AND(Table1[[#This Row],[Quantity]]&gt;3,Table1[[#This Row],[Discount_%]]&gt;15%),"Bulk Customer","Normal")</f>
        <v>Normal</v>
      </c>
      <c r="BX223" t="s">
        <v>330</v>
      </c>
      <c r="BY223" t="s">
        <v>136</v>
      </c>
      <c r="CC223" t="str">
        <f>IF(OR(Table1[[#This Row],[Order_Status]]="Returned",Table1[[#This Row],[Order_Status]]="Cancelled"),"Attention Required","Not")</f>
        <v>Not</v>
      </c>
      <c r="CD223" t="str">
        <f>IF(OR(Table1[[#This Row],[Order_Status]]="Returned",Table1[[#This Row],[Order_Status]]="Cancelled"),"Review","no")</f>
        <v>no</v>
      </c>
      <c r="CE223" t="str">
        <f>SUBSTITUTE(Table1[[#This Row],[Order_Status]],"Delivered","Completed")</f>
        <v>Completed</v>
      </c>
      <c r="CF223" s="2">
        <v>45781</v>
      </c>
      <c r="CG223" s="17">
        <f>NETWORKDAYS(Table1[[#This Row],[Order_Date]],Table1[[#This Row],[Delivery_Date]])</f>
        <v>2</v>
      </c>
      <c r="CH223" s="17">
        <f>Table1[[#This Row],[Delivery_Date]]-Table1[[#This Row],[Order_Date]]</f>
        <v>3</v>
      </c>
      <c r="CI223" t="s">
        <v>137</v>
      </c>
      <c r="CJ223" t="str">
        <f>IF(Table1[[#This Row],[Rating]]&gt;=4,"Good","Needs Improvement")</f>
        <v>Good</v>
      </c>
      <c r="CK223" t="str">
        <f>IF(OR(Table1[[#This Row],[Rating]]&lt;=2,Table1[[#This Row],[Profit]]&lt;0),"Review","NO")</f>
        <v>NO</v>
      </c>
      <c r="CL223" t="str" cm="1">
        <f t="array" ref="CL223">_xlfn.IFS(Table1[[#This Row],[Rating]]&gt;2,"Poor",Table1[[#This Row],[Rating]]=3,"Average",Table1[[#This Row],[Rating]]=4,"Good",CP223=5,"Excellent")</f>
        <v>Poor</v>
      </c>
      <c r="CM223">
        <f>COUNT(Table1[[#This Row],[Rating]])</f>
        <v>1</v>
      </c>
      <c r="CN223">
        <f>COUNTBLANK(Table1[[#This Row],[Rating]])</f>
        <v>0</v>
      </c>
      <c r="CP223" t="s">
        <v>138</v>
      </c>
      <c r="CQ223" s="14">
        <v>5</v>
      </c>
      <c r="CR223" t="s">
        <v>204</v>
      </c>
      <c r="CS223" t="s">
        <v>158</v>
      </c>
      <c r="CU223" s="3">
        <v>2878.2</v>
      </c>
      <c r="CV223" s="3">
        <f>ROUND(Table1[[#This Row],[Sales_Amount]],0)</f>
        <v>2878</v>
      </c>
      <c r="CW223" s="3"/>
      <c r="CX223" s="3"/>
      <c r="CY223" s="3" t="b">
        <f>IF(AND(Table1[[#This Row],[Sales_Amount]]&gt;=10000,Table1[[#This Row],[Profit]]&gt;0),"Good Order")</f>
        <v>0</v>
      </c>
      <c r="CZ223" s="3" t="str">
        <f>IF(Table1[[#This Row],[Sales_Amount]]&gt;=10000,"High","Normal")</f>
        <v>Normal</v>
      </c>
      <c r="DA223" s="3">
        <v>1078.2</v>
      </c>
      <c r="DB223" s="3">
        <f>ROUND(Table1[[#This Row],[Profit]],0)</f>
        <v>1078</v>
      </c>
      <c r="DC223" s="3">
        <f>ABS(Table1[[#This Row],[Profit]])</f>
        <v>1078.2</v>
      </c>
      <c r="DD223" s="3"/>
      <c r="DE223" s="3"/>
      <c r="DF223" s="3"/>
      <c r="DG223" s="3" t="str">
        <f>IF(Table1[[#This Row],[Profit]]&gt;0,"Profit","Loss")</f>
        <v>Profit</v>
      </c>
      <c r="DH223" s="3" t="str">
        <f>IF(AND(Table1[[#This Row],[Sales_Amount]]&gt;=10000,Table1[[#This Row],[Profit]]&gt;0),"Priority","Normal")</f>
        <v>Normal</v>
      </c>
      <c r="DI223" s="3">
        <f t="shared" ca="1" si="23"/>
        <v>0.36572023686129174</v>
      </c>
      <c r="DJ223" s="3">
        <f t="shared" ca="1" si="24"/>
        <v>12</v>
      </c>
      <c r="DK223" s="3"/>
      <c r="DL223" s="3"/>
      <c r="DM223" s="3"/>
      <c r="DN223" s="3"/>
      <c r="DO223" s="3"/>
      <c r="DP223" s="3"/>
    </row>
    <row r="224" spans="1:120">
      <c r="A224" t="s">
        <v>1103</v>
      </c>
      <c r="B224" t="str">
        <f>REPLACE(Table1[[#This Row],[Order_ID]],1,3,"YOO")</f>
        <v>YOO10223</v>
      </c>
      <c r="C224" t="str">
        <f>MID(Table1[[#This Row],[Order_ID]],4,4)</f>
        <v>1022</v>
      </c>
      <c r="D224" t="str">
        <f>LEFT(Table1[[#This Row],[Order_ID]],4)</f>
        <v>ORD1</v>
      </c>
      <c r="E224" t="str">
        <f>RIGHT(Table1[[#This Row],[Order_ID]],5)</f>
        <v>10223</v>
      </c>
      <c r="F224" t="s">
        <v>5</v>
      </c>
      <c r="G224">
        <v>10223</v>
      </c>
      <c r="H224" t="s">
        <v>1104</v>
      </c>
      <c r="I224" s="2">
        <f>EDATE(Table1[[#This Row],[Order_Date]],3)</f>
        <v>46183</v>
      </c>
      <c r="J224" s="2">
        <f>EDATE(Table1[[#This Row],[Order_Date]],6)</f>
        <v>46275</v>
      </c>
      <c r="K224">
        <f ca="1">YEAR(Table1[[#This Row],[Today]])</f>
        <v>2026</v>
      </c>
      <c r="L224">
        <v>223</v>
      </c>
      <c r="M224">
        <f ca="1">DAY(Table1[[#This Row],[Today]])</f>
        <v>11</v>
      </c>
      <c r="N224" s="19">
        <f t="shared" ca="1" si="27"/>
        <v>46245.589795138891</v>
      </c>
      <c r="O224" s="2">
        <f t="shared" ca="1" si="22"/>
        <v>46245</v>
      </c>
      <c r="P224" s="17">
        <f ca="1">Table1[[#This Row],[Today]]-Table1[[#This Row],[Order_Date]]</f>
        <v>154</v>
      </c>
      <c r="Q224" s="2">
        <v>45880</v>
      </c>
      <c r="R224" s="2">
        <v>46091</v>
      </c>
      <c r="S224" s="6">
        <f t="shared" si="25"/>
        <v>2026</v>
      </c>
      <c r="T224" s="7" t="str">
        <f t="shared" si="26"/>
        <v>March</v>
      </c>
      <c r="U224" s="2">
        <f>WORKDAY(Table1[[#This Row],[Order_Date]],5)</f>
        <v>46098</v>
      </c>
      <c r="V224" s="7" t="str">
        <f>CONCATENATE(Table1[[#This Row],[Customer_ID]],Table1[[#This Row],[Customer_Name]])</f>
        <v>C1126Pooja Jain</v>
      </c>
      <c r="W224" t="s">
        <v>568</v>
      </c>
      <c r="X224" t="s">
        <v>419</v>
      </c>
      <c r="Y224">
        <f>COUNTA(Table1[[#This Row],[Customer_Name]])</f>
        <v>1</v>
      </c>
      <c r="Z224" t="str">
        <f>SUBSTITUTE(Table1[[#This Row],[Customer_Name]]," ","_")</f>
        <v>Pooja_Jain</v>
      </c>
      <c r="AA224" s="10">
        <f>IFERROR(SEARCH("a",Table1[[#This Row],[Customer_Name]]),"N/A")</f>
        <v>5</v>
      </c>
      <c r="AB224">
        <f>SEARCH(" ",Table1[[#This Row],[Customer_Name]])</f>
        <v>6</v>
      </c>
      <c r="AC224" s="11">
        <f>IFERROR(FIND("a",Table1[[#This Row],[Customer_Name]]),"N/A")</f>
        <v>5</v>
      </c>
      <c r="AD224">
        <f>FIND(" ",Table1[[#This Row],[Customer_Name]])</f>
        <v>6</v>
      </c>
      <c r="AE224" t="str">
        <f>TRIM(Table1[[#This Row],[Customer_Name]])</f>
        <v>Pooja Jain</v>
      </c>
      <c r="AF224">
        <f>LEN(Table1[[#This Row],[Trimmed]])</f>
        <v>10</v>
      </c>
      <c r="AG224">
        <f>MAX(Table1[Length])</f>
        <v>15</v>
      </c>
      <c r="AH224" t="str">
        <f>PROPER(Table1[[#This Row],[Customer_Name]])</f>
        <v>Pooja Jain</v>
      </c>
      <c r="AI224" t="str">
        <f>LOWER(Table1[[#This Row],[Customer_Name]])</f>
        <v>pooja jain</v>
      </c>
      <c r="AJ224" t="str">
        <f>UPPER(Table1[[#This Row],[Customer_Name]])</f>
        <v>POOJA JAIN</v>
      </c>
      <c r="AK224" t="str">
        <f>CONCATENATE(Table1[[#This Row],[Customer_ID]],Table1[[#This Row],[Customer_Name]])</f>
        <v>C1126Pooja Jain</v>
      </c>
      <c r="AL224" t="s">
        <v>420</v>
      </c>
      <c r="AM224" t="s">
        <v>421</v>
      </c>
      <c r="AN224" t="s">
        <v>422</v>
      </c>
      <c r="AO224" t="s">
        <v>420</v>
      </c>
      <c r="AP224" t="s">
        <v>421</v>
      </c>
      <c r="AQ224" t="s">
        <v>166</v>
      </c>
      <c r="AR224" t="str">
        <f>TRIM(Table1[[#This Row],[City]])</f>
        <v>Bengaluru</v>
      </c>
      <c r="AS224" t="str">
        <f>PROPER(Table1[[#This Row],[City]])</f>
        <v>Bengaluru</v>
      </c>
      <c r="AT224" t="s">
        <v>167</v>
      </c>
      <c r="AU224" t="str">
        <f>CONCATENATE(Table1[[#This Row],[City]],Table1[[#This Row],[State]])</f>
        <v>BengaluruKarnataka</v>
      </c>
      <c r="AV224" t="s">
        <v>168</v>
      </c>
      <c r="AW224" t="s">
        <v>363</v>
      </c>
      <c r="AX224" t="str">
        <f>REPLACE(Table1[[#This Row],[Product_ID]],1,1,"s")</f>
        <v>s110</v>
      </c>
      <c r="AY224" t="s">
        <v>1105</v>
      </c>
      <c r="AZ224">
        <f>SEARCH("-",Table1[[#This Row],[Product ID]])</f>
        <v>2</v>
      </c>
      <c r="BA224">
        <f>FIND("-",Table1[[#This Row],[Product ID]])</f>
        <v>2</v>
      </c>
      <c r="BB224" t="str">
        <f>MID(Table1[[#This Row],[Product_ID]],2,3)</f>
        <v>110</v>
      </c>
      <c r="BC224" t="str">
        <f>RIGHT(Table1[[#This Row],[Product_ID]],3)</f>
        <v>110</v>
      </c>
      <c r="BD224" t="str">
        <f>LEFT(Table1[[#This Row],[Product_ID]],3)</f>
        <v>P11</v>
      </c>
      <c r="BE224" t="str">
        <f>_xlfn.XLOOKUP(Table1[[#This Row],[Product_ID]],AW:AW,BF:BF,,0)</f>
        <v>Smart Watch</v>
      </c>
      <c r="BF224" t="s">
        <v>365</v>
      </c>
      <c r="BG224">
        <f>LEN(Table1[[#This Row],[Product_Name]])</f>
        <v>11</v>
      </c>
      <c r="BH224" t="s">
        <v>154</v>
      </c>
      <c r="BI224">
        <f t="shared" si="28"/>
        <v>75</v>
      </c>
      <c r="BJ224" t="str">
        <f>SUBSTITUTE(Table1[[#This Row],[Category]],"Electronics","ELECTRONICS")</f>
        <v>ELECTRONICS</v>
      </c>
      <c r="BN224" t="s">
        <v>366</v>
      </c>
      <c r="BS224" s="14">
        <v>2</v>
      </c>
      <c r="BT224" s="3">
        <v>4999</v>
      </c>
      <c r="BU224" s="4">
        <v>25</v>
      </c>
      <c r="BV224" s="4" t="str">
        <f>IF(AND(Table1[[#This Row],[Quantity]]&gt;=3,Table1[[#This Row],[Discount_%]]&gt;=15%),"Bulk Discount","no")</f>
        <v>no</v>
      </c>
      <c r="BW224" s="4" t="str">
        <f>IF(AND(Table1[[#This Row],[Quantity]]&gt;3,Table1[[#This Row],[Discount_%]]&gt;15%),"Bulk Customer","Normal")</f>
        <v>Normal</v>
      </c>
      <c r="BX224" t="s">
        <v>187</v>
      </c>
      <c r="BY224" t="s">
        <v>374</v>
      </c>
      <c r="CC224" t="str">
        <f>IF(OR(Table1[[#This Row],[Order_Status]]="Returned",Table1[[#This Row],[Order_Status]]="Cancelled"),"Attention Required","Not")</f>
        <v>Attention Required</v>
      </c>
      <c r="CD224" t="str">
        <f>IF(OR(Table1[[#This Row],[Order_Status]]="Returned",Table1[[#This Row],[Order_Status]]="Cancelled"),"Review","no")</f>
        <v>Review</v>
      </c>
      <c r="CE224" t="str">
        <f>SUBSTITUTE(Table1[[#This Row],[Order_Status]],"Delivered","Completed")</f>
        <v>Returned</v>
      </c>
      <c r="CF224" s="2">
        <v>46094</v>
      </c>
      <c r="CG224" s="17">
        <f>NETWORKDAYS(Table1[[#This Row],[Order_Date]],Table1[[#This Row],[Delivery_Date]])</f>
        <v>4</v>
      </c>
      <c r="CH224" s="17">
        <f>Table1[[#This Row],[Delivery_Date]]-Table1[[#This Row],[Order_Date]]</f>
        <v>3</v>
      </c>
      <c r="CI224" t="s">
        <v>375</v>
      </c>
      <c r="CJ224" t="str">
        <f>IF(Table1[[#This Row],[Rating]]&gt;=4,"Good","Needs Improvement")</f>
        <v>Needs Improvement</v>
      </c>
      <c r="CK224" t="str">
        <f>IF(OR(Table1[[#This Row],[Rating]]&lt;=2,Table1[[#This Row],[Profit]]&lt;0),"Review","NO")</f>
        <v>NO</v>
      </c>
      <c r="CL224" t="str" cm="1">
        <f t="array" ref="CL224">_xlfn.IFS(Table1[[#This Row],[Rating]]&gt;2,"Poor",Table1[[#This Row],[Rating]]=3,"Average",Table1[[#This Row],[Rating]]=4,"Good",CP224=5,"Excellent")</f>
        <v>Poor</v>
      </c>
      <c r="CM224">
        <f>COUNT(Table1[[#This Row],[Rating]])</f>
        <v>1</v>
      </c>
      <c r="CN224">
        <f>COUNTBLANK(Table1[[#This Row],[Rating]])</f>
        <v>0</v>
      </c>
      <c r="CP224" t="s">
        <v>194</v>
      </c>
      <c r="CQ224" s="14">
        <v>3</v>
      </c>
      <c r="CR224" t="s">
        <v>173</v>
      </c>
      <c r="CS224" t="s">
        <v>267</v>
      </c>
      <c r="CU224" s="3">
        <v>7498.5</v>
      </c>
      <c r="CV224" s="3">
        <f>ROUND(Table1[[#This Row],[Sales_Amount]],0)</f>
        <v>7499</v>
      </c>
      <c r="CW224" s="3"/>
      <c r="CX224" s="3"/>
      <c r="CY224" s="3" t="b">
        <f>IF(AND(Table1[[#This Row],[Sales_Amount]]&gt;=10000,Table1[[#This Row],[Profit]]&gt;0),"Good Order")</f>
        <v>0</v>
      </c>
      <c r="CZ224" s="3" t="str">
        <f>IF(Table1[[#This Row],[Sales_Amount]]&gt;=10000,"High","Normal")</f>
        <v>Normal</v>
      </c>
      <c r="DA224" s="3">
        <v>1298.5</v>
      </c>
      <c r="DB224" s="3">
        <f>ROUND(Table1[[#This Row],[Profit]],0)</f>
        <v>1299</v>
      </c>
      <c r="DC224" s="3">
        <f>ABS(Table1[[#This Row],[Profit]])</f>
        <v>1298.5</v>
      </c>
      <c r="DD224" s="3"/>
      <c r="DE224" s="3"/>
      <c r="DF224" s="3"/>
      <c r="DG224" s="3" t="str">
        <f>IF(Table1[[#This Row],[Profit]]&gt;0,"Profit","Loss")</f>
        <v>Profit</v>
      </c>
      <c r="DH224" s="3" t="str">
        <f>IF(AND(Table1[[#This Row],[Sales_Amount]]&gt;=10000,Table1[[#This Row],[Profit]]&gt;0),"Priority","Normal")</f>
        <v>Normal</v>
      </c>
      <c r="DI224" s="3">
        <f t="shared" ca="1" si="23"/>
        <v>6.929743804974775E-2</v>
      </c>
      <c r="DJ224" s="3">
        <f t="shared" ca="1" si="24"/>
        <v>2</v>
      </c>
      <c r="DK224" s="3"/>
      <c r="DL224" s="3"/>
      <c r="DM224" s="3"/>
      <c r="DN224" s="3"/>
      <c r="DO224" s="3"/>
      <c r="DP224" s="3"/>
    </row>
    <row r="225" spans="1:120">
      <c r="A225" t="s">
        <v>1106</v>
      </c>
      <c r="B225" t="str">
        <f>REPLACE(Table1[[#This Row],[Order_ID]],1,3,"YOO")</f>
        <v>YOO10224</v>
      </c>
      <c r="C225" t="str">
        <f>MID(Table1[[#This Row],[Order_ID]],4,4)</f>
        <v>1022</v>
      </c>
      <c r="D225" t="str">
        <f>LEFT(Table1[[#This Row],[Order_ID]],4)</f>
        <v>ORD1</v>
      </c>
      <c r="E225" t="str">
        <f>RIGHT(Table1[[#This Row],[Order_ID]],5)</f>
        <v>10224</v>
      </c>
      <c r="F225" t="s">
        <v>5</v>
      </c>
      <c r="G225">
        <v>10224</v>
      </c>
      <c r="H225" t="s">
        <v>1107</v>
      </c>
      <c r="I225" s="2">
        <f>EDATE(Table1[[#This Row],[Order_Date]],3)</f>
        <v>46115</v>
      </c>
      <c r="J225" s="2">
        <f>EDATE(Table1[[#This Row],[Order_Date]],6)</f>
        <v>46206</v>
      </c>
      <c r="K225">
        <f ca="1">YEAR(Table1[[#This Row],[Today]])</f>
        <v>2026</v>
      </c>
      <c r="L225">
        <v>224</v>
      </c>
      <c r="M225">
        <f ca="1">DAY(Table1[[#This Row],[Today]])</f>
        <v>11</v>
      </c>
      <c r="N225" s="19">
        <f t="shared" ca="1" si="27"/>
        <v>46245.589795370368</v>
      </c>
      <c r="O225" s="2">
        <f t="shared" ca="1" si="22"/>
        <v>46245</v>
      </c>
      <c r="P225" s="17">
        <f ca="1">Table1[[#This Row],[Today]]-Table1[[#This Row],[Order_Date]]</f>
        <v>220</v>
      </c>
      <c r="Q225" s="2">
        <v>45881</v>
      </c>
      <c r="R225" s="2">
        <v>46025</v>
      </c>
      <c r="S225" s="6">
        <f t="shared" si="25"/>
        <v>2026</v>
      </c>
      <c r="T225" s="7" t="str">
        <f t="shared" si="26"/>
        <v>January</v>
      </c>
      <c r="U225" s="2">
        <f>WORKDAY(Table1[[#This Row],[Order_Date]],5)</f>
        <v>46031</v>
      </c>
      <c r="V225" s="7" t="str">
        <f>CONCATENATE(Table1[[#This Row],[Customer_ID]],Table1[[#This Row],[Customer_Name]])</f>
        <v>C1144Aditya Malhotra</v>
      </c>
      <c r="W225" t="s">
        <v>1049</v>
      </c>
      <c r="X225" t="s">
        <v>257</v>
      </c>
      <c r="Y225">
        <f>COUNTA(Table1[[#This Row],[Customer_Name]])</f>
        <v>1</v>
      </c>
      <c r="Z225" t="str">
        <f>SUBSTITUTE(Table1[[#This Row],[Customer_Name]]," ","_")</f>
        <v>Aditya_Malhotra</v>
      </c>
      <c r="AA225" s="10">
        <f>IFERROR(SEARCH("a",Table1[[#This Row],[Customer_Name]]),"N/A")</f>
        <v>1</v>
      </c>
      <c r="AB225">
        <f>SEARCH(" ",Table1[[#This Row],[Customer_Name]])</f>
        <v>7</v>
      </c>
      <c r="AC225" s="11">
        <f>IFERROR(FIND("a",Table1[[#This Row],[Customer_Name]]),"N/A")</f>
        <v>6</v>
      </c>
      <c r="AD225">
        <f>FIND(" ",Table1[[#This Row],[Customer_Name]])</f>
        <v>7</v>
      </c>
      <c r="AE225" t="str">
        <f>TRIM(Table1[[#This Row],[Customer_Name]])</f>
        <v>Aditya Malhotra</v>
      </c>
      <c r="AF225">
        <f>LEN(Table1[[#This Row],[Trimmed]])</f>
        <v>15</v>
      </c>
      <c r="AG225">
        <f>MAX(Table1[Length])</f>
        <v>15</v>
      </c>
      <c r="AH225" t="str">
        <f>PROPER(Table1[[#This Row],[Customer_Name]])</f>
        <v>Aditya Malhotra</v>
      </c>
      <c r="AI225" t="str">
        <f>LOWER(Table1[[#This Row],[Customer_Name]])</f>
        <v>aditya malhotra</v>
      </c>
      <c r="AJ225" t="str">
        <f>UPPER(Table1[[#This Row],[Customer_Name]])</f>
        <v>ADITYA MALHOTRA</v>
      </c>
      <c r="AK225" t="str">
        <f>CONCATENATE(Table1[[#This Row],[Customer_ID]],Table1[[#This Row],[Customer_Name]])</f>
        <v>C1144Aditya Malhotra</v>
      </c>
      <c r="AL225" t="s">
        <v>258</v>
      </c>
      <c r="AM225" t="s">
        <v>259</v>
      </c>
      <c r="AN225" t="s">
        <v>260</v>
      </c>
      <c r="AO225" t="s">
        <v>258</v>
      </c>
      <c r="AP225" t="s">
        <v>259</v>
      </c>
      <c r="AQ225" t="s">
        <v>182</v>
      </c>
      <c r="AR225" t="str">
        <f>TRIM(Table1[[#This Row],[City]])</f>
        <v>Mumbai</v>
      </c>
      <c r="AS225" t="str">
        <f>PROPER(Table1[[#This Row],[City]])</f>
        <v>Mumbai</v>
      </c>
      <c r="AT225" t="s">
        <v>128</v>
      </c>
      <c r="AU225" t="str">
        <f>CONCATENATE(Table1[[#This Row],[City]],Table1[[#This Row],[State]])</f>
        <v>MumbaiMaharashtra</v>
      </c>
      <c r="AV225" t="s">
        <v>129</v>
      </c>
      <c r="AW225" t="s">
        <v>363</v>
      </c>
      <c r="AX225" t="str">
        <f>REPLACE(Table1[[#This Row],[Product_ID]],1,1,"s")</f>
        <v>s110</v>
      </c>
      <c r="AY225" t="s">
        <v>1108</v>
      </c>
      <c r="AZ225">
        <f>SEARCH("-",Table1[[#This Row],[Product ID]])</f>
        <v>2</v>
      </c>
      <c r="BA225">
        <f>FIND("-",Table1[[#This Row],[Product ID]])</f>
        <v>2</v>
      </c>
      <c r="BB225" t="str">
        <f>MID(Table1[[#This Row],[Product_ID]],2,3)</f>
        <v>110</v>
      </c>
      <c r="BC225" t="str">
        <f>RIGHT(Table1[[#This Row],[Product_ID]],3)</f>
        <v>110</v>
      </c>
      <c r="BD225" t="str">
        <f>LEFT(Table1[[#This Row],[Product_ID]],3)</f>
        <v>P11</v>
      </c>
      <c r="BE225" t="str">
        <f>_xlfn.XLOOKUP(Table1[[#This Row],[Product_ID]],AW:AW,BF:BF,,0)</f>
        <v>Smart Watch</v>
      </c>
      <c r="BF225" t="s">
        <v>365</v>
      </c>
      <c r="BG225">
        <f>LEN(Table1[[#This Row],[Product_Name]])</f>
        <v>11</v>
      </c>
      <c r="BH225" t="s">
        <v>154</v>
      </c>
      <c r="BI225">
        <f t="shared" si="28"/>
        <v>75</v>
      </c>
      <c r="BJ225" t="str">
        <f>SUBSTITUTE(Table1[[#This Row],[Category]],"Electronics","ELECTRONICS")</f>
        <v>ELECTRONICS</v>
      </c>
      <c r="BN225" t="s">
        <v>366</v>
      </c>
      <c r="BS225" s="14">
        <v>1</v>
      </c>
      <c r="BT225" s="3">
        <v>4999</v>
      </c>
      <c r="BU225" s="4">
        <v>25</v>
      </c>
      <c r="BV225" s="4" t="str">
        <f>IF(AND(Table1[[#This Row],[Quantity]]&gt;=3,Table1[[#This Row],[Discount_%]]&gt;=15%),"Bulk Discount","no")</f>
        <v>no</v>
      </c>
      <c r="BW225" s="4" t="str">
        <f>IF(AND(Table1[[#This Row],[Quantity]]&gt;3,Table1[[#This Row],[Discount_%]]&gt;15%),"Bulk Customer","Normal")</f>
        <v>Normal</v>
      </c>
      <c r="BX225" t="s">
        <v>330</v>
      </c>
      <c r="BY225" t="s">
        <v>136</v>
      </c>
      <c r="CC225" t="str">
        <f>IF(OR(Table1[[#This Row],[Order_Status]]="Returned",Table1[[#This Row],[Order_Status]]="Cancelled"),"Attention Required","Not")</f>
        <v>Not</v>
      </c>
      <c r="CD225" t="str">
        <f>IF(OR(Table1[[#This Row],[Order_Status]]="Returned",Table1[[#This Row],[Order_Status]]="Cancelled"),"Review","no")</f>
        <v>no</v>
      </c>
      <c r="CE225" t="str">
        <f>SUBSTITUTE(Table1[[#This Row],[Order_Status]],"Delivered","Completed")</f>
        <v>Completed</v>
      </c>
      <c r="CF225" s="2">
        <v>46029</v>
      </c>
      <c r="CG225" s="17">
        <f>NETWORKDAYS(Table1[[#This Row],[Order_Date]],Table1[[#This Row],[Delivery_Date]])</f>
        <v>3</v>
      </c>
      <c r="CH225" s="17">
        <f>Table1[[#This Row],[Delivery_Date]]-Table1[[#This Row],[Order_Date]]</f>
        <v>4</v>
      </c>
      <c r="CI225" t="s">
        <v>137</v>
      </c>
      <c r="CJ225" t="str">
        <f>IF(Table1[[#This Row],[Rating]]&gt;=4,"Good","Needs Improvement")</f>
        <v>Good</v>
      </c>
      <c r="CK225" t="str">
        <f>IF(OR(Table1[[#This Row],[Rating]]&lt;=2,Table1[[#This Row],[Profit]]&lt;0),"Review","NO")</f>
        <v>NO</v>
      </c>
      <c r="CL225" t="str" cm="1">
        <f t="array" ref="CL225">_xlfn.IFS(Table1[[#This Row],[Rating]]&gt;2,"Poor",Table1[[#This Row],[Rating]]=3,"Average",Table1[[#This Row],[Rating]]=4,"Good",CP225=5,"Excellent")</f>
        <v>Poor</v>
      </c>
      <c r="CM225">
        <f>COUNT(Table1[[#This Row],[Rating]])</f>
        <v>1</v>
      </c>
      <c r="CN225">
        <f>COUNTBLANK(Table1[[#This Row],[Rating]])</f>
        <v>0</v>
      </c>
      <c r="CP225" t="s">
        <v>138</v>
      </c>
      <c r="CQ225" s="14">
        <v>5</v>
      </c>
      <c r="CR225" t="s">
        <v>204</v>
      </c>
      <c r="CS225" t="s">
        <v>267</v>
      </c>
      <c r="CU225" s="3">
        <v>3749.25</v>
      </c>
      <c r="CV225" s="3">
        <f>ROUND(Table1[[#This Row],[Sales_Amount]],0)</f>
        <v>3749</v>
      </c>
      <c r="CW225" s="3"/>
      <c r="CX225" s="3"/>
      <c r="CY225" s="3" t="b">
        <f>IF(AND(Table1[[#This Row],[Sales_Amount]]&gt;=10000,Table1[[#This Row],[Profit]]&gt;0),"Good Order")</f>
        <v>0</v>
      </c>
      <c r="CZ225" s="3" t="str">
        <f>IF(Table1[[#This Row],[Sales_Amount]]&gt;=10000,"High","Normal")</f>
        <v>Normal</v>
      </c>
      <c r="DA225" s="3">
        <v>649.25</v>
      </c>
      <c r="DB225" s="3">
        <f>ROUND(Table1[[#This Row],[Profit]],0)</f>
        <v>649</v>
      </c>
      <c r="DC225" s="3">
        <f>ABS(Table1[[#This Row],[Profit]])</f>
        <v>649.25</v>
      </c>
      <c r="DD225" s="3"/>
      <c r="DE225" s="3"/>
      <c r="DF225" s="3"/>
      <c r="DG225" s="3" t="str">
        <f>IF(Table1[[#This Row],[Profit]]&gt;0,"Profit","Loss")</f>
        <v>Profit</v>
      </c>
      <c r="DH225" s="3" t="str">
        <f>IF(AND(Table1[[#This Row],[Sales_Amount]]&gt;=10000,Table1[[#This Row],[Profit]]&gt;0),"Priority","Normal")</f>
        <v>Normal</v>
      </c>
      <c r="DI225" s="3">
        <f t="shared" ca="1" si="23"/>
        <v>0.72493138191262319</v>
      </c>
      <c r="DJ225" s="3">
        <f t="shared" ca="1" si="24"/>
        <v>57</v>
      </c>
      <c r="DK225" s="3"/>
      <c r="DL225" s="3"/>
      <c r="DM225" s="3"/>
      <c r="DN225" s="3"/>
      <c r="DO225" s="3"/>
      <c r="DP225" s="3"/>
    </row>
    <row r="226" spans="1:120">
      <c r="A226" t="s">
        <v>1109</v>
      </c>
      <c r="B226" t="str">
        <f>REPLACE(Table1[[#This Row],[Order_ID]],1,3,"YOO")</f>
        <v>YOO10225</v>
      </c>
      <c r="C226" t="str">
        <f>MID(Table1[[#This Row],[Order_ID]],4,4)</f>
        <v>1022</v>
      </c>
      <c r="D226" t="str">
        <f>LEFT(Table1[[#This Row],[Order_ID]],4)</f>
        <v>ORD1</v>
      </c>
      <c r="E226" t="str">
        <f>RIGHT(Table1[[#This Row],[Order_ID]],5)</f>
        <v>10225</v>
      </c>
      <c r="F226" t="s">
        <v>5</v>
      </c>
      <c r="G226">
        <v>10225</v>
      </c>
      <c r="H226" t="s">
        <v>1110</v>
      </c>
      <c r="I226" s="2">
        <f>EDATE(Table1[[#This Row],[Order_Date]],3)</f>
        <v>46203</v>
      </c>
      <c r="J226" s="2">
        <f>EDATE(Table1[[#This Row],[Order_Date]],6)</f>
        <v>46295</v>
      </c>
      <c r="K226">
        <f ca="1">YEAR(Table1[[#This Row],[Today]])</f>
        <v>2026</v>
      </c>
      <c r="L226">
        <v>225</v>
      </c>
      <c r="M226">
        <f ca="1">DAY(Table1[[#This Row],[Today]])</f>
        <v>11</v>
      </c>
      <c r="N226" s="19">
        <f t="shared" ca="1" si="27"/>
        <v>46245.589795370368</v>
      </c>
      <c r="O226" s="2">
        <f t="shared" ca="1" si="22"/>
        <v>46245</v>
      </c>
      <c r="P226" s="17">
        <f ca="1">Table1[[#This Row],[Today]]-Table1[[#This Row],[Order_Date]]</f>
        <v>133</v>
      </c>
      <c r="Q226" s="2">
        <v>45882</v>
      </c>
      <c r="R226" s="2">
        <v>46112</v>
      </c>
      <c r="S226" s="6">
        <f t="shared" si="25"/>
        <v>2026</v>
      </c>
      <c r="T226" s="7" t="str">
        <f t="shared" si="26"/>
        <v>March</v>
      </c>
      <c r="U226" s="2">
        <f>WORKDAY(Table1[[#This Row],[Order_Date]],5)</f>
        <v>46119</v>
      </c>
      <c r="V226" s="7" t="str">
        <f>CONCATENATE(Table1[[#This Row],[Customer_ID]],Table1[[#This Row],[Customer_Name]])</f>
        <v>C1075Priya Verma</v>
      </c>
      <c r="W226" t="s">
        <v>1111</v>
      </c>
      <c r="X226" t="s">
        <v>335</v>
      </c>
      <c r="Y226">
        <f>COUNTA(Table1[[#This Row],[Customer_Name]])</f>
        <v>1</v>
      </c>
      <c r="Z226" t="str">
        <f>SUBSTITUTE(Table1[[#This Row],[Customer_Name]]," ","_")</f>
        <v>Priya_Verma</v>
      </c>
      <c r="AA226" s="10">
        <f>IFERROR(SEARCH("a",Table1[[#This Row],[Customer_Name]]),"N/A")</f>
        <v>5</v>
      </c>
      <c r="AB226">
        <f>SEARCH(" ",Table1[[#This Row],[Customer_Name]])</f>
        <v>6</v>
      </c>
      <c r="AC226" s="11">
        <f>IFERROR(FIND("a",Table1[[#This Row],[Customer_Name]]),"N/A")</f>
        <v>5</v>
      </c>
      <c r="AD226">
        <f>FIND(" ",Table1[[#This Row],[Customer_Name]])</f>
        <v>6</v>
      </c>
      <c r="AE226" t="str">
        <f>TRIM(Table1[[#This Row],[Customer_Name]])</f>
        <v>Priya Verma</v>
      </c>
      <c r="AF226">
        <f>LEN(Table1[[#This Row],[Trimmed]])</f>
        <v>11</v>
      </c>
      <c r="AG226">
        <f>MAX(Table1[Length])</f>
        <v>15</v>
      </c>
      <c r="AH226" t="str">
        <f>PROPER(Table1[[#This Row],[Customer_Name]])</f>
        <v>Priya Verma</v>
      </c>
      <c r="AI226" t="str">
        <f>LOWER(Table1[[#This Row],[Customer_Name]])</f>
        <v>priya verma</v>
      </c>
      <c r="AJ226" t="str">
        <f>UPPER(Table1[[#This Row],[Customer_Name]])</f>
        <v>PRIYA VERMA</v>
      </c>
      <c r="AK226" t="str">
        <f>CONCATENATE(Table1[[#This Row],[Customer_ID]],Table1[[#This Row],[Customer_Name]])</f>
        <v>C1075Priya Verma</v>
      </c>
      <c r="AL226" t="s">
        <v>174</v>
      </c>
      <c r="AM226" t="s">
        <v>336</v>
      </c>
      <c r="AN226" t="s">
        <v>337</v>
      </c>
      <c r="AO226" t="s">
        <v>174</v>
      </c>
      <c r="AP226" t="s">
        <v>336</v>
      </c>
      <c r="AQ226" t="s">
        <v>423</v>
      </c>
      <c r="AR226" t="str">
        <f>TRIM(Table1[[#This Row],[City]])</f>
        <v>Ahmedabad</v>
      </c>
      <c r="AS226" t="str">
        <f>PROPER(Table1[[#This Row],[City]])</f>
        <v>Ahmedabad</v>
      </c>
      <c r="AT226" t="s">
        <v>424</v>
      </c>
      <c r="AU226" t="str">
        <f>CONCATENATE(Table1[[#This Row],[City]],Table1[[#This Row],[State]])</f>
        <v>AhmedabadGujarat</v>
      </c>
      <c r="AV226" t="s">
        <v>129</v>
      </c>
      <c r="AW226" t="s">
        <v>236</v>
      </c>
      <c r="AX226" t="str">
        <f>REPLACE(Table1[[#This Row],[Product_ID]],1,1,"s")</f>
        <v>s107</v>
      </c>
      <c r="AY226" t="s">
        <v>1112</v>
      </c>
      <c r="AZ226">
        <f>SEARCH("-",Table1[[#This Row],[Product ID]])</f>
        <v>2</v>
      </c>
      <c r="BA226">
        <f>FIND("-",Table1[[#This Row],[Product ID]])</f>
        <v>2</v>
      </c>
      <c r="BB226" t="str">
        <f>MID(Table1[[#This Row],[Product_ID]],2,3)</f>
        <v>107</v>
      </c>
      <c r="BC226" t="str">
        <f>RIGHT(Table1[[#This Row],[Product_ID]],3)</f>
        <v>107</v>
      </c>
      <c r="BD226" t="str">
        <f>LEFT(Table1[[#This Row],[Product_ID]],3)</f>
        <v>P10</v>
      </c>
      <c r="BE226" t="str">
        <f>_xlfn.XLOOKUP(Table1[[#This Row],[Product_ID]],AW:AW,BF:BF,,0)</f>
        <v>Casual Sneakers</v>
      </c>
      <c r="BF226" t="s">
        <v>238</v>
      </c>
      <c r="BG226">
        <f>LEN(Table1[[#This Row],[Product_Name]])</f>
        <v>15</v>
      </c>
      <c r="BH226" t="s">
        <v>224</v>
      </c>
      <c r="BI226">
        <f t="shared" si="28"/>
        <v>75</v>
      </c>
      <c r="BJ226" t="str">
        <f>SUBSTITUTE(Table1[[#This Row],[Category]],"Electronics","ELECTRONICS")</f>
        <v>Fashion</v>
      </c>
      <c r="BN226" t="s">
        <v>225</v>
      </c>
      <c r="BS226" s="14">
        <v>4</v>
      </c>
      <c r="BT226" s="3">
        <v>2799</v>
      </c>
      <c r="BU226" s="4">
        <v>5</v>
      </c>
      <c r="BV226" s="4" t="str">
        <f>IF(AND(Table1[[#This Row],[Quantity]]&gt;=3,Table1[[#This Row],[Discount_%]]&gt;=15%),"Bulk Discount","no")</f>
        <v>Bulk Discount</v>
      </c>
      <c r="BW226" s="4" t="str">
        <f>IF(AND(Table1[[#This Row],[Quantity]]&gt;3,Table1[[#This Row],[Discount_%]]&gt;15%),"Bulk Customer","Normal")</f>
        <v>Bulk Customer</v>
      </c>
      <c r="BX226" t="s">
        <v>192</v>
      </c>
      <c r="BY226" t="s">
        <v>136</v>
      </c>
      <c r="CC226" t="str">
        <f>IF(OR(Table1[[#This Row],[Order_Status]]="Returned",Table1[[#This Row],[Order_Status]]="Cancelled"),"Attention Required","Not")</f>
        <v>Not</v>
      </c>
      <c r="CD226" t="str">
        <f>IF(OR(Table1[[#This Row],[Order_Status]]="Returned",Table1[[#This Row],[Order_Status]]="Cancelled"),"Review","no")</f>
        <v>no</v>
      </c>
      <c r="CE226" t="str">
        <f>SUBSTITUTE(Table1[[#This Row],[Order_Status]],"Delivered","Completed")</f>
        <v>Completed</v>
      </c>
      <c r="CF226" s="2">
        <v>46113</v>
      </c>
      <c r="CG226" s="17">
        <f>NETWORKDAYS(Table1[[#This Row],[Order_Date]],Table1[[#This Row],[Delivery_Date]])</f>
        <v>2</v>
      </c>
      <c r="CH226" s="17">
        <f>Table1[[#This Row],[Delivery_Date]]-Table1[[#This Row],[Order_Date]]</f>
        <v>1</v>
      </c>
      <c r="CI226" t="s">
        <v>137</v>
      </c>
      <c r="CJ226" t="str">
        <f>IF(Table1[[#This Row],[Rating]]&gt;=4,"Good","Needs Improvement")</f>
        <v>Good</v>
      </c>
      <c r="CK226" t="str">
        <f>IF(OR(Table1[[#This Row],[Rating]]&lt;=2,Table1[[#This Row],[Profit]]&lt;0),"Review","NO")</f>
        <v>NO</v>
      </c>
      <c r="CL226" t="str" cm="1">
        <f t="array" ref="CL226">_xlfn.IFS(Table1[[#This Row],[Rating]]&gt;2,"Poor",Table1[[#This Row],[Rating]]=3,"Average",Table1[[#This Row],[Rating]]=4,"Good",CP226=5,"Excellent")</f>
        <v>Poor</v>
      </c>
      <c r="CM226">
        <f>COUNT(Table1[[#This Row],[Rating]])</f>
        <v>1</v>
      </c>
      <c r="CN226">
        <f>COUNTBLANK(Table1[[#This Row],[Rating]])</f>
        <v>0</v>
      </c>
      <c r="CP226" t="s">
        <v>194</v>
      </c>
      <c r="CQ226" s="14">
        <v>4</v>
      </c>
      <c r="CR226" t="s">
        <v>204</v>
      </c>
      <c r="CS226" t="s">
        <v>195</v>
      </c>
      <c r="CU226" s="3">
        <v>10636.2</v>
      </c>
      <c r="CV226" s="3">
        <f>ROUND(Table1[[#This Row],[Sales_Amount]],0)</f>
        <v>10636</v>
      </c>
      <c r="CW226" s="3"/>
      <c r="CX226" s="3"/>
      <c r="CY226" s="3" t="str">
        <f>IF(AND(Table1[[#This Row],[Sales_Amount]]&gt;=10000,Table1[[#This Row],[Profit]]&gt;0),"Good Order")</f>
        <v>Good Order</v>
      </c>
      <c r="CZ226" s="3" t="str">
        <f>IF(Table1[[#This Row],[Sales_Amount]]&gt;=10000,"High","Normal")</f>
        <v>High</v>
      </c>
      <c r="DA226" s="3">
        <v>4636.2</v>
      </c>
      <c r="DB226" s="3">
        <f>ROUND(Table1[[#This Row],[Profit]],0)</f>
        <v>4636</v>
      </c>
      <c r="DC226" s="3">
        <f>ABS(Table1[[#This Row],[Profit]])</f>
        <v>4636.2</v>
      </c>
      <c r="DD226" s="3"/>
      <c r="DE226" s="3"/>
      <c r="DF226" s="3"/>
      <c r="DG226" s="3" t="str">
        <f>IF(Table1[[#This Row],[Profit]]&gt;0,"Profit","Loss")</f>
        <v>Profit</v>
      </c>
      <c r="DH226" s="3" t="str">
        <f>IF(AND(Table1[[#This Row],[Sales_Amount]]&gt;=10000,Table1[[#This Row],[Profit]]&gt;0),"Priority","Normal")</f>
        <v>Priority</v>
      </c>
      <c r="DI226" s="3">
        <f t="shared" ca="1" si="23"/>
        <v>0.81328710615201549</v>
      </c>
      <c r="DJ226" s="3">
        <f t="shared" ca="1" si="24"/>
        <v>18</v>
      </c>
      <c r="DK226" s="3"/>
      <c r="DL226" s="3"/>
      <c r="DM226" s="3"/>
      <c r="DN226" s="3"/>
      <c r="DO226" s="3"/>
      <c r="DP226" s="3"/>
    </row>
    <row r="227" spans="1:120">
      <c r="A227" t="s">
        <v>1113</v>
      </c>
      <c r="B227" t="str">
        <f>REPLACE(Table1[[#This Row],[Order_ID]],1,3,"YOO")</f>
        <v>YOO10226</v>
      </c>
      <c r="C227" t="str">
        <f>MID(Table1[[#This Row],[Order_ID]],4,4)</f>
        <v>1022</v>
      </c>
      <c r="D227" t="str">
        <f>LEFT(Table1[[#This Row],[Order_ID]],4)</f>
        <v>ORD1</v>
      </c>
      <c r="E227" t="str">
        <f>RIGHT(Table1[[#This Row],[Order_ID]],5)</f>
        <v>10226</v>
      </c>
      <c r="F227" t="s">
        <v>5</v>
      </c>
      <c r="G227">
        <v>10226</v>
      </c>
      <c r="H227" t="s">
        <v>1114</v>
      </c>
      <c r="I227" s="2">
        <f>EDATE(Table1[[#This Row],[Order_Date]],3)</f>
        <v>46257</v>
      </c>
      <c r="J227" s="2">
        <f>EDATE(Table1[[#This Row],[Order_Date]],6)</f>
        <v>46349</v>
      </c>
      <c r="K227">
        <f ca="1">YEAR(Table1[[#This Row],[Today]])</f>
        <v>2026</v>
      </c>
      <c r="L227">
        <v>226</v>
      </c>
      <c r="M227">
        <f ca="1">DAY(Table1[[#This Row],[Today]])</f>
        <v>11</v>
      </c>
      <c r="N227" s="19">
        <f t="shared" ca="1" si="27"/>
        <v>46245.589795138891</v>
      </c>
      <c r="O227" s="2">
        <f t="shared" ca="1" si="22"/>
        <v>46245</v>
      </c>
      <c r="P227" s="17">
        <f ca="1">Table1[[#This Row],[Today]]-Table1[[#This Row],[Order_Date]]</f>
        <v>80</v>
      </c>
      <c r="Q227" s="2">
        <v>45883</v>
      </c>
      <c r="R227" s="2">
        <v>46165</v>
      </c>
      <c r="S227" s="6">
        <f t="shared" si="25"/>
        <v>2026</v>
      </c>
      <c r="T227" s="7" t="str">
        <f t="shared" si="26"/>
        <v>May</v>
      </c>
      <c r="U227" s="2">
        <f>WORKDAY(Table1[[#This Row],[Order_Date]],5)</f>
        <v>46171</v>
      </c>
      <c r="V227" s="7" t="str">
        <f>CONCATENATE(Table1[[#This Row],[Customer_ID]],Table1[[#This Row],[Customer_Name]])</f>
        <v>C1140Sneha Mishra</v>
      </c>
      <c r="W227" t="s">
        <v>122</v>
      </c>
      <c r="X227" t="s">
        <v>496</v>
      </c>
      <c r="Y227">
        <f>COUNTA(Table1[[#This Row],[Customer_Name]])</f>
        <v>1</v>
      </c>
      <c r="Z227" t="str">
        <f>SUBSTITUTE(Table1[[#This Row],[Customer_Name]]," ","_")</f>
        <v>Sneha_Mishra</v>
      </c>
      <c r="AA227" s="10">
        <f>IFERROR(SEARCH("a",Table1[[#This Row],[Customer_Name]]),"N/A")</f>
        <v>5</v>
      </c>
      <c r="AB227">
        <f>SEARCH(" ",Table1[[#This Row],[Customer_Name]])</f>
        <v>6</v>
      </c>
      <c r="AC227" s="11">
        <f>IFERROR(FIND("a",Table1[[#This Row],[Customer_Name]]),"N/A")</f>
        <v>5</v>
      </c>
      <c r="AD227">
        <f>FIND(" ",Table1[[#This Row],[Customer_Name]])</f>
        <v>6</v>
      </c>
      <c r="AE227" t="str">
        <f>TRIM(Table1[[#This Row],[Customer_Name]])</f>
        <v>Sneha Mishra</v>
      </c>
      <c r="AF227">
        <f>LEN(Table1[[#This Row],[Trimmed]])</f>
        <v>12</v>
      </c>
      <c r="AG227">
        <f>MAX(Table1[Length])</f>
        <v>15</v>
      </c>
      <c r="AH227" t="str">
        <f>PROPER(Table1[[#This Row],[Customer_Name]])</f>
        <v>Sneha Mishra</v>
      </c>
      <c r="AI227" t="str">
        <f>LOWER(Table1[[#This Row],[Customer_Name]])</f>
        <v>sneha mishra</v>
      </c>
      <c r="AJ227" t="str">
        <f>UPPER(Table1[[#This Row],[Customer_Name]])</f>
        <v>SNEHA MISHRA</v>
      </c>
      <c r="AK227" t="str">
        <f>CONCATENATE(Table1[[#This Row],[Customer_ID]],Table1[[#This Row],[Customer_Name]])</f>
        <v>C1140Sneha Mishra</v>
      </c>
      <c r="AL227" t="s">
        <v>195</v>
      </c>
      <c r="AM227" t="s">
        <v>497</v>
      </c>
      <c r="AN227" t="s">
        <v>498</v>
      </c>
      <c r="AO227" t="s">
        <v>195</v>
      </c>
      <c r="AP227" t="s">
        <v>497</v>
      </c>
      <c r="AQ227" t="s">
        <v>284</v>
      </c>
      <c r="AR227" t="str">
        <f>TRIM(Table1[[#This Row],[City]])</f>
        <v>Hyderabad</v>
      </c>
      <c r="AS227" t="str">
        <f>PROPER(Table1[[#This Row],[City]])</f>
        <v>Hyderabad</v>
      </c>
      <c r="AT227" t="s">
        <v>285</v>
      </c>
      <c r="AU227" t="str">
        <f>CONCATENATE(Table1[[#This Row],[City]],Table1[[#This Row],[State]])</f>
        <v>HyderabadTelangana</v>
      </c>
      <c r="AV227" t="s">
        <v>168</v>
      </c>
      <c r="AW227" t="s">
        <v>319</v>
      </c>
      <c r="AX227" t="str">
        <f>REPLACE(Table1[[#This Row],[Product_ID]],1,1,"s")</f>
        <v>s103</v>
      </c>
      <c r="AY227" t="s">
        <v>1115</v>
      </c>
      <c r="AZ227">
        <f>SEARCH("-",Table1[[#This Row],[Product ID]])</f>
        <v>2</v>
      </c>
      <c r="BA227">
        <f>FIND("-",Table1[[#This Row],[Product ID]])</f>
        <v>2</v>
      </c>
      <c r="BB227" t="str">
        <f>MID(Table1[[#This Row],[Product_ID]],2,3)</f>
        <v>103</v>
      </c>
      <c r="BC227" t="str">
        <f>RIGHT(Table1[[#This Row],[Product_ID]],3)</f>
        <v>103</v>
      </c>
      <c r="BD227" t="str">
        <f>LEFT(Table1[[#This Row],[Product_ID]],3)</f>
        <v>P10</v>
      </c>
      <c r="BE227" t="str">
        <f>_xlfn.XLOOKUP(Table1[[#This Row],[Product_ID]],AW:AW,BF:BF,,0)</f>
        <v>Laptop Stand</v>
      </c>
      <c r="BF227" t="s">
        <v>321</v>
      </c>
      <c r="BG227">
        <f>LEN(Table1[[#This Row],[Product_Name]])</f>
        <v>12</v>
      </c>
      <c r="BH227" t="s">
        <v>154</v>
      </c>
      <c r="BI227">
        <f t="shared" si="28"/>
        <v>75</v>
      </c>
      <c r="BJ227" t="str">
        <f>SUBSTITUTE(Table1[[#This Row],[Category]],"Electronics","ELECTRONICS")</f>
        <v>ELECTRONICS</v>
      </c>
      <c r="BN227" t="s">
        <v>155</v>
      </c>
      <c r="BS227" s="14">
        <v>5</v>
      </c>
      <c r="BT227" s="3">
        <v>1599</v>
      </c>
      <c r="BU227" s="4">
        <v>0</v>
      </c>
      <c r="BV227" s="4" t="str">
        <f>IF(AND(Table1[[#This Row],[Quantity]]&gt;=3,Table1[[#This Row],[Discount_%]]&gt;=15%),"Bulk Discount","no")</f>
        <v>no</v>
      </c>
      <c r="BW227" s="4" t="str">
        <f>IF(AND(Table1[[#This Row],[Quantity]]&gt;3,Table1[[#This Row],[Discount_%]]&gt;15%),"Bulk Customer","Normal")</f>
        <v>Normal</v>
      </c>
      <c r="BX227" t="s">
        <v>135</v>
      </c>
      <c r="BY227" t="s">
        <v>156</v>
      </c>
      <c r="CC227" t="str">
        <f>IF(OR(Table1[[#This Row],[Order_Status]]="Returned",Table1[[#This Row],[Order_Status]]="Cancelled"),"Attention Required","Not")</f>
        <v>Attention Required</v>
      </c>
      <c r="CD227" t="str">
        <f>IF(OR(Table1[[#This Row],[Order_Status]]="Returned",Table1[[#This Row],[Order_Status]]="Cancelled"),"Review","no")</f>
        <v>Review</v>
      </c>
      <c r="CE227" t="str">
        <f>SUBSTITUTE(Table1[[#This Row],[Order_Status]],"Delivered","Completed")</f>
        <v>Cancelled</v>
      </c>
      <c r="CF227" s="2">
        <v>46167</v>
      </c>
      <c r="CG227" s="17">
        <f>NETWORKDAYS(Table1[[#This Row],[Order_Date]],Table1[[#This Row],[Delivery_Date]])</f>
        <v>1</v>
      </c>
      <c r="CH227" s="17">
        <f>Table1[[#This Row],[Delivery_Date]]-Table1[[#This Row],[Order_Date]]</f>
        <v>2</v>
      </c>
      <c r="CI227" t="s">
        <v>137</v>
      </c>
      <c r="CJ227" t="str">
        <f>IF(Table1[[#This Row],[Rating]]&gt;=4,"Good","Needs Improvement")</f>
        <v>Good</v>
      </c>
      <c r="CK227" t="str">
        <f>IF(OR(Table1[[#This Row],[Rating]]&lt;=2,Table1[[#This Row],[Profit]]&lt;0),"Review","NO")</f>
        <v>NO</v>
      </c>
      <c r="CL227" t="str" cm="1">
        <f t="array" ref="CL227">_xlfn.IFS(Table1[[#This Row],[Rating]]&gt;2,"Poor",Table1[[#This Row],[Rating]]=3,"Average",Table1[[#This Row],[Rating]]=4,"Good",CP227=5,"Excellent")</f>
        <v>Poor</v>
      </c>
      <c r="CM227">
        <f>COUNT(Table1[[#This Row],[Rating]])</f>
        <v>1</v>
      </c>
      <c r="CN227">
        <f>COUNTBLANK(Table1[[#This Row],[Rating]])</f>
        <v>0</v>
      </c>
      <c r="CP227" t="s">
        <v>331</v>
      </c>
      <c r="CQ227" s="14">
        <v>4</v>
      </c>
      <c r="CR227" t="s">
        <v>204</v>
      </c>
      <c r="CS227" t="s">
        <v>267</v>
      </c>
      <c r="CU227" s="3">
        <v>7995</v>
      </c>
      <c r="CV227" s="3">
        <f>ROUND(Table1[[#This Row],[Sales_Amount]],0)</f>
        <v>7995</v>
      </c>
      <c r="CW227" s="3"/>
      <c r="CX227" s="3"/>
      <c r="CY227" s="3" t="b">
        <f>IF(AND(Table1[[#This Row],[Sales_Amount]]&gt;=10000,Table1[[#This Row],[Profit]]&gt;0),"Good Order")</f>
        <v>0</v>
      </c>
      <c r="CZ227" s="3" t="str">
        <f>IF(Table1[[#This Row],[Sales_Amount]]&gt;=10000,"High","Normal")</f>
        <v>Normal</v>
      </c>
      <c r="DA227" s="3">
        <v>3495</v>
      </c>
      <c r="DB227" s="3">
        <f>ROUND(Table1[[#This Row],[Profit]],0)</f>
        <v>3495</v>
      </c>
      <c r="DC227" s="3">
        <f>ABS(Table1[[#This Row],[Profit]])</f>
        <v>3495</v>
      </c>
      <c r="DD227" s="3"/>
      <c r="DE227" s="3"/>
      <c r="DF227" s="3"/>
      <c r="DG227" s="3" t="str">
        <f>IF(Table1[[#This Row],[Profit]]&gt;0,"Profit","Loss")</f>
        <v>Profit</v>
      </c>
      <c r="DH227" s="3" t="str">
        <f>IF(AND(Table1[[#This Row],[Sales_Amount]]&gt;=10000,Table1[[#This Row],[Profit]]&gt;0),"Priority","Normal")</f>
        <v>Normal</v>
      </c>
      <c r="DI227" s="3">
        <f t="shared" ca="1" si="23"/>
        <v>0.35086937950537778</v>
      </c>
      <c r="DJ227" s="3">
        <f t="shared" ca="1" si="24"/>
        <v>50</v>
      </c>
      <c r="DK227" s="3"/>
      <c r="DL227" s="3"/>
      <c r="DM227" s="3"/>
      <c r="DN227" s="3"/>
      <c r="DO227" s="3"/>
      <c r="DP227" s="3"/>
    </row>
    <row r="228" spans="1:120">
      <c r="A228" t="s">
        <v>1116</v>
      </c>
      <c r="B228" t="str">
        <f>REPLACE(Table1[[#This Row],[Order_ID]],1,3,"YOO")</f>
        <v>YOO10227</v>
      </c>
      <c r="C228" t="str">
        <f>MID(Table1[[#This Row],[Order_ID]],4,4)</f>
        <v>1022</v>
      </c>
      <c r="D228" t="str">
        <f>LEFT(Table1[[#This Row],[Order_ID]],4)</f>
        <v>ORD1</v>
      </c>
      <c r="E228" t="str">
        <f>RIGHT(Table1[[#This Row],[Order_ID]],5)</f>
        <v>10227</v>
      </c>
      <c r="F228" t="s">
        <v>5</v>
      </c>
      <c r="G228">
        <v>10227</v>
      </c>
      <c r="H228" t="s">
        <v>1117</v>
      </c>
      <c r="I228" s="2">
        <f>EDATE(Table1[[#This Row],[Order_Date]],3)</f>
        <v>46185</v>
      </c>
      <c r="J228" s="2">
        <f>EDATE(Table1[[#This Row],[Order_Date]],6)</f>
        <v>46277</v>
      </c>
      <c r="K228">
        <f ca="1">YEAR(Table1[[#This Row],[Today]])</f>
        <v>2026</v>
      </c>
      <c r="L228">
        <v>227</v>
      </c>
      <c r="M228">
        <f ca="1">DAY(Table1[[#This Row],[Today]])</f>
        <v>11</v>
      </c>
      <c r="N228" s="19">
        <f t="shared" ca="1" si="27"/>
        <v>46245.589795370368</v>
      </c>
      <c r="O228" s="2">
        <f t="shared" ca="1" si="22"/>
        <v>46245</v>
      </c>
      <c r="P228" s="17">
        <f ca="1">Table1[[#This Row],[Today]]-Table1[[#This Row],[Order_Date]]</f>
        <v>152</v>
      </c>
      <c r="Q228" s="2">
        <v>45884</v>
      </c>
      <c r="R228" s="2">
        <v>46093</v>
      </c>
      <c r="S228" s="6">
        <f t="shared" si="25"/>
        <v>2026</v>
      </c>
      <c r="T228" s="7" t="str">
        <f t="shared" si="26"/>
        <v>March</v>
      </c>
      <c r="U228" s="2">
        <f>WORKDAY(Table1[[#This Row],[Order_Date]],5)</f>
        <v>46100</v>
      </c>
      <c r="V228" s="7" t="str">
        <f>CONCATENATE(Table1[[#This Row],[Customer_ID]],Table1[[#This Row],[Customer_Name]])</f>
        <v>C1068Sneha Mishra</v>
      </c>
      <c r="W228" t="s">
        <v>378</v>
      </c>
      <c r="X228" t="s">
        <v>496</v>
      </c>
      <c r="Y228">
        <f>COUNTA(Table1[[#This Row],[Customer_Name]])</f>
        <v>1</v>
      </c>
      <c r="Z228" t="str">
        <f>SUBSTITUTE(Table1[[#This Row],[Customer_Name]]," ","_")</f>
        <v>Sneha_Mishra</v>
      </c>
      <c r="AA228" s="10">
        <f>IFERROR(SEARCH("a",Table1[[#This Row],[Customer_Name]]),"N/A")</f>
        <v>5</v>
      </c>
      <c r="AB228">
        <f>SEARCH(" ",Table1[[#This Row],[Customer_Name]])</f>
        <v>6</v>
      </c>
      <c r="AC228" s="11">
        <f>IFERROR(FIND("a",Table1[[#This Row],[Customer_Name]]),"N/A")</f>
        <v>5</v>
      </c>
      <c r="AD228">
        <f>FIND(" ",Table1[[#This Row],[Customer_Name]])</f>
        <v>6</v>
      </c>
      <c r="AE228" t="str">
        <f>TRIM(Table1[[#This Row],[Customer_Name]])</f>
        <v>Sneha Mishra</v>
      </c>
      <c r="AF228">
        <f>LEN(Table1[[#This Row],[Trimmed]])</f>
        <v>12</v>
      </c>
      <c r="AG228">
        <f>MAX(Table1[Length])</f>
        <v>15</v>
      </c>
      <c r="AH228" t="str">
        <f>PROPER(Table1[[#This Row],[Customer_Name]])</f>
        <v>Sneha Mishra</v>
      </c>
      <c r="AI228" t="str">
        <f>LOWER(Table1[[#This Row],[Customer_Name]])</f>
        <v>sneha mishra</v>
      </c>
      <c r="AJ228" t="str">
        <f>UPPER(Table1[[#This Row],[Customer_Name]])</f>
        <v>SNEHA MISHRA</v>
      </c>
      <c r="AK228" t="str">
        <f>CONCATENATE(Table1[[#This Row],[Customer_ID]],Table1[[#This Row],[Customer_Name]])</f>
        <v>C1068Sneha Mishra</v>
      </c>
      <c r="AL228" t="s">
        <v>195</v>
      </c>
      <c r="AM228" t="s">
        <v>497</v>
      </c>
      <c r="AN228" t="s">
        <v>498</v>
      </c>
      <c r="AO228" t="s">
        <v>195</v>
      </c>
      <c r="AP228" t="s">
        <v>497</v>
      </c>
      <c r="AQ228" t="s">
        <v>148</v>
      </c>
      <c r="AR228" t="str">
        <f>TRIM(Table1[[#This Row],[City]])</f>
        <v>Jaipur</v>
      </c>
      <c r="AS228" t="str">
        <f>PROPER(Table1[[#This Row],[City]])</f>
        <v>Jaipur</v>
      </c>
      <c r="AT228" t="s">
        <v>149</v>
      </c>
      <c r="AU228" t="str">
        <f>CONCATENATE(Table1[[#This Row],[City]],Table1[[#This Row],[State]])</f>
        <v>JaipurRajasthan</v>
      </c>
      <c r="AV228" t="s">
        <v>150</v>
      </c>
      <c r="AW228" t="s">
        <v>477</v>
      </c>
      <c r="AX228" t="str">
        <f>REPLACE(Table1[[#This Row],[Product_ID]],1,1,"s")</f>
        <v>s109</v>
      </c>
      <c r="AY228" t="s">
        <v>1118</v>
      </c>
      <c r="AZ228">
        <f>SEARCH("-",Table1[[#This Row],[Product ID]])</f>
        <v>2</v>
      </c>
      <c r="BA228">
        <f>FIND("-",Table1[[#This Row],[Product ID]])</f>
        <v>2</v>
      </c>
      <c r="BB228" t="str">
        <f>MID(Table1[[#This Row],[Product_ID]],2,3)</f>
        <v>109</v>
      </c>
      <c r="BC228" t="str">
        <f>RIGHT(Table1[[#This Row],[Product_ID]],3)</f>
        <v>109</v>
      </c>
      <c r="BD228" t="str">
        <f>LEFT(Table1[[#This Row],[Product_ID]],3)</f>
        <v>P10</v>
      </c>
      <c r="BE228" t="str">
        <f>_xlfn.XLOOKUP(Table1[[#This Row],[Product_ID]],AW:AW,BF:BF,,0)</f>
        <v>Backpack</v>
      </c>
      <c r="BF228" t="s">
        <v>479</v>
      </c>
      <c r="BG228">
        <f>LEN(Table1[[#This Row],[Product_Name]])</f>
        <v>8</v>
      </c>
      <c r="BH228" t="s">
        <v>224</v>
      </c>
      <c r="BI228">
        <f t="shared" si="28"/>
        <v>75</v>
      </c>
      <c r="BJ228" t="str">
        <f>SUBSTITUTE(Table1[[#This Row],[Category]],"Electronics","ELECTRONICS")</f>
        <v>Fashion</v>
      </c>
      <c r="BN228" t="s">
        <v>480</v>
      </c>
      <c r="BS228" s="14">
        <v>1</v>
      </c>
      <c r="BT228" s="3">
        <v>2299</v>
      </c>
      <c r="BU228" s="4">
        <v>10</v>
      </c>
      <c r="BV228" s="4" t="str">
        <f>IF(AND(Table1[[#This Row],[Quantity]]&gt;=3,Table1[[#This Row],[Discount_%]]&gt;=15%),"Bulk Discount","no")</f>
        <v>no</v>
      </c>
      <c r="BW228" s="4" t="str">
        <f>IF(AND(Table1[[#This Row],[Quantity]]&gt;3,Table1[[#This Row],[Discount_%]]&gt;15%),"Bulk Customer","Normal")</f>
        <v>Normal</v>
      </c>
      <c r="BX228" t="s">
        <v>172</v>
      </c>
      <c r="BY228" t="s">
        <v>136</v>
      </c>
      <c r="CC228" t="str">
        <f>IF(OR(Table1[[#This Row],[Order_Status]]="Returned",Table1[[#This Row],[Order_Status]]="Cancelled"),"Attention Required","Not")</f>
        <v>Not</v>
      </c>
      <c r="CD228" t="str">
        <f>IF(OR(Table1[[#This Row],[Order_Status]]="Returned",Table1[[#This Row],[Order_Status]]="Cancelled"),"Review","no")</f>
        <v>no</v>
      </c>
      <c r="CE228" t="str">
        <f>SUBSTITUTE(Table1[[#This Row],[Order_Status]],"Delivered","Completed")</f>
        <v>Completed</v>
      </c>
      <c r="CF228" s="2">
        <v>46094</v>
      </c>
      <c r="CG228" s="17">
        <f>NETWORKDAYS(Table1[[#This Row],[Order_Date]],Table1[[#This Row],[Delivery_Date]])</f>
        <v>2</v>
      </c>
      <c r="CH228" s="17">
        <f>Table1[[#This Row],[Delivery_Date]]-Table1[[#This Row],[Order_Date]]</f>
        <v>1</v>
      </c>
      <c r="CI228" t="s">
        <v>137</v>
      </c>
      <c r="CJ228" t="str">
        <f>IF(Table1[[#This Row],[Rating]]&gt;=4,"Good","Needs Improvement")</f>
        <v>Needs Improvement</v>
      </c>
      <c r="CK228" t="str">
        <f>IF(OR(Table1[[#This Row],[Rating]]&lt;=2,Table1[[#This Row],[Profit]]&lt;0),"Review","NO")</f>
        <v>Review</v>
      </c>
      <c r="CL228" t="e" cm="1">
        <f t="array" ref="CL228">_xlfn.IFS(Table1[[#This Row],[Rating]]&gt;2,"Poor",Table1[[#This Row],[Rating]]=3,"Average",Table1[[#This Row],[Rating]]=4,"Good",CP228=5,"Excellent")</f>
        <v>#N/A</v>
      </c>
      <c r="CM228">
        <f>COUNT(Table1[[#This Row],[Rating]])</f>
        <v>0</v>
      </c>
      <c r="CN228">
        <f>COUNTBLANK(Table1[[#This Row],[Rating]])</f>
        <v>1</v>
      </c>
      <c r="CP228" t="s">
        <v>138</v>
      </c>
      <c r="CR228" t="s">
        <v>139</v>
      </c>
      <c r="CS228" t="s">
        <v>158</v>
      </c>
      <c r="CU228" s="3">
        <v>2069.1</v>
      </c>
      <c r="CV228" s="3">
        <f>ROUND(Table1[[#This Row],[Sales_Amount]],0)</f>
        <v>2069</v>
      </c>
      <c r="CW228" s="3"/>
      <c r="CX228" s="3"/>
      <c r="CY228" s="3" t="b">
        <f>IF(AND(Table1[[#This Row],[Sales_Amount]]&gt;=10000,Table1[[#This Row],[Profit]]&gt;0),"Good Order")</f>
        <v>0</v>
      </c>
      <c r="CZ228" s="3" t="str">
        <f>IF(Table1[[#This Row],[Sales_Amount]]&gt;=10000,"High","Normal")</f>
        <v>Normal</v>
      </c>
      <c r="DA228" s="3">
        <v>819.1</v>
      </c>
      <c r="DB228" s="3">
        <f>ROUND(Table1[[#This Row],[Profit]],0)</f>
        <v>819</v>
      </c>
      <c r="DC228" s="3">
        <f>ABS(Table1[[#This Row],[Profit]])</f>
        <v>819.1</v>
      </c>
      <c r="DD228" s="3"/>
      <c r="DE228" s="3"/>
      <c r="DF228" s="3"/>
      <c r="DG228" s="3" t="str">
        <f>IF(Table1[[#This Row],[Profit]]&gt;0,"Profit","Loss")</f>
        <v>Profit</v>
      </c>
      <c r="DH228" s="3" t="str">
        <f>IF(AND(Table1[[#This Row],[Sales_Amount]]&gt;=10000,Table1[[#This Row],[Profit]]&gt;0),"Priority","Normal")</f>
        <v>Normal</v>
      </c>
      <c r="DI228" s="3">
        <f t="shared" ca="1" si="23"/>
        <v>0.7666087427194006</v>
      </c>
      <c r="DJ228" s="3">
        <f t="shared" ca="1" si="24"/>
        <v>23</v>
      </c>
      <c r="DK228" s="3"/>
      <c r="DL228" s="3"/>
      <c r="DM228" s="3"/>
      <c r="DN228" s="3"/>
      <c r="DO228" s="3"/>
      <c r="DP228" s="3"/>
    </row>
    <row r="229" spans="1:120">
      <c r="A229" t="s">
        <v>1119</v>
      </c>
      <c r="B229" t="str">
        <f>REPLACE(Table1[[#This Row],[Order_ID]],1,3,"YOO")</f>
        <v>YOO10228</v>
      </c>
      <c r="C229" t="str">
        <f>MID(Table1[[#This Row],[Order_ID]],4,4)</f>
        <v>1022</v>
      </c>
      <c r="D229" t="str">
        <f>LEFT(Table1[[#This Row],[Order_ID]],4)</f>
        <v>ORD1</v>
      </c>
      <c r="E229" t="str">
        <f>RIGHT(Table1[[#This Row],[Order_ID]],5)</f>
        <v>10228</v>
      </c>
      <c r="F229" t="s">
        <v>5</v>
      </c>
      <c r="G229">
        <v>10228</v>
      </c>
      <c r="H229" t="s">
        <v>1120</v>
      </c>
      <c r="I229" s="2">
        <f>EDATE(Table1[[#This Row],[Order_Date]],3)</f>
        <v>46107</v>
      </c>
      <c r="J229" s="2">
        <f>EDATE(Table1[[#This Row],[Order_Date]],6)</f>
        <v>46199</v>
      </c>
      <c r="K229">
        <f ca="1">YEAR(Table1[[#This Row],[Today]])</f>
        <v>2026</v>
      </c>
      <c r="L229">
        <v>228</v>
      </c>
      <c r="M229">
        <f ca="1">DAY(Table1[[#This Row],[Today]])</f>
        <v>11</v>
      </c>
      <c r="N229" s="19">
        <f t="shared" ca="1" si="27"/>
        <v>46245.589795370368</v>
      </c>
      <c r="O229" s="2">
        <f t="shared" ca="1" si="22"/>
        <v>46245</v>
      </c>
      <c r="P229" s="17">
        <f ca="1">Table1[[#This Row],[Today]]-Table1[[#This Row],[Order_Date]]</f>
        <v>228</v>
      </c>
      <c r="Q229" s="2">
        <v>45885</v>
      </c>
      <c r="R229" s="2">
        <v>46017</v>
      </c>
      <c r="S229" s="6">
        <f t="shared" si="25"/>
        <v>2025</v>
      </c>
      <c r="T229" s="7" t="str">
        <f t="shared" si="26"/>
        <v>December</v>
      </c>
      <c r="U229" s="2">
        <f>WORKDAY(Table1[[#This Row],[Order_Date]],5)</f>
        <v>46024</v>
      </c>
      <c r="V229" s="7" t="str">
        <f>CONCATENATE(Table1[[#This Row],[Customer_ID]],Table1[[#This Row],[Customer_Name]])</f>
        <v>C1053Priya Verma</v>
      </c>
      <c r="W229" t="s">
        <v>720</v>
      </c>
      <c r="X229" t="s">
        <v>335</v>
      </c>
      <c r="Y229">
        <f>COUNTA(Table1[[#This Row],[Customer_Name]])</f>
        <v>1</v>
      </c>
      <c r="Z229" t="str">
        <f>SUBSTITUTE(Table1[[#This Row],[Customer_Name]]," ","_")</f>
        <v>Priya_Verma</v>
      </c>
      <c r="AA229" s="10">
        <f>IFERROR(SEARCH("a",Table1[[#This Row],[Customer_Name]]),"N/A")</f>
        <v>5</v>
      </c>
      <c r="AB229">
        <f>SEARCH(" ",Table1[[#This Row],[Customer_Name]])</f>
        <v>6</v>
      </c>
      <c r="AC229" s="11">
        <f>IFERROR(FIND("a",Table1[[#This Row],[Customer_Name]]),"N/A")</f>
        <v>5</v>
      </c>
      <c r="AD229">
        <f>FIND(" ",Table1[[#This Row],[Customer_Name]])</f>
        <v>6</v>
      </c>
      <c r="AE229" t="str">
        <f>TRIM(Table1[[#This Row],[Customer_Name]])</f>
        <v>Priya Verma</v>
      </c>
      <c r="AF229">
        <f>LEN(Table1[[#This Row],[Trimmed]])</f>
        <v>11</v>
      </c>
      <c r="AG229">
        <f>MAX(Table1[Length])</f>
        <v>15</v>
      </c>
      <c r="AH229" t="str">
        <f>PROPER(Table1[[#This Row],[Customer_Name]])</f>
        <v>Priya Verma</v>
      </c>
      <c r="AI229" t="str">
        <f>LOWER(Table1[[#This Row],[Customer_Name]])</f>
        <v>priya verma</v>
      </c>
      <c r="AJ229" t="str">
        <f>UPPER(Table1[[#This Row],[Customer_Name]])</f>
        <v>PRIYA VERMA</v>
      </c>
      <c r="AK229" t="str">
        <f>CONCATENATE(Table1[[#This Row],[Customer_ID]],Table1[[#This Row],[Customer_Name]])</f>
        <v>C1053Priya Verma</v>
      </c>
      <c r="AL229" t="s">
        <v>174</v>
      </c>
      <c r="AM229" t="s">
        <v>336</v>
      </c>
      <c r="AN229" t="s">
        <v>337</v>
      </c>
      <c r="AO229" t="s">
        <v>174</v>
      </c>
      <c r="AP229" t="s">
        <v>336</v>
      </c>
      <c r="AQ229" t="s">
        <v>423</v>
      </c>
      <c r="AR229" t="str">
        <f>TRIM(Table1[[#This Row],[City]])</f>
        <v>Ahmedabad</v>
      </c>
      <c r="AS229" t="str">
        <f>PROPER(Table1[[#This Row],[City]])</f>
        <v>Ahmedabad</v>
      </c>
      <c r="AT229" t="s">
        <v>424</v>
      </c>
      <c r="AU229" t="str">
        <f>CONCATENATE(Table1[[#This Row],[City]],Table1[[#This Row],[State]])</f>
        <v>AhmedabadGujarat</v>
      </c>
      <c r="AV229" t="s">
        <v>129</v>
      </c>
      <c r="AW229" t="s">
        <v>201</v>
      </c>
      <c r="AX229" t="str">
        <f>REPLACE(Table1[[#This Row],[Product_ID]],1,1,"s")</f>
        <v>s104</v>
      </c>
      <c r="AY229" t="s">
        <v>1121</v>
      </c>
      <c r="AZ229">
        <f>SEARCH("-",Table1[[#This Row],[Product ID]])</f>
        <v>2</v>
      </c>
      <c r="BA229">
        <f>FIND("-",Table1[[#This Row],[Product ID]])</f>
        <v>2</v>
      </c>
      <c r="BB229" t="str">
        <f>MID(Table1[[#This Row],[Product_ID]],2,3)</f>
        <v>104</v>
      </c>
      <c r="BC229" t="str">
        <f>RIGHT(Table1[[#This Row],[Product_ID]],3)</f>
        <v>104</v>
      </c>
      <c r="BD229" t="str">
        <f>LEFT(Table1[[#This Row],[Product_ID]],3)</f>
        <v>P10</v>
      </c>
      <c r="BE229" t="str">
        <f>_xlfn.XLOOKUP(Table1[[#This Row],[Product_ID]],AW:AW,BF:BF,,0)</f>
        <v>USB-C Hub</v>
      </c>
      <c r="BF229" t="s">
        <v>203</v>
      </c>
      <c r="BG229">
        <f>LEN(Table1[[#This Row],[Product_Name]])</f>
        <v>9</v>
      </c>
      <c r="BH229" t="s">
        <v>154</v>
      </c>
      <c r="BI229">
        <f t="shared" si="28"/>
        <v>75</v>
      </c>
      <c r="BJ229" t="str">
        <f>SUBSTITUTE(Table1[[#This Row],[Category]],"Electronics","ELECTRONICS")</f>
        <v>ELECTRONICS</v>
      </c>
      <c r="BN229" t="s">
        <v>155</v>
      </c>
      <c r="BS229" s="14">
        <v>5</v>
      </c>
      <c r="BT229" s="3">
        <v>1899</v>
      </c>
      <c r="BU229" s="4">
        <v>20</v>
      </c>
      <c r="BV229" s="4" t="str">
        <f>IF(AND(Table1[[#This Row],[Quantity]]&gt;=3,Table1[[#This Row],[Discount_%]]&gt;=15%),"Bulk Discount","no")</f>
        <v>Bulk Discount</v>
      </c>
      <c r="BW229" s="4" t="str">
        <f>IF(AND(Table1[[#This Row],[Quantity]]&gt;3,Table1[[#This Row],[Discount_%]]&gt;15%),"Bulk Customer","Normal")</f>
        <v>Bulk Customer</v>
      </c>
      <c r="BX229" t="s">
        <v>135</v>
      </c>
      <c r="BY229" t="s">
        <v>136</v>
      </c>
      <c r="CC229" t="str">
        <f>IF(OR(Table1[[#This Row],[Order_Status]]="Returned",Table1[[#This Row],[Order_Status]]="Cancelled"),"Attention Required","Not")</f>
        <v>Not</v>
      </c>
      <c r="CD229" t="str">
        <f>IF(OR(Table1[[#This Row],[Order_Status]]="Returned",Table1[[#This Row],[Order_Status]]="Cancelled"),"Review","no")</f>
        <v>no</v>
      </c>
      <c r="CE229" t="str">
        <f>SUBSTITUTE(Table1[[#This Row],[Order_Status]],"Delivered","Completed")</f>
        <v>Completed</v>
      </c>
      <c r="CF229" s="2">
        <v>46020</v>
      </c>
      <c r="CG229" s="17">
        <f>NETWORKDAYS(Table1[[#This Row],[Order_Date]],Table1[[#This Row],[Delivery_Date]])</f>
        <v>2</v>
      </c>
      <c r="CH229" s="17">
        <f>Table1[[#This Row],[Delivery_Date]]-Table1[[#This Row],[Order_Date]]</f>
        <v>3</v>
      </c>
      <c r="CI229" t="s">
        <v>137</v>
      </c>
      <c r="CJ229" t="str">
        <f>IF(Table1[[#This Row],[Rating]]&gt;=4,"Good","Needs Improvement")</f>
        <v>Good</v>
      </c>
      <c r="CK229" t="str">
        <f>IF(OR(Table1[[#This Row],[Rating]]&lt;=2,Table1[[#This Row],[Profit]]&lt;0),"Review","NO")</f>
        <v>NO</v>
      </c>
      <c r="CL229" t="str" cm="1">
        <f t="array" ref="CL229">_xlfn.IFS(Table1[[#This Row],[Rating]]&gt;2,"Poor",Table1[[#This Row],[Rating]]=3,"Average",Table1[[#This Row],[Rating]]=4,"Good",CP229=5,"Excellent")</f>
        <v>Poor</v>
      </c>
      <c r="CM229">
        <f>COUNT(Table1[[#This Row],[Rating]])</f>
        <v>1</v>
      </c>
      <c r="CN229">
        <f>COUNTBLANK(Table1[[#This Row],[Rating]])</f>
        <v>0</v>
      </c>
      <c r="CP229" t="s">
        <v>157</v>
      </c>
      <c r="CQ229" s="14">
        <v>4</v>
      </c>
      <c r="CR229" t="s">
        <v>204</v>
      </c>
      <c r="CS229" t="s">
        <v>195</v>
      </c>
      <c r="CU229" s="3">
        <v>7596</v>
      </c>
      <c r="CV229" s="3">
        <f>ROUND(Table1[[#This Row],[Sales_Amount]],0)</f>
        <v>7596</v>
      </c>
      <c r="CW229" s="3"/>
      <c r="CX229" s="3"/>
      <c r="CY229" s="3" t="b">
        <f>IF(AND(Table1[[#This Row],[Sales_Amount]]&gt;=10000,Table1[[#This Row],[Profit]]&gt;0),"Good Order")</f>
        <v>0</v>
      </c>
      <c r="CZ229" s="3" t="str">
        <f>IF(Table1[[#This Row],[Sales_Amount]]&gt;=10000,"High","Normal")</f>
        <v>Normal</v>
      </c>
      <c r="DA229" s="3">
        <v>2096</v>
      </c>
      <c r="DB229" s="3">
        <f>ROUND(Table1[[#This Row],[Profit]],0)</f>
        <v>2096</v>
      </c>
      <c r="DC229" s="3">
        <f>ABS(Table1[[#This Row],[Profit]])</f>
        <v>2096</v>
      </c>
      <c r="DD229" s="3"/>
      <c r="DE229" s="3"/>
      <c r="DF229" s="3"/>
      <c r="DG229" s="3" t="str">
        <f>IF(Table1[[#This Row],[Profit]]&gt;0,"Profit","Loss")</f>
        <v>Profit</v>
      </c>
      <c r="DH229" s="3" t="str">
        <f>IF(AND(Table1[[#This Row],[Sales_Amount]]&gt;=10000,Table1[[#This Row],[Profit]]&gt;0),"Priority","Normal")</f>
        <v>Normal</v>
      </c>
      <c r="DI229" s="3">
        <f t="shared" ca="1" si="23"/>
        <v>0.68812231547276059</v>
      </c>
      <c r="DJ229" s="3">
        <f t="shared" ca="1" si="24"/>
        <v>21</v>
      </c>
      <c r="DK229" s="3"/>
      <c r="DL229" s="3"/>
      <c r="DM229" s="3"/>
      <c r="DN229" s="3"/>
      <c r="DO229" s="3"/>
      <c r="DP229" s="3"/>
    </row>
    <row r="230" spans="1:120">
      <c r="A230" t="s">
        <v>1122</v>
      </c>
      <c r="B230" t="str">
        <f>REPLACE(Table1[[#This Row],[Order_ID]],1,3,"YOO")</f>
        <v>YOO10229</v>
      </c>
      <c r="C230" t="str">
        <f>MID(Table1[[#This Row],[Order_ID]],4,4)</f>
        <v>1022</v>
      </c>
      <c r="D230" t="str">
        <f>LEFT(Table1[[#This Row],[Order_ID]],4)</f>
        <v>ORD1</v>
      </c>
      <c r="E230" t="str">
        <f>RIGHT(Table1[[#This Row],[Order_ID]],5)</f>
        <v>10229</v>
      </c>
      <c r="F230" t="s">
        <v>5</v>
      </c>
      <c r="G230">
        <v>10229</v>
      </c>
      <c r="H230" t="s">
        <v>1123</v>
      </c>
      <c r="I230" s="2">
        <f>EDATE(Table1[[#This Row],[Order_Date]],3)</f>
        <v>45922</v>
      </c>
      <c r="J230" s="2">
        <f>EDATE(Table1[[#This Row],[Order_Date]],6)</f>
        <v>46013</v>
      </c>
      <c r="K230">
        <f ca="1">YEAR(Table1[[#This Row],[Today]])</f>
        <v>2026</v>
      </c>
      <c r="L230">
        <v>229</v>
      </c>
      <c r="M230">
        <f ca="1">DAY(Table1[[#This Row],[Today]])</f>
        <v>11</v>
      </c>
      <c r="N230" s="19">
        <f t="shared" ca="1" si="27"/>
        <v>46245.589795138891</v>
      </c>
      <c r="O230" s="2">
        <f t="shared" ca="1" si="22"/>
        <v>46245</v>
      </c>
      <c r="P230" s="17">
        <f ca="1">Table1[[#This Row],[Today]]-Table1[[#This Row],[Order_Date]]</f>
        <v>415</v>
      </c>
      <c r="Q230" s="2">
        <v>45886</v>
      </c>
      <c r="R230" s="2">
        <v>45830</v>
      </c>
      <c r="S230" s="6">
        <f t="shared" si="25"/>
        <v>2025</v>
      </c>
      <c r="T230" s="7" t="str">
        <f t="shared" si="26"/>
        <v>June</v>
      </c>
      <c r="U230" s="2">
        <f>WORKDAY(Table1[[#This Row],[Order_Date]],5)</f>
        <v>45835</v>
      </c>
      <c r="V230" s="7" t="str">
        <f>CONCATENATE(Table1[[#This Row],[Customer_ID]],Table1[[#This Row],[Customer_Name]])</f>
        <v>C1035Isha Kapoor</v>
      </c>
      <c r="W230" t="s">
        <v>369</v>
      </c>
      <c r="X230" t="s">
        <v>411</v>
      </c>
      <c r="Y230">
        <f>COUNTA(Table1[[#This Row],[Customer_Name]])</f>
        <v>1</v>
      </c>
      <c r="Z230" t="str">
        <f>SUBSTITUTE(Table1[[#This Row],[Customer_Name]]," ","_")</f>
        <v>Isha_Kapoor</v>
      </c>
      <c r="AA230" s="10">
        <f>IFERROR(SEARCH("a",Table1[[#This Row],[Customer_Name]]),"N/A")</f>
        <v>4</v>
      </c>
      <c r="AB230">
        <f>SEARCH(" ",Table1[[#This Row],[Customer_Name]])</f>
        <v>5</v>
      </c>
      <c r="AC230" s="11">
        <f>IFERROR(FIND("a",Table1[[#This Row],[Customer_Name]]),"N/A")</f>
        <v>4</v>
      </c>
      <c r="AD230">
        <f>FIND(" ",Table1[[#This Row],[Customer_Name]])</f>
        <v>5</v>
      </c>
      <c r="AE230" t="str">
        <f>TRIM(Table1[[#This Row],[Customer_Name]])</f>
        <v>Isha Kapoor</v>
      </c>
      <c r="AF230">
        <f>LEN(Table1[[#This Row],[Trimmed]])</f>
        <v>11</v>
      </c>
      <c r="AG230">
        <f>MAX(Table1[Length])</f>
        <v>15</v>
      </c>
      <c r="AH230" t="str">
        <f>PROPER(Table1[[#This Row],[Customer_Name]])</f>
        <v>Isha Kapoor</v>
      </c>
      <c r="AI230" t="str">
        <f>LOWER(Table1[[#This Row],[Customer_Name]])</f>
        <v>isha kapoor</v>
      </c>
      <c r="AJ230" t="str">
        <f>UPPER(Table1[[#This Row],[Customer_Name]])</f>
        <v>ISHA KAPOOR</v>
      </c>
      <c r="AK230" t="str">
        <f>CONCATENATE(Table1[[#This Row],[Customer_ID]],Table1[[#This Row],[Customer_Name]])</f>
        <v>C1035Isha Kapoor</v>
      </c>
      <c r="AL230" t="s">
        <v>412</v>
      </c>
      <c r="AM230" t="s">
        <v>413</v>
      </c>
      <c r="AN230" t="s">
        <v>414</v>
      </c>
      <c r="AO230" t="s">
        <v>412</v>
      </c>
      <c r="AP230" t="s">
        <v>413</v>
      </c>
      <c r="AQ230" t="s">
        <v>304</v>
      </c>
      <c r="AR230" t="str">
        <f>TRIM(Table1[[#This Row],[City]])</f>
        <v>Chennai</v>
      </c>
      <c r="AS230" t="str">
        <f>PROPER(Table1[[#This Row],[City]])</f>
        <v>Chennai</v>
      </c>
      <c r="AT230" t="s">
        <v>305</v>
      </c>
      <c r="AU230" t="str">
        <f>CONCATENATE(Table1[[#This Row],[City]],Table1[[#This Row],[State]])</f>
        <v>ChennaiTamil Nadu</v>
      </c>
      <c r="AV230" t="s">
        <v>168</v>
      </c>
      <c r="AW230" t="s">
        <v>363</v>
      </c>
      <c r="AX230" t="str">
        <f>REPLACE(Table1[[#This Row],[Product_ID]],1,1,"s")</f>
        <v>s110</v>
      </c>
      <c r="AY230" t="s">
        <v>1124</v>
      </c>
      <c r="AZ230">
        <f>SEARCH("-",Table1[[#This Row],[Product ID]])</f>
        <v>2</v>
      </c>
      <c r="BA230">
        <f>FIND("-",Table1[[#This Row],[Product ID]])</f>
        <v>2</v>
      </c>
      <c r="BB230" t="str">
        <f>MID(Table1[[#This Row],[Product_ID]],2,3)</f>
        <v>110</v>
      </c>
      <c r="BC230" t="str">
        <f>RIGHT(Table1[[#This Row],[Product_ID]],3)</f>
        <v>110</v>
      </c>
      <c r="BD230" t="str">
        <f>LEFT(Table1[[#This Row],[Product_ID]],3)</f>
        <v>P11</v>
      </c>
      <c r="BE230" t="str">
        <f>_xlfn.XLOOKUP(Table1[[#This Row],[Product_ID]],AW:AW,BF:BF,,0)</f>
        <v>Smart Watch</v>
      </c>
      <c r="BF230" t="s">
        <v>365</v>
      </c>
      <c r="BG230">
        <f>LEN(Table1[[#This Row],[Product_Name]])</f>
        <v>11</v>
      </c>
      <c r="BH230" t="s">
        <v>154</v>
      </c>
      <c r="BI230">
        <f t="shared" si="28"/>
        <v>75</v>
      </c>
      <c r="BJ230" t="str">
        <f>SUBSTITUTE(Table1[[#This Row],[Category]],"Electronics","ELECTRONICS")</f>
        <v>ELECTRONICS</v>
      </c>
      <c r="BN230" t="s">
        <v>366</v>
      </c>
      <c r="BS230" s="14">
        <v>3</v>
      </c>
      <c r="BT230" s="3">
        <v>4999</v>
      </c>
      <c r="BU230" s="4">
        <v>10</v>
      </c>
      <c r="BV230" s="4" t="str">
        <f>IF(AND(Table1[[#This Row],[Quantity]]&gt;=3,Table1[[#This Row],[Discount_%]]&gt;=15%),"Bulk Discount","no")</f>
        <v>Bulk Discount</v>
      </c>
      <c r="BW230" s="4" t="str">
        <f>IF(AND(Table1[[#This Row],[Quantity]]&gt;3,Table1[[#This Row],[Discount_%]]&gt;15%),"Bulk Customer","Normal")</f>
        <v>Normal</v>
      </c>
      <c r="BX230" t="s">
        <v>172</v>
      </c>
      <c r="BY230" t="s">
        <v>136</v>
      </c>
      <c r="CC230" t="str">
        <f>IF(OR(Table1[[#This Row],[Order_Status]]="Returned",Table1[[#This Row],[Order_Status]]="Cancelled"),"Attention Required","Not")</f>
        <v>Not</v>
      </c>
      <c r="CD230" t="str">
        <f>IF(OR(Table1[[#This Row],[Order_Status]]="Returned",Table1[[#This Row],[Order_Status]]="Cancelled"),"Review","no")</f>
        <v>no</v>
      </c>
      <c r="CE230" t="str">
        <f>SUBSTITUTE(Table1[[#This Row],[Order_Status]],"Delivered","Completed")</f>
        <v>Completed</v>
      </c>
      <c r="CF230" s="2">
        <v>45835</v>
      </c>
      <c r="CG230" s="17">
        <f>NETWORKDAYS(Table1[[#This Row],[Order_Date]],Table1[[#This Row],[Delivery_Date]])</f>
        <v>5</v>
      </c>
      <c r="CH230" s="17">
        <f>Table1[[#This Row],[Delivery_Date]]-Table1[[#This Row],[Order_Date]]</f>
        <v>5</v>
      </c>
      <c r="CI230" t="s">
        <v>137</v>
      </c>
      <c r="CJ230" t="str">
        <f>IF(Table1[[#This Row],[Rating]]&gt;=4,"Good","Needs Improvement")</f>
        <v>Needs Improvement</v>
      </c>
      <c r="CK230" t="str">
        <f>IF(OR(Table1[[#This Row],[Rating]]&lt;=2,Table1[[#This Row],[Profit]]&lt;0),"Review","NO")</f>
        <v>Review</v>
      </c>
      <c r="CL230" t="e" cm="1">
        <f t="array" ref="CL230">_xlfn.IFS(Table1[[#This Row],[Rating]]&gt;2,"Poor",Table1[[#This Row],[Rating]]=3,"Average",Table1[[#This Row],[Rating]]=4,"Good",CP230=5,"Excellent")</f>
        <v>#N/A</v>
      </c>
      <c r="CM230">
        <f>COUNT(Table1[[#This Row],[Rating]])</f>
        <v>1</v>
      </c>
      <c r="CN230">
        <f>COUNTBLANK(Table1[[#This Row],[Rating]])</f>
        <v>0</v>
      </c>
      <c r="CP230" t="s">
        <v>157</v>
      </c>
      <c r="CQ230" s="14">
        <v>2</v>
      </c>
      <c r="CR230" t="s">
        <v>204</v>
      </c>
      <c r="CS230" t="s">
        <v>158</v>
      </c>
      <c r="CU230" s="3">
        <v>13497.3</v>
      </c>
      <c r="CV230" s="3">
        <f>ROUND(Table1[[#This Row],[Sales_Amount]],0)</f>
        <v>13497</v>
      </c>
      <c r="CW230" s="3"/>
      <c r="CX230" s="3"/>
      <c r="CY230" s="3" t="str">
        <f>IF(AND(Table1[[#This Row],[Sales_Amount]]&gt;=10000,Table1[[#This Row],[Profit]]&gt;0),"Good Order")</f>
        <v>Good Order</v>
      </c>
      <c r="CZ230" s="3" t="str">
        <f>IF(Table1[[#This Row],[Sales_Amount]]&gt;=10000,"High","Normal")</f>
        <v>High</v>
      </c>
      <c r="DA230" s="3">
        <v>4197.3</v>
      </c>
      <c r="DB230" s="3">
        <f>ROUND(Table1[[#This Row],[Profit]],0)</f>
        <v>4197</v>
      </c>
      <c r="DC230" s="3">
        <f>ABS(Table1[[#This Row],[Profit]])</f>
        <v>4197.3</v>
      </c>
      <c r="DD230" s="3"/>
      <c r="DE230" s="3"/>
      <c r="DF230" s="3"/>
      <c r="DG230" s="3" t="str">
        <f>IF(Table1[[#This Row],[Profit]]&gt;0,"Profit","Loss")</f>
        <v>Profit</v>
      </c>
      <c r="DH230" s="3" t="str">
        <f>IF(AND(Table1[[#This Row],[Sales_Amount]]&gt;=10000,Table1[[#This Row],[Profit]]&gt;0),"Priority","Normal")</f>
        <v>Priority</v>
      </c>
      <c r="DI230" s="3">
        <f t="shared" ca="1" si="23"/>
        <v>0.49094357767059527</v>
      </c>
      <c r="DJ230" s="3">
        <f t="shared" ca="1" si="24"/>
        <v>61</v>
      </c>
      <c r="DK230" s="3"/>
      <c r="DL230" s="3"/>
      <c r="DM230" s="3"/>
      <c r="DN230" s="3"/>
      <c r="DO230" s="3"/>
      <c r="DP230" s="3"/>
    </row>
    <row r="231" spans="1:120">
      <c r="A231" t="s">
        <v>1125</v>
      </c>
      <c r="B231" t="str">
        <f>REPLACE(Table1[[#This Row],[Order_ID]],1,3,"YOO")</f>
        <v>YOO10230</v>
      </c>
      <c r="C231" t="str">
        <f>MID(Table1[[#This Row],[Order_ID]],4,4)</f>
        <v>1023</v>
      </c>
      <c r="D231" t="str">
        <f>LEFT(Table1[[#This Row],[Order_ID]],4)</f>
        <v>ORD1</v>
      </c>
      <c r="E231" t="str">
        <f>RIGHT(Table1[[#This Row],[Order_ID]],5)</f>
        <v>10230</v>
      </c>
      <c r="F231" t="s">
        <v>5</v>
      </c>
      <c r="G231">
        <v>10230</v>
      </c>
      <c r="H231" t="s">
        <v>1126</v>
      </c>
      <c r="I231" s="2">
        <f>EDATE(Table1[[#This Row],[Order_Date]],3)</f>
        <v>46004</v>
      </c>
      <c r="J231" s="2">
        <f>EDATE(Table1[[#This Row],[Order_Date]],6)</f>
        <v>46094</v>
      </c>
      <c r="K231">
        <f ca="1">YEAR(Table1[[#This Row],[Today]])</f>
        <v>2026</v>
      </c>
      <c r="L231">
        <v>230</v>
      </c>
      <c r="M231">
        <f ca="1">DAY(Table1[[#This Row],[Today]])</f>
        <v>11</v>
      </c>
      <c r="N231" s="19">
        <f t="shared" ca="1" si="27"/>
        <v>46245.589795370368</v>
      </c>
      <c r="O231" s="2">
        <f t="shared" ca="1" si="22"/>
        <v>46245</v>
      </c>
      <c r="P231" s="17">
        <f ca="1">Table1[[#This Row],[Today]]-Table1[[#This Row],[Order_Date]]</f>
        <v>332</v>
      </c>
      <c r="Q231" s="2">
        <v>45887</v>
      </c>
      <c r="R231" s="2">
        <v>45913</v>
      </c>
      <c r="S231" s="6">
        <f t="shared" si="25"/>
        <v>2025</v>
      </c>
      <c r="T231" s="7" t="str">
        <f t="shared" si="26"/>
        <v>September</v>
      </c>
      <c r="U231" s="2">
        <f>WORKDAY(Table1[[#This Row],[Order_Date]],5)</f>
        <v>45919</v>
      </c>
      <c r="V231" s="7" t="str">
        <f>CONCATENATE(Table1[[#This Row],[Customer_ID]],Table1[[#This Row],[Customer_Name]])</f>
        <v>C1126Rohan Mehta</v>
      </c>
      <c r="W231" t="s">
        <v>568</v>
      </c>
      <c r="X231" t="s">
        <v>388</v>
      </c>
      <c r="Y231">
        <f>COUNTA(Table1[[#This Row],[Customer_Name]])</f>
        <v>1</v>
      </c>
      <c r="Z231" t="str">
        <f>SUBSTITUTE(Table1[[#This Row],[Customer_Name]]," ","_")</f>
        <v>Rohan_Mehta</v>
      </c>
      <c r="AA231" s="10">
        <f>IFERROR(SEARCH("a",Table1[[#This Row],[Customer_Name]]),"N/A")</f>
        <v>4</v>
      </c>
      <c r="AB231">
        <f>SEARCH(" ",Table1[[#This Row],[Customer_Name]])</f>
        <v>6</v>
      </c>
      <c r="AC231" s="11">
        <f>IFERROR(FIND("a",Table1[[#This Row],[Customer_Name]]),"N/A")</f>
        <v>4</v>
      </c>
      <c r="AD231">
        <f>FIND(" ",Table1[[#This Row],[Customer_Name]])</f>
        <v>6</v>
      </c>
      <c r="AE231" t="str">
        <f>TRIM(Table1[[#This Row],[Customer_Name]])</f>
        <v>Rohan Mehta</v>
      </c>
      <c r="AF231">
        <f>LEN(Table1[[#This Row],[Trimmed]])</f>
        <v>11</v>
      </c>
      <c r="AG231">
        <f>MAX(Table1[Length])</f>
        <v>15</v>
      </c>
      <c r="AH231" t="str">
        <f>PROPER(Table1[[#This Row],[Customer_Name]])</f>
        <v>Rohan Mehta</v>
      </c>
      <c r="AI231" t="str">
        <f>LOWER(Table1[[#This Row],[Customer_Name]])</f>
        <v>rohan mehta</v>
      </c>
      <c r="AJ231" t="str">
        <f>UPPER(Table1[[#This Row],[Customer_Name]])</f>
        <v>ROHAN MEHTA</v>
      </c>
      <c r="AK231" t="str">
        <f>CONCATENATE(Table1[[#This Row],[Customer_ID]],Table1[[#This Row],[Customer_Name]])</f>
        <v>C1126Rohan Mehta</v>
      </c>
      <c r="AL231" t="s">
        <v>389</v>
      </c>
      <c r="AM231" t="s">
        <v>390</v>
      </c>
      <c r="AN231" t="s">
        <v>391</v>
      </c>
      <c r="AO231" t="s">
        <v>389</v>
      </c>
      <c r="AP231" t="s">
        <v>390</v>
      </c>
      <c r="AQ231" t="s">
        <v>569</v>
      </c>
      <c r="AR231" t="str">
        <f>TRIM(Table1[[#This Row],[City]])</f>
        <v>Delhi</v>
      </c>
      <c r="AS231" t="str">
        <f>PROPER(Table1[[#This Row],[City]])</f>
        <v>Delhi</v>
      </c>
      <c r="AT231" t="s">
        <v>569</v>
      </c>
      <c r="AU231" t="str">
        <f>CONCATENATE(Table1[[#This Row],[City]],Table1[[#This Row],[State]])</f>
        <v>DelhiDelhi</v>
      </c>
      <c r="AV231" t="s">
        <v>150</v>
      </c>
      <c r="AW231" t="s">
        <v>169</v>
      </c>
      <c r="AX231" t="str">
        <f>REPLACE(Table1[[#This Row],[Product_ID]],1,1,"s")</f>
        <v>s112</v>
      </c>
      <c r="AY231" t="s">
        <v>1127</v>
      </c>
      <c r="AZ231">
        <f>SEARCH("-",Table1[[#This Row],[Product ID]])</f>
        <v>2</v>
      </c>
      <c r="BA231">
        <f>FIND("-",Table1[[#This Row],[Product ID]])</f>
        <v>2</v>
      </c>
      <c r="BB231" t="str">
        <f>MID(Table1[[#This Row],[Product_ID]],2,3)</f>
        <v>112</v>
      </c>
      <c r="BC231" t="str">
        <f>RIGHT(Table1[[#This Row],[Product_ID]],3)</f>
        <v>112</v>
      </c>
      <c r="BD231" t="str">
        <f>LEFT(Table1[[#This Row],[Product_ID]],3)</f>
        <v>P11</v>
      </c>
      <c r="BE231" t="str">
        <f>_xlfn.XLOOKUP(Table1[[#This Row],[Product_ID]],AW:AW,BF:BF,,0)</f>
        <v>Air Fryer</v>
      </c>
      <c r="BF231" t="s">
        <v>171</v>
      </c>
      <c r="BG231">
        <f>LEN(Table1[[#This Row],[Product_Name]])</f>
        <v>9</v>
      </c>
      <c r="BH231" t="s">
        <v>133</v>
      </c>
      <c r="BI231">
        <f t="shared" si="28"/>
        <v>75</v>
      </c>
      <c r="BJ231" t="str">
        <f>SUBSTITUTE(Table1[[#This Row],[Category]],"Electronics","ELECTRONICS")</f>
        <v>Home</v>
      </c>
      <c r="BN231" t="s">
        <v>134</v>
      </c>
      <c r="BS231" s="14">
        <v>2</v>
      </c>
      <c r="BT231" s="3">
        <v>6499</v>
      </c>
      <c r="BU231" s="4">
        <v>15</v>
      </c>
      <c r="BV231" s="4" t="str">
        <f>IF(AND(Table1[[#This Row],[Quantity]]&gt;=3,Table1[[#This Row],[Discount_%]]&gt;=15%),"Bulk Discount","no")</f>
        <v>no</v>
      </c>
      <c r="BW231" s="4" t="str">
        <f>IF(AND(Table1[[#This Row],[Quantity]]&gt;3,Table1[[#This Row],[Discount_%]]&gt;15%),"Bulk Customer","Normal")</f>
        <v>Normal</v>
      </c>
      <c r="BX231" t="s">
        <v>135</v>
      </c>
      <c r="BY231" t="s">
        <v>193</v>
      </c>
      <c r="CC231" t="str">
        <f>IF(OR(Table1[[#This Row],[Order_Status]]="Returned",Table1[[#This Row],[Order_Status]]="Cancelled"),"Attention Required","Not")</f>
        <v>Not</v>
      </c>
      <c r="CD231" t="str">
        <f>IF(OR(Table1[[#This Row],[Order_Status]]="Returned",Table1[[#This Row],[Order_Status]]="Cancelled"),"Review","no")</f>
        <v>no</v>
      </c>
      <c r="CE231" t="str">
        <f>SUBSTITUTE(Table1[[#This Row],[Order_Status]],"Delivered","Completed")</f>
        <v>Shipped</v>
      </c>
      <c r="CF231" s="2">
        <v>45917</v>
      </c>
      <c r="CG231" s="17">
        <f>NETWORKDAYS(Table1[[#This Row],[Order_Date]],Table1[[#This Row],[Delivery_Date]])</f>
        <v>3</v>
      </c>
      <c r="CH231" s="17">
        <f>Table1[[#This Row],[Delivery_Date]]-Table1[[#This Row],[Order_Date]]</f>
        <v>4</v>
      </c>
      <c r="CI231" t="s">
        <v>137</v>
      </c>
      <c r="CJ231" t="str">
        <f>IF(Table1[[#This Row],[Rating]]&gt;=4,"Good","Needs Improvement")</f>
        <v>Good</v>
      </c>
      <c r="CK231" t="str">
        <f>IF(OR(Table1[[#This Row],[Rating]]&lt;=2,Table1[[#This Row],[Profit]]&lt;0),"Review","NO")</f>
        <v>NO</v>
      </c>
      <c r="CL231" t="str" cm="1">
        <f t="array" ref="CL231">_xlfn.IFS(Table1[[#This Row],[Rating]]&gt;2,"Poor",Table1[[#This Row],[Rating]]=3,"Average",Table1[[#This Row],[Rating]]=4,"Good",CP231=5,"Excellent")</f>
        <v>Poor</v>
      </c>
      <c r="CM231">
        <f>COUNT(Table1[[#This Row],[Rating]])</f>
        <v>1</v>
      </c>
      <c r="CN231">
        <f>COUNTBLANK(Table1[[#This Row],[Rating]])</f>
        <v>0</v>
      </c>
      <c r="CQ231" s="14">
        <v>5</v>
      </c>
      <c r="CR231" t="s">
        <v>173</v>
      </c>
      <c r="CS231" t="s">
        <v>213</v>
      </c>
      <c r="CU231" s="3">
        <v>11048.3</v>
      </c>
      <c r="CV231" s="3">
        <f>ROUND(Table1[[#This Row],[Sales_Amount]],0)</f>
        <v>11048</v>
      </c>
      <c r="CW231" s="3"/>
      <c r="CX231" s="3"/>
      <c r="CY231" s="3" t="str">
        <f>IF(AND(Table1[[#This Row],[Sales_Amount]]&gt;=10000,Table1[[#This Row],[Profit]]&gt;0),"Good Order")</f>
        <v>Good Order</v>
      </c>
      <c r="CZ231" s="3" t="str">
        <f>IF(Table1[[#This Row],[Sales_Amount]]&gt;=10000,"High","Normal")</f>
        <v>High</v>
      </c>
      <c r="DA231" s="3">
        <v>2448.3000000000002</v>
      </c>
      <c r="DB231" s="3">
        <f>ROUND(Table1[[#This Row],[Profit]],0)</f>
        <v>2448</v>
      </c>
      <c r="DC231" s="3">
        <f>ABS(Table1[[#This Row],[Profit]])</f>
        <v>2448.3000000000002</v>
      </c>
      <c r="DD231" s="3"/>
      <c r="DE231" s="3"/>
      <c r="DF231" s="3"/>
      <c r="DG231" s="3" t="str">
        <f>IF(Table1[[#This Row],[Profit]]&gt;0,"Profit","Loss")</f>
        <v>Profit</v>
      </c>
      <c r="DH231" s="3" t="str">
        <f>IF(AND(Table1[[#This Row],[Sales_Amount]]&gt;=10000,Table1[[#This Row],[Profit]]&gt;0),"Priority","Normal")</f>
        <v>Priority</v>
      </c>
      <c r="DI231" s="3">
        <f t="shared" ca="1" si="23"/>
        <v>0.82239341460273307</v>
      </c>
      <c r="DJ231" s="3">
        <f t="shared" ca="1" si="24"/>
        <v>77</v>
      </c>
      <c r="DK231" s="3"/>
      <c r="DL231" s="3"/>
      <c r="DM231" s="3"/>
      <c r="DN231" s="3"/>
      <c r="DO231" s="3"/>
      <c r="DP231" s="3"/>
    </row>
    <row r="232" spans="1:120">
      <c r="A232" t="s">
        <v>1128</v>
      </c>
      <c r="B232" t="str">
        <f>REPLACE(Table1[[#This Row],[Order_ID]],1,3,"YOO")</f>
        <v>YOO10231</v>
      </c>
      <c r="C232" t="str">
        <f>MID(Table1[[#This Row],[Order_ID]],4,4)</f>
        <v>1023</v>
      </c>
      <c r="D232" t="str">
        <f>LEFT(Table1[[#This Row],[Order_ID]],4)</f>
        <v>ORD1</v>
      </c>
      <c r="E232" t="str">
        <f>RIGHT(Table1[[#This Row],[Order_ID]],5)</f>
        <v>10231</v>
      </c>
      <c r="F232" t="s">
        <v>5</v>
      </c>
      <c r="G232">
        <v>10231</v>
      </c>
      <c r="H232" t="s">
        <v>1129</v>
      </c>
      <c r="I232" s="2">
        <f>EDATE(Table1[[#This Row],[Order_Date]],3)</f>
        <v>46211</v>
      </c>
      <c r="J232" s="2">
        <f>EDATE(Table1[[#This Row],[Order_Date]],6)</f>
        <v>46303</v>
      </c>
      <c r="K232">
        <f ca="1">YEAR(Table1[[#This Row],[Today]])</f>
        <v>2026</v>
      </c>
      <c r="L232">
        <v>231</v>
      </c>
      <c r="M232">
        <f ca="1">DAY(Table1[[#This Row],[Today]])</f>
        <v>11</v>
      </c>
      <c r="N232" s="19">
        <f t="shared" ca="1" si="27"/>
        <v>46245.589795370368</v>
      </c>
      <c r="O232" s="2">
        <f t="shared" ca="1" si="22"/>
        <v>46245</v>
      </c>
      <c r="P232" s="17">
        <f ca="1">Table1[[#This Row],[Today]]-Table1[[#This Row],[Order_Date]]</f>
        <v>125</v>
      </c>
      <c r="Q232" s="2">
        <v>45888</v>
      </c>
      <c r="R232" s="2">
        <v>46120</v>
      </c>
      <c r="S232" s="6">
        <f t="shared" si="25"/>
        <v>2026</v>
      </c>
      <c r="T232" s="7" t="str">
        <f t="shared" si="26"/>
        <v>April</v>
      </c>
      <c r="U232" s="2">
        <f>WORKDAY(Table1[[#This Row],[Order_Date]],5)</f>
        <v>46127</v>
      </c>
      <c r="V232" s="7" t="str">
        <f>CONCATENATE(Table1[[#This Row],[Customer_ID]],Table1[[#This Row],[Customer_Name]])</f>
        <v>C1117Kavya Shah</v>
      </c>
      <c r="W232" t="s">
        <v>487</v>
      </c>
      <c r="X232" t="s">
        <v>271</v>
      </c>
      <c r="Y232">
        <f>COUNTA(Table1[[#This Row],[Customer_Name]])</f>
        <v>1</v>
      </c>
      <c r="Z232" t="str">
        <f>SUBSTITUTE(Table1[[#This Row],[Customer_Name]]," ","_")</f>
        <v>Kavya_Shah</v>
      </c>
      <c r="AA232" s="10">
        <f>IFERROR(SEARCH("a",Table1[[#This Row],[Customer_Name]]),"N/A")</f>
        <v>2</v>
      </c>
      <c r="AB232">
        <f>SEARCH(" ",Table1[[#This Row],[Customer_Name]])</f>
        <v>6</v>
      </c>
      <c r="AC232" s="11">
        <f>IFERROR(FIND("a",Table1[[#This Row],[Customer_Name]]),"N/A")</f>
        <v>2</v>
      </c>
      <c r="AD232">
        <f>FIND(" ",Table1[[#This Row],[Customer_Name]])</f>
        <v>6</v>
      </c>
      <c r="AE232" t="str">
        <f>TRIM(Table1[[#This Row],[Customer_Name]])</f>
        <v>Kavya Shah</v>
      </c>
      <c r="AF232">
        <f>LEN(Table1[[#This Row],[Trimmed]])</f>
        <v>10</v>
      </c>
      <c r="AG232">
        <f>MAX(Table1[Length])</f>
        <v>15</v>
      </c>
      <c r="AH232" t="str">
        <f>PROPER(Table1[[#This Row],[Customer_Name]])</f>
        <v>Kavya Shah</v>
      </c>
      <c r="AI232" t="str">
        <f>LOWER(Table1[[#This Row],[Customer_Name]])</f>
        <v>kavya shah</v>
      </c>
      <c r="AJ232" t="str">
        <f>UPPER(Table1[[#This Row],[Customer_Name]])</f>
        <v>KAVYA SHAH</v>
      </c>
      <c r="AK232" t="str">
        <f>CONCATENATE(Table1[[#This Row],[Customer_ID]],Table1[[#This Row],[Customer_Name]])</f>
        <v>C1117Kavya Shah</v>
      </c>
      <c r="AL232" t="s">
        <v>272</v>
      </c>
      <c r="AM232" t="s">
        <v>273</v>
      </c>
      <c r="AN232" t="s">
        <v>274</v>
      </c>
      <c r="AO232" t="s">
        <v>272</v>
      </c>
      <c r="AP232" t="s">
        <v>273</v>
      </c>
      <c r="AQ232" t="s">
        <v>166</v>
      </c>
      <c r="AR232" t="str">
        <f>TRIM(Table1[[#This Row],[City]])</f>
        <v>Bengaluru</v>
      </c>
      <c r="AS232" t="str">
        <f>PROPER(Table1[[#This Row],[City]])</f>
        <v>Bengaluru</v>
      </c>
      <c r="AT232" t="s">
        <v>167</v>
      </c>
      <c r="AU232" t="str">
        <f>CONCATENATE(Table1[[#This Row],[City]],Table1[[#This Row],[State]])</f>
        <v>BengaluruKarnataka</v>
      </c>
      <c r="AV232" t="s">
        <v>168</v>
      </c>
      <c r="AW232" t="s">
        <v>236</v>
      </c>
      <c r="AX232" t="str">
        <f>REPLACE(Table1[[#This Row],[Product_ID]],1,1,"s")</f>
        <v>s107</v>
      </c>
      <c r="AY232" t="s">
        <v>1130</v>
      </c>
      <c r="AZ232">
        <f>SEARCH("-",Table1[[#This Row],[Product ID]])</f>
        <v>2</v>
      </c>
      <c r="BA232">
        <f>FIND("-",Table1[[#This Row],[Product ID]])</f>
        <v>2</v>
      </c>
      <c r="BB232" t="str">
        <f>MID(Table1[[#This Row],[Product_ID]],2,3)</f>
        <v>107</v>
      </c>
      <c r="BC232" t="str">
        <f>RIGHT(Table1[[#This Row],[Product_ID]],3)</f>
        <v>107</v>
      </c>
      <c r="BD232" t="str">
        <f>LEFT(Table1[[#This Row],[Product_ID]],3)</f>
        <v>P10</v>
      </c>
      <c r="BE232" t="str">
        <f>_xlfn.XLOOKUP(Table1[[#This Row],[Product_ID]],AW:AW,BF:BF,,0)</f>
        <v>Casual Sneakers</v>
      </c>
      <c r="BF232" t="s">
        <v>238</v>
      </c>
      <c r="BG232">
        <f>LEN(Table1[[#This Row],[Product_Name]])</f>
        <v>15</v>
      </c>
      <c r="BH232" t="s">
        <v>224</v>
      </c>
      <c r="BI232">
        <f t="shared" si="28"/>
        <v>75</v>
      </c>
      <c r="BJ232" t="str">
        <f>SUBSTITUTE(Table1[[#This Row],[Category]],"Electronics","ELECTRONICS")</f>
        <v>Fashion</v>
      </c>
      <c r="BN232" t="s">
        <v>225</v>
      </c>
      <c r="BS232" s="14">
        <v>1</v>
      </c>
      <c r="BT232" s="3">
        <v>2799</v>
      </c>
      <c r="BU232" s="4">
        <v>0</v>
      </c>
      <c r="BV232" s="4" t="str">
        <f>IF(AND(Table1[[#This Row],[Quantity]]&gt;=3,Table1[[#This Row],[Discount_%]]&gt;=15%),"Bulk Discount","no")</f>
        <v>no</v>
      </c>
      <c r="BW232" s="4" t="str">
        <f>IF(AND(Table1[[#This Row],[Quantity]]&gt;3,Table1[[#This Row],[Discount_%]]&gt;15%),"Bulk Customer","Normal")</f>
        <v>Normal</v>
      </c>
      <c r="BX232" t="s">
        <v>192</v>
      </c>
      <c r="BY232" t="s">
        <v>136</v>
      </c>
      <c r="CC232" t="str">
        <f>IF(OR(Table1[[#This Row],[Order_Status]]="Returned",Table1[[#This Row],[Order_Status]]="Cancelled"),"Attention Required","Not")</f>
        <v>Not</v>
      </c>
      <c r="CD232" t="str">
        <f>IF(OR(Table1[[#This Row],[Order_Status]]="Returned",Table1[[#This Row],[Order_Status]]="Cancelled"),"Review","no")</f>
        <v>no</v>
      </c>
      <c r="CE232" t="str">
        <f>SUBSTITUTE(Table1[[#This Row],[Order_Status]],"Delivered","Completed")</f>
        <v>Completed</v>
      </c>
      <c r="CF232" s="2">
        <v>46125</v>
      </c>
      <c r="CG232" s="17">
        <f>NETWORKDAYS(Table1[[#This Row],[Order_Date]],Table1[[#This Row],[Delivery_Date]])</f>
        <v>4</v>
      </c>
      <c r="CH232" s="17">
        <f>Table1[[#This Row],[Delivery_Date]]-Table1[[#This Row],[Order_Date]]</f>
        <v>5</v>
      </c>
      <c r="CI232" t="s">
        <v>137</v>
      </c>
      <c r="CJ232" t="str">
        <f>IF(Table1[[#This Row],[Rating]]&gt;=4,"Good","Needs Improvement")</f>
        <v>Good</v>
      </c>
      <c r="CK232" t="str">
        <f>IF(OR(Table1[[#This Row],[Rating]]&lt;=2,Table1[[#This Row],[Profit]]&lt;0),"Review","NO")</f>
        <v>NO</v>
      </c>
      <c r="CL232" t="str" cm="1">
        <f t="array" ref="CL232">_xlfn.IFS(Table1[[#This Row],[Rating]]&gt;2,"Poor",Table1[[#This Row],[Rating]]=3,"Average",Table1[[#This Row],[Rating]]=4,"Good",CP232=5,"Excellent")</f>
        <v>Poor</v>
      </c>
      <c r="CM232">
        <f>COUNT(Table1[[#This Row],[Rating]])</f>
        <v>1</v>
      </c>
      <c r="CN232">
        <f>COUNTBLANK(Table1[[#This Row],[Rating]])</f>
        <v>0</v>
      </c>
      <c r="CP232" t="s">
        <v>266</v>
      </c>
      <c r="CQ232" s="14">
        <v>5</v>
      </c>
      <c r="CR232" t="s">
        <v>139</v>
      </c>
      <c r="CS232" t="s">
        <v>213</v>
      </c>
      <c r="CU232" s="3">
        <v>2799</v>
      </c>
      <c r="CV232" s="3">
        <f>ROUND(Table1[[#This Row],[Sales_Amount]],0)</f>
        <v>2799</v>
      </c>
      <c r="CW232" s="3"/>
      <c r="CX232" s="3"/>
      <c r="CY232" s="3" t="b">
        <f>IF(AND(Table1[[#This Row],[Sales_Amount]]&gt;=10000,Table1[[#This Row],[Profit]]&gt;0),"Good Order")</f>
        <v>0</v>
      </c>
      <c r="CZ232" s="3" t="str">
        <f>IF(Table1[[#This Row],[Sales_Amount]]&gt;=10000,"High","Normal")</f>
        <v>Normal</v>
      </c>
      <c r="DA232" s="3">
        <v>1299</v>
      </c>
      <c r="DB232" s="3">
        <f>ROUND(Table1[[#This Row],[Profit]],0)</f>
        <v>1299</v>
      </c>
      <c r="DC232" s="3">
        <f>ABS(Table1[[#This Row],[Profit]])</f>
        <v>1299</v>
      </c>
      <c r="DD232" s="3"/>
      <c r="DE232" s="3"/>
      <c r="DF232" s="3"/>
      <c r="DG232" s="3" t="str">
        <f>IF(Table1[[#This Row],[Profit]]&gt;0,"Profit","Loss")</f>
        <v>Profit</v>
      </c>
      <c r="DH232" s="3" t="str">
        <f>IF(AND(Table1[[#This Row],[Sales_Amount]]&gt;=10000,Table1[[#This Row],[Profit]]&gt;0),"Priority","Normal")</f>
        <v>Normal</v>
      </c>
      <c r="DI232" s="3">
        <f t="shared" ca="1" si="23"/>
        <v>0.60867136785226139</v>
      </c>
      <c r="DJ232" s="3">
        <f t="shared" ca="1" si="24"/>
        <v>49</v>
      </c>
      <c r="DK232" s="3"/>
      <c r="DL232" s="3"/>
      <c r="DM232" s="3"/>
      <c r="DN232" s="3"/>
      <c r="DO232" s="3"/>
      <c r="DP232" s="3"/>
    </row>
    <row r="233" spans="1:120">
      <c r="A233" t="s">
        <v>1131</v>
      </c>
      <c r="B233" t="str">
        <f>REPLACE(Table1[[#This Row],[Order_ID]],1,3,"YOO")</f>
        <v>YOO10232</v>
      </c>
      <c r="C233" t="str">
        <f>MID(Table1[[#This Row],[Order_ID]],4,4)</f>
        <v>1023</v>
      </c>
      <c r="D233" t="str">
        <f>LEFT(Table1[[#This Row],[Order_ID]],4)</f>
        <v>ORD1</v>
      </c>
      <c r="E233" t="str">
        <f>RIGHT(Table1[[#This Row],[Order_ID]],5)</f>
        <v>10232</v>
      </c>
      <c r="F233" t="s">
        <v>5</v>
      </c>
      <c r="G233">
        <v>10232</v>
      </c>
      <c r="H233" t="s">
        <v>1132</v>
      </c>
      <c r="I233" s="2">
        <f>EDATE(Table1[[#This Row],[Order_Date]],3)</f>
        <v>46218</v>
      </c>
      <c r="J233" s="2">
        <f>EDATE(Table1[[#This Row],[Order_Date]],6)</f>
        <v>46310</v>
      </c>
      <c r="K233">
        <f ca="1">YEAR(Table1[[#This Row],[Today]])</f>
        <v>2026</v>
      </c>
      <c r="L233">
        <v>232</v>
      </c>
      <c r="M233">
        <f ca="1">DAY(Table1[[#This Row],[Today]])</f>
        <v>11</v>
      </c>
      <c r="N233" s="19">
        <f t="shared" ca="1" si="27"/>
        <v>46245.589795138891</v>
      </c>
      <c r="O233" s="2">
        <f t="shared" ca="1" si="22"/>
        <v>46245</v>
      </c>
      <c r="P233" s="17">
        <f ca="1">Table1[[#This Row],[Today]]-Table1[[#This Row],[Order_Date]]</f>
        <v>118</v>
      </c>
      <c r="Q233" s="2">
        <v>45889</v>
      </c>
      <c r="R233" s="2">
        <v>46127</v>
      </c>
      <c r="S233" s="6">
        <f t="shared" si="25"/>
        <v>2026</v>
      </c>
      <c r="T233" s="7" t="str">
        <f t="shared" si="26"/>
        <v>April</v>
      </c>
      <c r="U233" s="2">
        <f>WORKDAY(Table1[[#This Row],[Order_Date]],5)</f>
        <v>46134</v>
      </c>
      <c r="V233" s="7" t="str">
        <f>CONCATENATE(Table1[[#This Row],[Customer_ID]],Table1[[#This Row],[Customer_Name]])</f>
        <v>C1110Karan Patel</v>
      </c>
      <c r="W233" t="s">
        <v>692</v>
      </c>
      <c r="X233" t="s">
        <v>280</v>
      </c>
      <c r="Y233">
        <f>COUNTA(Table1[[#This Row],[Customer_Name]])</f>
        <v>1</v>
      </c>
      <c r="Z233" t="str">
        <f>SUBSTITUTE(Table1[[#This Row],[Customer_Name]]," ","_")</f>
        <v>Karan_Patel</v>
      </c>
      <c r="AA233" s="10">
        <f>IFERROR(SEARCH("a",Table1[[#This Row],[Customer_Name]]),"N/A")</f>
        <v>2</v>
      </c>
      <c r="AB233">
        <f>SEARCH(" ",Table1[[#This Row],[Customer_Name]])</f>
        <v>6</v>
      </c>
      <c r="AC233" s="11">
        <f>IFERROR(FIND("a",Table1[[#This Row],[Customer_Name]]),"N/A")</f>
        <v>2</v>
      </c>
      <c r="AD233">
        <f>FIND(" ",Table1[[#This Row],[Customer_Name]])</f>
        <v>6</v>
      </c>
      <c r="AE233" t="str">
        <f>TRIM(Table1[[#This Row],[Customer_Name]])</f>
        <v>Karan Patel</v>
      </c>
      <c r="AF233">
        <f>LEN(Table1[[#This Row],[Trimmed]])</f>
        <v>11</v>
      </c>
      <c r="AG233">
        <f>MAX(Table1[Length])</f>
        <v>15</v>
      </c>
      <c r="AH233" t="str">
        <f>PROPER(Table1[[#This Row],[Customer_Name]])</f>
        <v>Karan Patel</v>
      </c>
      <c r="AI233" t="str">
        <f>LOWER(Table1[[#This Row],[Customer_Name]])</f>
        <v>karan patel</v>
      </c>
      <c r="AJ233" t="str">
        <f>UPPER(Table1[[#This Row],[Customer_Name]])</f>
        <v>KARAN PATEL</v>
      </c>
      <c r="AK233" t="str">
        <f>CONCATENATE(Table1[[#This Row],[Customer_ID]],Table1[[#This Row],[Customer_Name]])</f>
        <v>C1110Karan Patel</v>
      </c>
      <c r="AL233" t="s">
        <v>281</v>
      </c>
      <c r="AM233" t="s">
        <v>282</v>
      </c>
      <c r="AN233" t="s">
        <v>283</v>
      </c>
      <c r="AO233" t="s">
        <v>281</v>
      </c>
      <c r="AP233" t="s">
        <v>282</v>
      </c>
      <c r="AQ233" t="s">
        <v>423</v>
      </c>
      <c r="AR233" t="str">
        <f>TRIM(Table1[[#This Row],[City]])</f>
        <v>Ahmedabad</v>
      </c>
      <c r="AS233" t="str">
        <f>PROPER(Table1[[#This Row],[City]])</f>
        <v>Ahmedabad</v>
      </c>
      <c r="AT233" t="s">
        <v>424</v>
      </c>
      <c r="AU233" t="str">
        <f>CONCATENATE(Table1[[#This Row],[City]],Table1[[#This Row],[State]])</f>
        <v>AhmedabadGujarat</v>
      </c>
      <c r="AV233" t="s">
        <v>129</v>
      </c>
      <c r="AW233" t="s">
        <v>151</v>
      </c>
      <c r="AX233" t="str">
        <f>REPLACE(Table1[[#This Row],[Product_ID]],1,1,"s")</f>
        <v>s102</v>
      </c>
      <c r="AY233" t="s">
        <v>1133</v>
      </c>
      <c r="AZ233">
        <f>SEARCH("-",Table1[[#This Row],[Product ID]])</f>
        <v>2</v>
      </c>
      <c r="BA233">
        <f>FIND("-",Table1[[#This Row],[Product ID]])</f>
        <v>2</v>
      </c>
      <c r="BB233" t="str">
        <f>MID(Table1[[#This Row],[Product_ID]],2,3)</f>
        <v>102</v>
      </c>
      <c r="BC233" t="str">
        <f>RIGHT(Table1[[#This Row],[Product_ID]],3)</f>
        <v>102</v>
      </c>
      <c r="BD233" t="str">
        <f>LEFT(Table1[[#This Row],[Product_ID]],3)</f>
        <v>P10</v>
      </c>
      <c r="BE233" t="str">
        <f>_xlfn.XLOOKUP(Table1[[#This Row],[Product_ID]],AW:AW,BF:BF,,0)</f>
        <v>Mechanical Keyboard</v>
      </c>
      <c r="BF233" t="s">
        <v>153</v>
      </c>
      <c r="BG233">
        <f>LEN(Table1[[#This Row],[Product_Name]])</f>
        <v>19</v>
      </c>
      <c r="BH233" t="s">
        <v>154</v>
      </c>
      <c r="BI233">
        <f t="shared" si="28"/>
        <v>75</v>
      </c>
      <c r="BJ233" t="str">
        <f>SUBSTITUTE(Table1[[#This Row],[Category]],"Electronics","ELECTRONICS")</f>
        <v>ELECTRONICS</v>
      </c>
      <c r="BN233" t="s">
        <v>155</v>
      </c>
      <c r="BS233" s="14">
        <v>3</v>
      </c>
      <c r="BT233" s="3">
        <v>2499</v>
      </c>
      <c r="BU233" s="4">
        <v>0</v>
      </c>
      <c r="BV233" s="4" t="str">
        <f>IF(AND(Table1[[#This Row],[Quantity]]&gt;=3,Table1[[#This Row],[Discount_%]]&gt;=15%),"Bulk Discount","no")</f>
        <v>no</v>
      </c>
      <c r="BW233" s="4" t="str">
        <f>IF(AND(Table1[[#This Row],[Quantity]]&gt;3,Table1[[#This Row],[Discount_%]]&gt;15%),"Bulk Customer","Normal")</f>
        <v>Normal</v>
      </c>
      <c r="BX233" t="s">
        <v>330</v>
      </c>
      <c r="BY233" t="s">
        <v>193</v>
      </c>
      <c r="CC233" t="str">
        <f>IF(OR(Table1[[#This Row],[Order_Status]]="Returned",Table1[[#This Row],[Order_Status]]="Cancelled"),"Attention Required","Not")</f>
        <v>Not</v>
      </c>
      <c r="CD233" t="str">
        <f>IF(OR(Table1[[#This Row],[Order_Status]]="Returned",Table1[[#This Row],[Order_Status]]="Cancelled"),"Review","no")</f>
        <v>no</v>
      </c>
      <c r="CE233" t="str">
        <f>SUBSTITUTE(Table1[[#This Row],[Order_Status]],"Delivered","Completed")</f>
        <v>Shipped</v>
      </c>
      <c r="CF233" s="2">
        <v>46134</v>
      </c>
      <c r="CG233" s="17">
        <f>NETWORKDAYS(Table1[[#This Row],[Order_Date]],Table1[[#This Row],[Delivery_Date]])</f>
        <v>6</v>
      </c>
      <c r="CH233" s="17">
        <f>Table1[[#This Row],[Delivery_Date]]-Table1[[#This Row],[Order_Date]]</f>
        <v>7</v>
      </c>
      <c r="CI233" t="s">
        <v>137</v>
      </c>
      <c r="CJ233" t="str">
        <f>IF(Table1[[#This Row],[Rating]]&gt;=4,"Good","Needs Improvement")</f>
        <v>Good</v>
      </c>
      <c r="CK233" t="str">
        <f>IF(OR(Table1[[#This Row],[Rating]]&lt;=2,Table1[[#This Row],[Profit]]&lt;0),"Review","NO")</f>
        <v>NO</v>
      </c>
      <c r="CL233" t="str" cm="1">
        <f t="array" ref="CL233">_xlfn.IFS(Table1[[#This Row],[Rating]]&gt;2,"Poor",Table1[[#This Row],[Rating]]=3,"Average",Table1[[#This Row],[Rating]]=4,"Good",CP233=5,"Excellent")</f>
        <v>Poor</v>
      </c>
      <c r="CM233">
        <f>COUNT(Table1[[#This Row],[Rating]])</f>
        <v>1</v>
      </c>
      <c r="CN233">
        <f>COUNTBLANK(Table1[[#This Row],[Rating]])</f>
        <v>0</v>
      </c>
      <c r="CP233" t="s">
        <v>157</v>
      </c>
      <c r="CQ233" s="14">
        <v>4</v>
      </c>
      <c r="CR233" t="s">
        <v>173</v>
      </c>
      <c r="CS233" t="s">
        <v>195</v>
      </c>
      <c r="CU233" s="3">
        <v>7497</v>
      </c>
      <c r="CV233" s="3">
        <f>ROUND(Table1[[#This Row],[Sales_Amount]],0)</f>
        <v>7497</v>
      </c>
      <c r="CW233" s="3"/>
      <c r="CX233" s="3"/>
      <c r="CY233" s="3" t="b">
        <f>IF(AND(Table1[[#This Row],[Sales_Amount]]&gt;=10000,Table1[[#This Row],[Profit]]&gt;0),"Good Order")</f>
        <v>0</v>
      </c>
      <c r="CZ233" s="3" t="str">
        <f>IF(Table1[[#This Row],[Sales_Amount]]&gt;=10000,"High","Normal")</f>
        <v>Normal</v>
      </c>
      <c r="DA233" s="3">
        <v>3147</v>
      </c>
      <c r="DB233" s="3">
        <f>ROUND(Table1[[#This Row],[Profit]],0)</f>
        <v>3147</v>
      </c>
      <c r="DC233" s="3">
        <f>ABS(Table1[[#This Row],[Profit]])</f>
        <v>3147</v>
      </c>
      <c r="DD233" s="3"/>
      <c r="DE233" s="3"/>
      <c r="DF233" s="3"/>
      <c r="DG233" s="3" t="str">
        <f>IF(Table1[[#This Row],[Profit]]&gt;0,"Profit","Loss")</f>
        <v>Profit</v>
      </c>
      <c r="DH233" s="3" t="str">
        <f>IF(AND(Table1[[#This Row],[Sales_Amount]]&gt;=10000,Table1[[#This Row],[Profit]]&gt;0),"Priority","Normal")</f>
        <v>Normal</v>
      </c>
      <c r="DI233" s="3">
        <f t="shared" ca="1" si="23"/>
        <v>0.12408101885317691</v>
      </c>
      <c r="DJ233" s="3">
        <f t="shared" ca="1" si="24"/>
        <v>25</v>
      </c>
      <c r="DK233" s="3"/>
      <c r="DL233" s="3"/>
      <c r="DM233" s="3"/>
      <c r="DN233" s="3"/>
      <c r="DO233" s="3"/>
      <c r="DP233" s="3"/>
    </row>
    <row r="234" spans="1:120">
      <c r="A234" t="s">
        <v>1134</v>
      </c>
      <c r="B234" t="str">
        <f>REPLACE(Table1[[#This Row],[Order_ID]],1,3,"YOO")</f>
        <v>YOO10233</v>
      </c>
      <c r="C234" t="str">
        <f>MID(Table1[[#This Row],[Order_ID]],4,4)</f>
        <v>1023</v>
      </c>
      <c r="D234" t="str">
        <f>LEFT(Table1[[#This Row],[Order_ID]],4)</f>
        <v>ORD1</v>
      </c>
      <c r="E234" t="str">
        <f>RIGHT(Table1[[#This Row],[Order_ID]],5)</f>
        <v>10233</v>
      </c>
      <c r="F234" t="s">
        <v>5</v>
      </c>
      <c r="G234">
        <v>10233</v>
      </c>
      <c r="H234" t="s">
        <v>1135</v>
      </c>
      <c r="I234" s="2">
        <f>EDATE(Table1[[#This Row],[Order_Date]],3)</f>
        <v>45883</v>
      </c>
      <c r="J234" s="2">
        <f>EDATE(Table1[[#This Row],[Order_Date]],6)</f>
        <v>45975</v>
      </c>
      <c r="K234">
        <f ca="1">YEAR(Table1[[#This Row],[Today]])</f>
        <v>2026</v>
      </c>
      <c r="L234">
        <v>233</v>
      </c>
      <c r="M234">
        <f ca="1">DAY(Table1[[#This Row],[Today]])</f>
        <v>11</v>
      </c>
      <c r="N234" s="19">
        <f t="shared" ca="1" si="27"/>
        <v>46245.589795370368</v>
      </c>
      <c r="O234" s="2">
        <f t="shared" ca="1" si="22"/>
        <v>46245</v>
      </c>
      <c r="P234" s="17">
        <f ca="1">Table1[[#This Row],[Today]]-Table1[[#This Row],[Order_Date]]</f>
        <v>454</v>
      </c>
      <c r="Q234" s="2">
        <v>45890</v>
      </c>
      <c r="R234" s="2">
        <v>45791</v>
      </c>
      <c r="S234" s="6">
        <f t="shared" si="25"/>
        <v>2025</v>
      </c>
      <c r="T234" s="7" t="str">
        <f t="shared" si="26"/>
        <v>May</v>
      </c>
      <c r="U234" s="2">
        <f>WORKDAY(Table1[[#This Row],[Order_Date]],5)</f>
        <v>45798</v>
      </c>
      <c r="V234" s="7" t="str">
        <f>CONCATENATE(Table1[[#This Row],[Customer_ID]],Table1[[#This Row],[Customer_Name]])</f>
        <v>C1012Neha Gupta</v>
      </c>
      <c r="W234" t="s">
        <v>410</v>
      </c>
      <c r="X234" t="s">
        <v>229</v>
      </c>
      <c r="Y234">
        <f>COUNTA(Table1[[#This Row],[Customer_Name]])</f>
        <v>1</v>
      </c>
      <c r="Z234" t="str">
        <f>SUBSTITUTE(Table1[[#This Row],[Customer_Name]]," ","_")</f>
        <v>Neha_Gupta</v>
      </c>
      <c r="AA234" s="10">
        <f>IFERROR(SEARCH("a",Table1[[#This Row],[Customer_Name]]),"N/A")</f>
        <v>4</v>
      </c>
      <c r="AB234">
        <f>SEARCH(" ",Table1[[#This Row],[Customer_Name]])</f>
        <v>5</v>
      </c>
      <c r="AC234" s="11">
        <f>IFERROR(FIND("a",Table1[[#This Row],[Customer_Name]]),"N/A")</f>
        <v>4</v>
      </c>
      <c r="AD234">
        <f>FIND(" ",Table1[[#This Row],[Customer_Name]])</f>
        <v>5</v>
      </c>
      <c r="AE234" t="str">
        <f>TRIM(Table1[[#This Row],[Customer_Name]])</f>
        <v>Neha Gupta</v>
      </c>
      <c r="AF234">
        <f>LEN(Table1[[#This Row],[Trimmed]])</f>
        <v>10</v>
      </c>
      <c r="AG234">
        <f>MAX(Table1[Length])</f>
        <v>15</v>
      </c>
      <c r="AH234" t="str">
        <f>PROPER(Table1[[#This Row],[Customer_Name]])</f>
        <v>Neha Gupta</v>
      </c>
      <c r="AI234" t="str">
        <f>LOWER(Table1[[#This Row],[Customer_Name]])</f>
        <v>neha gupta</v>
      </c>
      <c r="AJ234" t="str">
        <f>UPPER(Table1[[#This Row],[Customer_Name]])</f>
        <v>NEHA GUPTA</v>
      </c>
      <c r="AK234" t="str">
        <f>CONCATENATE(Table1[[#This Row],[Customer_ID]],Table1[[#This Row],[Customer_Name]])</f>
        <v>C1012Neha Gupta</v>
      </c>
      <c r="AL234" t="s">
        <v>230</v>
      </c>
      <c r="AM234" t="s">
        <v>231</v>
      </c>
      <c r="AN234" t="s">
        <v>232</v>
      </c>
      <c r="AO234" t="s">
        <v>230</v>
      </c>
      <c r="AP234" t="s">
        <v>231</v>
      </c>
      <c r="AQ234" t="s">
        <v>304</v>
      </c>
      <c r="AR234" t="str">
        <f>TRIM(Table1[[#This Row],[City]])</f>
        <v>Chennai</v>
      </c>
      <c r="AS234" t="str">
        <f>PROPER(Table1[[#This Row],[City]])</f>
        <v>Chennai</v>
      </c>
      <c r="AT234" t="s">
        <v>305</v>
      </c>
      <c r="AU234" t="str">
        <f>CONCATENATE(Table1[[#This Row],[City]],Table1[[#This Row],[State]])</f>
        <v>ChennaiTamil Nadu</v>
      </c>
      <c r="AV234" t="s">
        <v>168</v>
      </c>
      <c r="AW234" t="s">
        <v>221</v>
      </c>
      <c r="AX234" t="str">
        <f>REPLACE(Table1[[#This Row],[Product_ID]],1,1,"s")</f>
        <v>s106</v>
      </c>
      <c r="AY234" t="s">
        <v>1136</v>
      </c>
      <c r="AZ234">
        <f>SEARCH("-",Table1[[#This Row],[Product ID]])</f>
        <v>2</v>
      </c>
      <c r="BA234">
        <f>FIND("-",Table1[[#This Row],[Product ID]])</f>
        <v>2</v>
      </c>
      <c r="BB234" t="str">
        <f>MID(Table1[[#This Row],[Product_ID]],2,3)</f>
        <v>106</v>
      </c>
      <c r="BC234" t="str">
        <f>RIGHT(Table1[[#This Row],[Product_ID]],3)</f>
        <v>106</v>
      </c>
      <c r="BD234" t="str">
        <f>LEFT(Table1[[#This Row],[Product_ID]],3)</f>
        <v>P10</v>
      </c>
      <c r="BE234" t="str">
        <f>_xlfn.XLOOKUP(Table1[[#This Row],[Product_ID]],AW:AW,BF:BF,,0)</f>
        <v>Running Shoes</v>
      </c>
      <c r="BF234" t="s">
        <v>223</v>
      </c>
      <c r="BG234">
        <f>LEN(Table1[[#This Row],[Product_Name]])</f>
        <v>13</v>
      </c>
      <c r="BH234" t="s">
        <v>224</v>
      </c>
      <c r="BI234">
        <f t="shared" si="28"/>
        <v>75</v>
      </c>
      <c r="BJ234" t="str">
        <f>SUBSTITUTE(Table1[[#This Row],[Category]],"Electronics","ELECTRONICS")</f>
        <v>Fashion</v>
      </c>
      <c r="BN234" t="s">
        <v>225</v>
      </c>
      <c r="BS234" s="14">
        <v>5</v>
      </c>
      <c r="BT234" s="3">
        <v>3499</v>
      </c>
      <c r="BU234" s="4">
        <v>25</v>
      </c>
      <c r="BV234" s="4" t="str">
        <f>IF(AND(Table1[[#This Row],[Quantity]]&gt;=3,Table1[[#This Row],[Discount_%]]&gt;=15%),"Bulk Discount","no")</f>
        <v>Bulk Discount</v>
      </c>
      <c r="BW234" s="4" t="str">
        <f>IF(AND(Table1[[#This Row],[Quantity]]&gt;3,Table1[[#This Row],[Discount_%]]&gt;15%),"Bulk Customer","Normal")</f>
        <v>Bulk Customer</v>
      </c>
      <c r="BX234" t="s">
        <v>330</v>
      </c>
      <c r="BY234" t="s">
        <v>193</v>
      </c>
      <c r="CC234" t="str">
        <f>IF(OR(Table1[[#This Row],[Order_Status]]="Returned",Table1[[#This Row],[Order_Status]]="Cancelled"),"Attention Required","Not")</f>
        <v>Not</v>
      </c>
      <c r="CD234" t="str">
        <f>IF(OR(Table1[[#This Row],[Order_Status]]="Returned",Table1[[#This Row],[Order_Status]]="Cancelled"),"Review","no")</f>
        <v>no</v>
      </c>
      <c r="CE234" t="str">
        <f>SUBSTITUTE(Table1[[#This Row],[Order_Status]],"Delivered","Completed")</f>
        <v>Shipped</v>
      </c>
      <c r="CF234" s="2">
        <v>45797</v>
      </c>
      <c r="CG234" s="17">
        <f>NETWORKDAYS(Table1[[#This Row],[Order_Date]],Table1[[#This Row],[Delivery_Date]])</f>
        <v>5</v>
      </c>
      <c r="CH234" s="17">
        <f>Table1[[#This Row],[Delivery_Date]]-Table1[[#This Row],[Order_Date]]</f>
        <v>6</v>
      </c>
      <c r="CI234" t="s">
        <v>137</v>
      </c>
      <c r="CJ234" t="str">
        <f>IF(Table1[[#This Row],[Rating]]&gt;=4,"Good","Needs Improvement")</f>
        <v>Needs Improvement</v>
      </c>
      <c r="CK234" t="str">
        <f>IF(OR(Table1[[#This Row],[Rating]]&lt;=2,Table1[[#This Row],[Profit]]&lt;0),"Review","NO")</f>
        <v>Review</v>
      </c>
      <c r="CL234" t="e" cm="1">
        <f t="array" ref="CL234">_xlfn.IFS(Table1[[#This Row],[Rating]]&gt;2,"Poor",Table1[[#This Row],[Rating]]=3,"Average",Table1[[#This Row],[Rating]]=4,"Good",CP234=5,"Excellent")</f>
        <v>#N/A</v>
      </c>
      <c r="CM234">
        <f>COUNT(Table1[[#This Row],[Rating]])</f>
        <v>1</v>
      </c>
      <c r="CN234">
        <f>COUNTBLANK(Table1[[#This Row],[Rating]])</f>
        <v>0</v>
      </c>
      <c r="CP234" t="s">
        <v>331</v>
      </c>
      <c r="CQ234" s="14">
        <v>1</v>
      </c>
      <c r="CR234" t="s">
        <v>139</v>
      </c>
      <c r="CS234" t="s">
        <v>158</v>
      </c>
      <c r="CU234" s="3">
        <v>13121.25</v>
      </c>
      <c r="CV234" s="3">
        <f>ROUND(Table1[[#This Row],[Sales_Amount]],0)</f>
        <v>13121</v>
      </c>
      <c r="CW234" s="3"/>
      <c r="CX234" s="3"/>
      <c r="CY234" s="3" t="str">
        <f>IF(AND(Table1[[#This Row],[Sales_Amount]]&gt;=10000,Table1[[#This Row],[Profit]]&gt;0),"Good Order")</f>
        <v>Good Order</v>
      </c>
      <c r="CZ234" s="3" t="str">
        <f>IF(Table1[[#This Row],[Sales_Amount]]&gt;=10000,"High","Normal")</f>
        <v>High</v>
      </c>
      <c r="DA234" s="3">
        <v>3621.25</v>
      </c>
      <c r="DB234" s="3">
        <f>ROUND(Table1[[#This Row],[Profit]],0)</f>
        <v>3621</v>
      </c>
      <c r="DC234" s="3">
        <f>ABS(Table1[[#This Row],[Profit]])</f>
        <v>3621.25</v>
      </c>
      <c r="DD234" s="3"/>
      <c r="DE234" s="3"/>
      <c r="DF234" s="3"/>
      <c r="DG234" s="3" t="str">
        <f>IF(Table1[[#This Row],[Profit]]&gt;0,"Profit","Loss")</f>
        <v>Profit</v>
      </c>
      <c r="DH234" s="3" t="str">
        <f>IF(AND(Table1[[#This Row],[Sales_Amount]]&gt;=10000,Table1[[#This Row],[Profit]]&gt;0),"Priority","Normal")</f>
        <v>Priority</v>
      </c>
      <c r="DI234" s="3">
        <f t="shared" ca="1" si="23"/>
        <v>0.92411095477166572</v>
      </c>
      <c r="DJ234" s="3">
        <f t="shared" ca="1" si="24"/>
        <v>83</v>
      </c>
      <c r="DK234" s="3"/>
      <c r="DL234" s="3"/>
      <c r="DM234" s="3"/>
      <c r="DN234" s="3"/>
      <c r="DO234" s="3"/>
      <c r="DP234" s="3"/>
    </row>
    <row r="235" spans="1:120">
      <c r="A235" t="s">
        <v>1137</v>
      </c>
      <c r="B235" t="str">
        <f>REPLACE(Table1[[#This Row],[Order_ID]],1,3,"YOO")</f>
        <v>YOO10234</v>
      </c>
      <c r="C235" t="str">
        <f>MID(Table1[[#This Row],[Order_ID]],4,4)</f>
        <v>1023</v>
      </c>
      <c r="D235" t="str">
        <f>LEFT(Table1[[#This Row],[Order_ID]],4)</f>
        <v>ORD1</v>
      </c>
      <c r="E235" t="str">
        <f>RIGHT(Table1[[#This Row],[Order_ID]],5)</f>
        <v>10234</v>
      </c>
      <c r="F235" t="s">
        <v>5</v>
      </c>
      <c r="G235">
        <v>10234</v>
      </c>
      <c r="H235" t="s">
        <v>1138</v>
      </c>
      <c r="I235" s="2">
        <f>EDATE(Table1[[#This Row],[Order_Date]],3)</f>
        <v>45748</v>
      </c>
      <c r="J235" s="2">
        <f>EDATE(Table1[[#This Row],[Order_Date]],6)</f>
        <v>45839</v>
      </c>
      <c r="K235">
        <f ca="1">YEAR(Table1[[#This Row],[Today]])</f>
        <v>2026</v>
      </c>
      <c r="L235">
        <v>234</v>
      </c>
      <c r="M235">
        <f ca="1">DAY(Table1[[#This Row],[Today]])</f>
        <v>11</v>
      </c>
      <c r="N235" s="19">
        <f t="shared" ca="1" si="27"/>
        <v>46245.589795370368</v>
      </c>
      <c r="O235" s="2">
        <f t="shared" ca="1" si="22"/>
        <v>46245</v>
      </c>
      <c r="P235" s="17">
        <f ca="1">Table1[[#This Row],[Today]]-Table1[[#This Row],[Order_Date]]</f>
        <v>587</v>
      </c>
      <c r="Q235" s="2">
        <v>45891</v>
      </c>
      <c r="R235" s="2">
        <v>45658</v>
      </c>
      <c r="S235" s="6">
        <f t="shared" si="25"/>
        <v>2025</v>
      </c>
      <c r="T235" s="7" t="str">
        <f t="shared" si="26"/>
        <v>January</v>
      </c>
      <c r="U235" s="2">
        <f>WORKDAY(Table1[[#This Row],[Order_Date]],5)</f>
        <v>45665</v>
      </c>
      <c r="V235" s="7" t="str">
        <f>CONCATENATE(Table1[[#This Row],[Customer_ID]],Table1[[#This Row],[Customer_Name]])</f>
        <v>C1041Vikas Yadav</v>
      </c>
      <c r="W235" t="s">
        <v>1139</v>
      </c>
      <c r="X235" t="s">
        <v>208</v>
      </c>
      <c r="Y235">
        <f>COUNTA(Table1[[#This Row],[Customer_Name]])</f>
        <v>1</v>
      </c>
      <c r="Z235" t="str">
        <f>SUBSTITUTE(Table1[[#This Row],[Customer_Name]]," ","_")</f>
        <v>Vikas_Yadav</v>
      </c>
      <c r="AA235" s="10">
        <f>IFERROR(SEARCH("a",Table1[[#This Row],[Customer_Name]]),"N/A")</f>
        <v>4</v>
      </c>
      <c r="AB235">
        <f>SEARCH(" ",Table1[[#This Row],[Customer_Name]])</f>
        <v>6</v>
      </c>
      <c r="AC235" s="11">
        <f>IFERROR(FIND("a",Table1[[#This Row],[Customer_Name]]),"N/A")</f>
        <v>4</v>
      </c>
      <c r="AD235">
        <f>FIND(" ",Table1[[#This Row],[Customer_Name]])</f>
        <v>6</v>
      </c>
      <c r="AE235" t="str">
        <f>TRIM(Table1[[#This Row],[Customer_Name]])</f>
        <v>Vikas Yadav</v>
      </c>
      <c r="AF235">
        <f>LEN(Table1[[#This Row],[Trimmed]])</f>
        <v>11</v>
      </c>
      <c r="AG235">
        <f>MAX(Table1[Length])</f>
        <v>15</v>
      </c>
      <c r="AH235" t="str">
        <f>PROPER(Table1[[#This Row],[Customer_Name]])</f>
        <v>Vikas Yadav</v>
      </c>
      <c r="AI235" t="str">
        <f>LOWER(Table1[[#This Row],[Customer_Name]])</f>
        <v>vikas yadav</v>
      </c>
      <c r="AJ235" t="str">
        <f>UPPER(Table1[[#This Row],[Customer_Name]])</f>
        <v>VIKAS YADAV</v>
      </c>
      <c r="AK235" t="str">
        <f>CONCATENATE(Table1[[#This Row],[Customer_ID]],Table1[[#This Row],[Customer_Name]])</f>
        <v>C1041Vikas Yadav</v>
      </c>
      <c r="AL235" t="s">
        <v>209</v>
      </c>
      <c r="AM235" t="s">
        <v>210</v>
      </c>
      <c r="AN235" t="s">
        <v>211</v>
      </c>
      <c r="AO235" t="s">
        <v>209</v>
      </c>
      <c r="AP235" t="s">
        <v>210</v>
      </c>
      <c r="AQ235" t="s">
        <v>284</v>
      </c>
      <c r="AR235" t="str">
        <f>TRIM(Table1[[#This Row],[City]])</f>
        <v>Hyderabad</v>
      </c>
      <c r="AS235" t="str">
        <f>PROPER(Table1[[#This Row],[City]])</f>
        <v>Hyderabad</v>
      </c>
      <c r="AT235" t="s">
        <v>285</v>
      </c>
      <c r="AU235" t="str">
        <f>CONCATENATE(Table1[[#This Row],[City]],Table1[[#This Row],[State]])</f>
        <v>HyderabadTelangana</v>
      </c>
      <c r="AV235" t="s">
        <v>168</v>
      </c>
      <c r="AW235" t="s">
        <v>370</v>
      </c>
      <c r="AX235" t="str">
        <f>REPLACE(Table1[[#This Row],[Product_ID]],1,1,"s")</f>
        <v>s108</v>
      </c>
      <c r="AY235" t="s">
        <v>1140</v>
      </c>
      <c r="AZ235">
        <f>SEARCH("-",Table1[[#This Row],[Product ID]])</f>
        <v>2</v>
      </c>
      <c r="BA235">
        <f>FIND("-",Table1[[#This Row],[Product ID]])</f>
        <v>2</v>
      </c>
      <c r="BB235" t="str">
        <f>MID(Table1[[#This Row],[Product_ID]],2,3)</f>
        <v>108</v>
      </c>
      <c r="BC235" t="str">
        <f>RIGHT(Table1[[#This Row],[Product_ID]],3)</f>
        <v>108</v>
      </c>
      <c r="BD235" t="str">
        <f>LEFT(Table1[[#This Row],[Product_ID]],3)</f>
        <v>P10</v>
      </c>
      <c r="BE235" t="str">
        <f>_xlfn.XLOOKUP(Table1[[#This Row],[Product_ID]],AW:AW,BF:BF,,0)</f>
        <v>Hoodie</v>
      </c>
      <c r="BF235" t="s">
        <v>372</v>
      </c>
      <c r="BG235">
        <f>LEN(Table1[[#This Row],[Product_Name]])</f>
        <v>6</v>
      </c>
      <c r="BH235" t="s">
        <v>224</v>
      </c>
      <c r="BI235">
        <f t="shared" si="28"/>
        <v>75</v>
      </c>
      <c r="BJ235" t="str">
        <f>SUBSTITUTE(Table1[[#This Row],[Category]],"Electronics","ELECTRONICS")</f>
        <v>Fashion</v>
      </c>
      <c r="BN235" t="s">
        <v>373</v>
      </c>
      <c r="BS235" s="14">
        <v>4</v>
      </c>
      <c r="BT235" s="3">
        <v>1999</v>
      </c>
      <c r="BU235" s="4">
        <v>10</v>
      </c>
      <c r="BV235" s="4" t="str">
        <f>IF(AND(Table1[[#This Row],[Quantity]]&gt;=3,Table1[[#This Row],[Discount_%]]&gt;=15%),"Bulk Discount","no")</f>
        <v>Bulk Discount</v>
      </c>
      <c r="BW235" s="4" t="str">
        <f>IF(AND(Table1[[#This Row],[Quantity]]&gt;3,Table1[[#This Row],[Discount_%]]&gt;15%),"Bulk Customer","Normal")</f>
        <v>Bulk Customer</v>
      </c>
      <c r="BX235" t="s">
        <v>172</v>
      </c>
      <c r="BY235" t="s">
        <v>374</v>
      </c>
      <c r="CC235" t="str">
        <f>IF(OR(Table1[[#This Row],[Order_Status]]="Returned",Table1[[#This Row],[Order_Status]]="Cancelled"),"Attention Required","Not")</f>
        <v>Attention Required</v>
      </c>
      <c r="CD235" t="str">
        <f>IF(OR(Table1[[#This Row],[Order_Status]]="Returned",Table1[[#This Row],[Order_Status]]="Cancelled"),"Review","no")</f>
        <v>Review</v>
      </c>
      <c r="CE235" t="str">
        <f>SUBSTITUTE(Table1[[#This Row],[Order_Status]],"Delivered","Completed")</f>
        <v>Returned</v>
      </c>
      <c r="CF235" s="2">
        <v>45661</v>
      </c>
      <c r="CG235" s="17">
        <f>NETWORKDAYS(Table1[[#This Row],[Order_Date]],Table1[[#This Row],[Delivery_Date]])</f>
        <v>3</v>
      </c>
      <c r="CH235" s="17">
        <f>Table1[[#This Row],[Delivery_Date]]-Table1[[#This Row],[Order_Date]]</f>
        <v>3</v>
      </c>
      <c r="CI235" t="s">
        <v>375</v>
      </c>
      <c r="CJ235" t="str">
        <f>IF(Table1[[#This Row],[Rating]]&gt;=4,"Good","Needs Improvement")</f>
        <v>Good</v>
      </c>
      <c r="CK235" t="str">
        <f>IF(OR(Table1[[#This Row],[Rating]]&lt;=2,Table1[[#This Row],[Profit]]&lt;0),"Review","NO")</f>
        <v>NO</v>
      </c>
      <c r="CL235" t="str" cm="1">
        <f t="array" ref="CL235">_xlfn.IFS(Table1[[#This Row],[Rating]]&gt;2,"Poor",Table1[[#This Row],[Rating]]=3,"Average",Table1[[#This Row],[Rating]]=4,"Good",CP235=5,"Excellent")</f>
        <v>Poor</v>
      </c>
      <c r="CM235">
        <f>COUNT(Table1[[#This Row],[Rating]])</f>
        <v>1</v>
      </c>
      <c r="CN235">
        <f>COUNTBLANK(Table1[[#This Row],[Rating]])</f>
        <v>0</v>
      </c>
      <c r="CQ235" s="14">
        <v>4</v>
      </c>
      <c r="CR235" t="s">
        <v>173</v>
      </c>
      <c r="CS235" t="s">
        <v>195</v>
      </c>
      <c r="CU235" s="3">
        <v>7196.4</v>
      </c>
      <c r="CV235" s="3">
        <f>ROUND(Table1[[#This Row],[Sales_Amount]],0)</f>
        <v>7196</v>
      </c>
      <c r="CW235" s="3"/>
      <c r="CX235" s="3"/>
      <c r="CY235" s="3" t="b">
        <f>IF(AND(Table1[[#This Row],[Sales_Amount]]&gt;=10000,Table1[[#This Row],[Profit]]&gt;0),"Good Order")</f>
        <v>0</v>
      </c>
      <c r="CZ235" s="3" t="str">
        <f>IF(Table1[[#This Row],[Sales_Amount]]&gt;=10000,"High","Normal")</f>
        <v>Normal</v>
      </c>
      <c r="DA235" s="3">
        <v>2996.4</v>
      </c>
      <c r="DB235" s="3">
        <f>ROUND(Table1[[#This Row],[Profit]],0)</f>
        <v>2996</v>
      </c>
      <c r="DC235" s="3">
        <f>ABS(Table1[[#This Row],[Profit]])</f>
        <v>2996.4</v>
      </c>
      <c r="DD235" s="3"/>
      <c r="DE235" s="3"/>
      <c r="DF235" s="3"/>
      <c r="DG235" s="3" t="str">
        <f>IF(Table1[[#This Row],[Profit]]&gt;0,"Profit","Loss")</f>
        <v>Profit</v>
      </c>
      <c r="DH235" s="3" t="str">
        <f>IF(AND(Table1[[#This Row],[Sales_Amount]]&gt;=10000,Table1[[#This Row],[Profit]]&gt;0),"Priority","Normal")</f>
        <v>Normal</v>
      </c>
      <c r="DI235" s="3">
        <f t="shared" ca="1" si="23"/>
        <v>0.14150749938487583</v>
      </c>
      <c r="DJ235" s="3">
        <f t="shared" ca="1" si="24"/>
        <v>100</v>
      </c>
      <c r="DK235" s="3"/>
      <c r="DL235" s="3"/>
      <c r="DM235" s="3"/>
      <c r="DN235" s="3"/>
      <c r="DO235" s="3"/>
      <c r="DP235" s="3"/>
    </row>
    <row r="236" spans="1:120">
      <c r="A236" t="s">
        <v>1141</v>
      </c>
      <c r="B236" t="str">
        <f>REPLACE(Table1[[#This Row],[Order_ID]],1,3,"YOO")</f>
        <v>YOO10235</v>
      </c>
      <c r="C236" t="str">
        <f>MID(Table1[[#This Row],[Order_ID]],4,4)</f>
        <v>1023</v>
      </c>
      <c r="D236" t="str">
        <f>LEFT(Table1[[#This Row],[Order_ID]],4)</f>
        <v>ORD1</v>
      </c>
      <c r="E236" t="str">
        <f>RIGHT(Table1[[#This Row],[Order_ID]],5)</f>
        <v>10235</v>
      </c>
      <c r="F236" t="s">
        <v>5</v>
      </c>
      <c r="G236">
        <v>10235</v>
      </c>
      <c r="H236" t="s">
        <v>1142</v>
      </c>
      <c r="I236" s="2">
        <f>EDATE(Table1[[#This Row],[Order_Date]],3)</f>
        <v>45919</v>
      </c>
      <c r="J236" s="2">
        <f>EDATE(Table1[[#This Row],[Order_Date]],6)</f>
        <v>46010</v>
      </c>
      <c r="K236">
        <f ca="1">YEAR(Table1[[#This Row],[Today]])</f>
        <v>2026</v>
      </c>
      <c r="L236">
        <v>235</v>
      </c>
      <c r="M236">
        <f ca="1">DAY(Table1[[#This Row],[Today]])</f>
        <v>11</v>
      </c>
      <c r="N236" s="19">
        <f t="shared" ca="1" si="27"/>
        <v>46245.589795138891</v>
      </c>
      <c r="O236" s="2">
        <f t="shared" ca="1" si="22"/>
        <v>46245</v>
      </c>
      <c r="P236" s="17">
        <f ca="1">Table1[[#This Row],[Today]]-Table1[[#This Row],[Order_Date]]</f>
        <v>418</v>
      </c>
      <c r="Q236" s="2">
        <v>45892</v>
      </c>
      <c r="R236" s="2">
        <v>45827</v>
      </c>
      <c r="S236" s="6">
        <f t="shared" si="25"/>
        <v>2025</v>
      </c>
      <c r="T236" s="7" t="str">
        <f t="shared" si="26"/>
        <v>June</v>
      </c>
      <c r="U236" s="2">
        <f>WORKDAY(Table1[[#This Row],[Order_Date]],5)</f>
        <v>45834</v>
      </c>
      <c r="V236" s="7" t="str">
        <f>CONCATENATE(Table1[[#This Row],[Customer_ID]],Table1[[#This Row],[Customer_Name]])</f>
        <v>C1110Aman Singh</v>
      </c>
      <c r="W236" t="s">
        <v>692</v>
      </c>
      <c r="X236" t="s">
        <v>123</v>
      </c>
      <c r="Y236">
        <f>COUNTA(Table1[[#This Row],[Customer_Name]])</f>
        <v>1</v>
      </c>
      <c r="Z236" t="str">
        <f>SUBSTITUTE(Table1[[#This Row],[Customer_Name]]," ","_")</f>
        <v>Aman_Singh</v>
      </c>
      <c r="AA236" s="10">
        <f>IFERROR(SEARCH("a",Table1[[#This Row],[Customer_Name]]),"N/A")</f>
        <v>1</v>
      </c>
      <c r="AB236">
        <f>SEARCH(" ",Table1[[#This Row],[Customer_Name]])</f>
        <v>5</v>
      </c>
      <c r="AC236" s="11">
        <f>IFERROR(FIND("a",Table1[[#This Row],[Customer_Name]]),"N/A")</f>
        <v>3</v>
      </c>
      <c r="AD236">
        <f>FIND(" ",Table1[[#This Row],[Customer_Name]])</f>
        <v>5</v>
      </c>
      <c r="AE236" t="str">
        <f>TRIM(Table1[[#This Row],[Customer_Name]])</f>
        <v>Aman Singh</v>
      </c>
      <c r="AF236">
        <f>LEN(Table1[[#This Row],[Trimmed]])</f>
        <v>10</v>
      </c>
      <c r="AG236">
        <f>MAX(Table1[Length])</f>
        <v>15</v>
      </c>
      <c r="AH236" t="str">
        <f>PROPER(Table1[[#This Row],[Customer_Name]])</f>
        <v>Aman Singh</v>
      </c>
      <c r="AI236" t="str">
        <f>LOWER(Table1[[#This Row],[Customer_Name]])</f>
        <v>aman singh</v>
      </c>
      <c r="AJ236" t="str">
        <f>UPPER(Table1[[#This Row],[Customer_Name]])</f>
        <v>AMAN SINGH</v>
      </c>
      <c r="AK236" t="str">
        <f>CONCATENATE(Table1[[#This Row],[Customer_ID]],Table1[[#This Row],[Customer_Name]])</f>
        <v>C1110Aman Singh</v>
      </c>
      <c r="AL236" t="s">
        <v>124</v>
      </c>
      <c r="AM236" t="s">
        <v>125</v>
      </c>
      <c r="AN236" t="s">
        <v>126</v>
      </c>
      <c r="AO236" t="s">
        <v>124</v>
      </c>
      <c r="AP236" t="s">
        <v>125</v>
      </c>
      <c r="AQ236" t="s">
        <v>344</v>
      </c>
      <c r="AR236" t="str">
        <f>TRIM(Table1[[#This Row],[City]])</f>
        <v>Bhopal</v>
      </c>
      <c r="AS236" t="str">
        <f>PROPER(Table1[[#This Row],[City]])</f>
        <v>Bhopal</v>
      </c>
      <c r="AT236" t="s">
        <v>345</v>
      </c>
      <c r="AU236" t="str">
        <f>CONCATENATE(Table1[[#This Row],[City]],Table1[[#This Row],[State]])</f>
        <v>BhopalMadhya Pradesh</v>
      </c>
      <c r="AV236" t="s">
        <v>346</v>
      </c>
      <c r="AW236" t="s">
        <v>151</v>
      </c>
      <c r="AX236" t="str">
        <f>REPLACE(Table1[[#This Row],[Product_ID]],1,1,"s")</f>
        <v>s102</v>
      </c>
      <c r="AY236" t="s">
        <v>1143</v>
      </c>
      <c r="AZ236">
        <f>SEARCH("-",Table1[[#This Row],[Product ID]])</f>
        <v>2</v>
      </c>
      <c r="BA236">
        <f>FIND("-",Table1[[#This Row],[Product ID]])</f>
        <v>2</v>
      </c>
      <c r="BB236" t="str">
        <f>MID(Table1[[#This Row],[Product_ID]],2,3)</f>
        <v>102</v>
      </c>
      <c r="BC236" t="str">
        <f>RIGHT(Table1[[#This Row],[Product_ID]],3)</f>
        <v>102</v>
      </c>
      <c r="BD236" t="str">
        <f>LEFT(Table1[[#This Row],[Product_ID]],3)</f>
        <v>P10</v>
      </c>
      <c r="BE236" t="str">
        <f>_xlfn.XLOOKUP(Table1[[#This Row],[Product_ID]],AW:AW,BF:BF,,0)</f>
        <v>Mechanical Keyboard</v>
      </c>
      <c r="BF236" t="s">
        <v>153</v>
      </c>
      <c r="BG236">
        <f>LEN(Table1[[#This Row],[Product_Name]])</f>
        <v>19</v>
      </c>
      <c r="BH236" t="s">
        <v>154</v>
      </c>
      <c r="BI236">
        <f t="shared" si="28"/>
        <v>75</v>
      </c>
      <c r="BJ236" t="str">
        <f>SUBSTITUTE(Table1[[#This Row],[Category]],"Electronics","ELECTRONICS")</f>
        <v>ELECTRONICS</v>
      </c>
      <c r="BN236" t="s">
        <v>155</v>
      </c>
      <c r="BS236" s="14">
        <v>1</v>
      </c>
      <c r="BT236" s="3">
        <v>2499</v>
      </c>
      <c r="BU236" s="4">
        <v>20</v>
      </c>
      <c r="BV236" s="4" t="str">
        <f>IF(AND(Table1[[#This Row],[Quantity]]&gt;=3,Table1[[#This Row],[Discount_%]]&gt;=15%),"Bulk Discount","no")</f>
        <v>no</v>
      </c>
      <c r="BW236" s="4" t="str">
        <f>IF(AND(Table1[[#This Row],[Quantity]]&gt;3,Table1[[#This Row],[Discount_%]]&gt;15%),"Bulk Customer","Normal")</f>
        <v>Normal</v>
      </c>
      <c r="BX236" t="s">
        <v>172</v>
      </c>
      <c r="BY236" t="s">
        <v>374</v>
      </c>
      <c r="CC236" t="str">
        <f>IF(OR(Table1[[#This Row],[Order_Status]]="Returned",Table1[[#This Row],[Order_Status]]="Cancelled"),"Attention Required","Not")</f>
        <v>Attention Required</v>
      </c>
      <c r="CD236" t="str">
        <f>IF(OR(Table1[[#This Row],[Order_Status]]="Returned",Table1[[#This Row],[Order_Status]]="Cancelled"),"Review","no")</f>
        <v>Review</v>
      </c>
      <c r="CE236" t="str">
        <f>SUBSTITUTE(Table1[[#This Row],[Order_Status]],"Delivered","Completed")</f>
        <v>Returned</v>
      </c>
      <c r="CF236" s="2">
        <v>45832</v>
      </c>
      <c r="CG236" s="17">
        <f>NETWORKDAYS(Table1[[#This Row],[Order_Date]],Table1[[#This Row],[Delivery_Date]])</f>
        <v>4</v>
      </c>
      <c r="CH236" s="17">
        <f>Table1[[#This Row],[Delivery_Date]]-Table1[[#This Row],[Order_Date]]</f>
        <v>5</v>
      </c>
      <c r="CI236" t="s">
        <v>375</v>
      </c>
      <c r="CJ236" t="str">
        <f>IF(Table1[[#This Row],[Rating]]&gt;=4,"Good","Needs Improvement")</f>
        <v>Good</v>
      </c>
      <c r="CK236" t="str">
        <f>IF(OR(Table1[[#This Row],[Rating]]&lt;=2,Table1[[#This Row],[Profit]]&lt;0),"Review","NO")</f>
        <v>NO</v>
      </c>
      <c r="CL236" t="str" cm="1">
        <f t="array" ref="CL236">_xlfn.IFS(Table1[[#This Row],[Rating]]&gt;2,"Poor",Table1[[#This Row],[Rating]]=3,"Average",Table1[[#This Row],[Rating]]=4,"Good",CP236=5,"Excellent")</f>
        <v>Poor</v>
      </c>
      <c r="CM236">
        <f>COUNT(Table1[[#This Row],[Rating]])</f>
        <v>1</v>
      </c>
      <c r="CN236">
        <f>COUNTBLANK(Table1[[#This Row],[Rating]])</f>
        <v>0</v>
      </c>
      <c r="CP236" t="s">
        <v>331</v>
      </c>
      <c r="CQ236" s="14">
        <v>4</v>
      </c>
      <c r="CR236" t="s">
        <v>139</v>
      </c>
      <c r="CS236" t="s">
        <v>267</v>
      </c>
      <c r="CU236" s="3">
        <v>1999.2</v>
      </c>
      <c r="CV236" s="3">
        <f>ROUND(Table1[[#This Row],[Sales_Amount]],0)</f>
        <v>1999</v>
      </c>
      <c r="CW236" s="3"/>
      <c r="CX236" s="3"/>
      <c r="CY236" s="3" t="b">
        <f>IF(AND(Table1[[#This Row],[Sales_Amount]]&gt;=10000,Table1[[#This Row],[Profit]]&gt;0),"Good Order")</f>
        <v>0</v>
      </c>
      <c r="CZ236" s="3" t="str">
        <f>IF(Table1[[#This Row],[Sales_Amount]]&gt;=10000,"High","Normal")</f>
        <v>Normal</v>
      </c>
      <c r="DA236" s="3">
        <v>549.20000000000005</v>
      </c>
      <c r="DB236" s="3">
        <f>ROUND(Table1[[#This Row],[Profit]],0)</f>
        <v>549</v>
      </c>
      <c r="DC236" s="3">
        <f>ABS(Table1[[#This Row],[Profit]])</f>
        <v>549.20000000000005</v>
      </c>
      <c r="DD236" s="3"/>
      <c r="DE236" s="3"/>
      <c r="DF236" s="3"/>
      <c r="DG236" s="3" t="str">
        <f>IF(Table1[[#This Row],[Profit]]&gt;0,"Profit","Loss")</f>
        <v>Profit</v>
      </c>
      <c r="DH236" s="3" t="str">
        <f>IF(AND(Table1[[#This Row],[Sales_Amount]]&gt;=10000,Table1[[#This Row],[Profit]]&gt;0),"Priority","Normal")</f>
        <v>Normal</v>
      </c>
      <c r="DI236" s="3">
        <f t="shared" ca="1" si="23"/>
        <v>0.62816719884486028</v>
      </c>
      <c r="DJ236" s="3">
        <f t="shared" ca="1" si="24"/>
        <v>45</v>
      </c>
      <c r="DK236" s="3"/>
      <c r="DL236" s="3"/>
      <c r="DM236" s="3"/>
      <c r="DN236" s="3"/>
      <c r="DO236" s="3"/>
      <c r="DP236" s="3"/>
    </row>
    <row r="237" spans="1:120">
      <c r="A237" t="s">
        <v>1144</v>
      </c>
      <c r="B237" t="str">
        <f>REPLACE(Table1[[#This Row],[Order_ID]],1,3,"YOO")</f>
        <v>YOO10236</v>
      </c>
      <c r="C237" t="str">
        <f>MID(Table1[[#This Row],[Order_ID]],4,4)</f>
        <v>1023</v>
      </c>
      <c r="D237" t="str">
        <f>LEFT(Table1[[#This Row],[Order_ID]],4)</f>
        <v>ORD1</v>
      </c>
      <c r="E237" t="str">
        <f>RIGHT(Table1[[#This Row],[Order_ID]],5)</f>
        <v>10236</v>
      </c>
      <c r="F237" t="s">
        <v>5</v>
      </c>
      <c r="G237">
        <v>10236</v>
      </c>
      <c r="H237" t="s">
        <v>1145</v>
      </c>
      <c r="I237" s="2">
        <f>EDATE(Table1[[#This Row],[Order_Date]],3)</f>
        <v>45981</v>
      </c>
      <c r="J237" s="2">
        <f>EDATE(Table1[[#This Row],[Order_Date]],6)</f>
        <v>46073</v>
      </c>
      <c r="K237">
        <f ca="1">YEAR(Table1[[#This Row],[Today]])</f>
        <v>2026</v>
      </c>
      <c r="L237">
        <v>236</v>
      </c>
      <c r="M237">
        <f ca="1">DAY(Table1[[#This Row],[Today]])</f>
        <v>11</v>
      </c>
      <c r="N237" s="19">
        <f t="shared" ca="1" si="27"/>
        <v>46245.589795370368</v>
      </c>
      <c r="O237" s="2">
        <f t="shared" ca="1" si="22"/>
        <v>46245</v>
      </c>
      <c r="P237" s="17">
        <f ca="1">Table1[[#This Row],[Today]]-Table1[[#This Row],[Order_Date]]</f>
        <v>356</v>
      </c>
      <c r="Q237" s="2">
        <v>45893</v>
      </c>
      <c r="R237" s="2">
        <v>45889</v>
      </c>
      <c r="S237" s="6">
        <f t="shared" si="25"/>
        <v>2025</v>
      </c>
      <c r="T237" s="7" t="str">
        <f t="shared" si="26"/>
        <v>August</v>
      </c>
      <c r="U237" s="2">
        <f>WORKDAY(Table1[[#This Row],[Order_Date]],5)</f>
        <v>45896</v>
      </c>
      <c r="V237" s="7" t="str">
        <f>CONCATENATE(Table1[[#This Row],[Customer_ID]],Table1[[#This Row],[Customer_Name]])</f>
        <v>C1031Isha Kapoor</v>
      </c>
      <c r="W237" t="s">
        <v>1146</v>
      </c>
      <c r="X237" t="s">
        <v>411</v>
      </c>
      <c r="Y237">
        <f>COUNTA(Table1[[#This Row],[Customer_Name]])</f>
        <v>1</v>
      </c>
      <c r="Z237" t="str">
        <f>SUBSTITUTE(Table1[[#This Row],[Customer_Name]]," ","_")</f>
        <v>Isha_Kapoor</v>
      </c>
      <c r="AA237" s="10">
        <f>IFERROR(SEARCH("a",Table1[[#This Row],[Customer_Name]]),"N/A")</f>
        <v>4</v>
      </c>
      <c r="AB237">
        <f>SEARCH(" ",Table1[[#This Row],[Customer_Name]])</f>
        <v>5</v>
      </c>
      <c r="AC237" s="11">
        <f>IFERROR(FIND("a",Table1[[#This Row],[Customer_Name]]),"N/A")</f>
        <v>4</v>
      </c>
      <c r="AD237">
        <f>FIND(" ",Table1[[#This Row],[Customer_Name]])</f>
        <v>5</v>
      </c>
      <c r="AE237" t="str">
        <f>TRIM(Table1[[#This Row],[Customer_Name]])</f>
        <v>Isha Kapoor</v>
      </c>
      <c r="AF237">
        <f>LEN(Table1[[#This Row],[Trimmed]])</f>
        <v>11</v>
      </c>
      <c r="AG237">
        <f>MAX(Table1[Length])</f>
        <v>15</v>
      </c>
      <c r="AH237" t="str">
        <f>PROPER(Table1[[#This Row],[Customer_Name]])</f>
        <v>Isha Kapoor</v>
      </c>
      <c r="AI237" t="str">
        <f>LOWER(Table1[[#This Row],[Customer_Name]])</f>
        <v>isha kapoor</v>
      </c>
      <c r="AJ237" t="str">
        <f>UPPER(Table1[[#This Row],[Customer_Name]])</f>
        <v>ISHA KAPOOR</v>
      </c>
      <c r="AK237" t="str">
        <f>CONCATENATE(Table1[[#This Row],[Customer_ID]],Table1[[#This Row],[Customer_Name]])</f>
        <v>C1031Isha Kapoor</v>
      </c>
      <c r="AL237" t="s">
        <v>412</v>
      </c>
      <c r="AM237" t="s">
        <v>413</v>
      </c>
      <c r="AN237" t="s">
        <v>414</v>
      </c>
      <c r="AO237" t="s">
        <v>412</v>
      </c>
      <c r="AP237" t="s">
        <v>413</v>
      </c>
      <c r="AQ237" t="s">
        <v>569</v>
      </c>
      <c r="AR237" t="str">
        <f>TRIM(Table1[[#This Row],[City]])</f>
        <v>Delhi</v>
      </c>
      <c r="AS237" t="str">
        <f>PROPER(Table1[[#This Row],[City]])</f>
        <v>Delhi</v>
      </c>
      <c r="AT237" t="s">
        <v>569</v>
      </c>
      <c r="AU237" t="str">
        <f>CONCATENATE(Table1[[#This Row],[City]],Table1[[#This Row],[State]])</f>
        <v>DelhiDelhi</v>
      </c>
      <c r="AV237" t="s">
        <v>150</v>
      </c>
      <c r="AW237" t="s">
        <v>151</v>
      </c>
      <c r="AX237" t="str">
        <f>REPLACE(Table1[[#This Row],[Product_ID]],1,1,"s")</f>
        <v>s102</v>
      </c>
      <c r="AY237" t="s">
        <v>1147</v>
      </c>
      <c r="AZ237">
        <f>SEARCH("-",Table1[[#This Row],[Product ID]])</f>
        <v>2</v>
      </c>
      <c r="BA237">
        <f>FIND("-",Table1[[#This Row],[Product ID]])</f>
        <v>2</v>
      </c>
      <c r="BB237" t="str">
        <f>MID(Table1[[#This Row],[Product_ID]],2,3)</f>
        <v>102</v>
      </c>
      <c r="BC237" t="str">
        <f>RIGHT(Table1[[#This Row],[Product_ID]],3)</f>
        <v>102</v>
      </c>
      <c r="BD237" t="str">
        <f>LEFT(Table1[[#This Row],[Product_ID]],3)</f>
        <v>P10</v>
      </c>
      <c r="BE237" t="str">
        <f>_xlfn.XLOOKUP(Table1[[#This Row],[Product_ID]],AW:AW,BF:BF,,0)</f>
        <v>Mechanical Keyboard</v>
      </c>
      <c r="BF237" t="s">
        <v>153</v>
      </c>
      <c r="BG237">
        <f>LEN(Table1[[#This Row],[Product_Name]])</f>
        <v>19</v>
      </c>
      <c r="BH237" t="s">
        <v>154</v>
      </c>
      <c r="BI237">
        <f t="shared" si="28"/>
        <v>75</v>
      </c>
      <c r="BJ237" t="str">
        <f>SUBSTITUTE(Table1[[#This Row],[Category]],"Electronics","ELECTRONICS")</f>
        <v>ELECTRONICS</v>
      </c>
      <c r="BN237" t="s">
        <v>155</v>
      </c>
      <c r="BS237" s="14">
        <v>5</v>
      </c>
      <c r="BT237" s="3">
        <v>2499</v>
      </c>
      <c r="BU237" s="4">
        <v>25</v>
      </c>
      <c r="BV237" s="4" t="str">
        <f>IF(AND(Table1[[#This Row],[Quantity]]&gt;=3,Table1[[#This Row],[Discount_%]]&gt;=15%),"Bulk Discount","no")</f>
        <v>Bulk Discount</v>
      </c>
      <c r="BW237" s="4" t="str">
        <f>IF(AND(Table1[[#This Row],[Quantity]]&gt;3,Table1[[#This Row],[Discount_%]]&gt;15%),"Bulk Customer","Normal")</f>
        <v>Bulk Customer</v>
      </c>
      <c r="BX237" t="s">
        <v>187</v>
      </c>
      <c r="BY237" t="s">
        <v>136</v>
      </c>
      <c r="CC237" t="str">
        <f>IF(OR(Table1[[#This Row],[Order_Status]]="Returned",Table1[[#This Row],[Order_Status]]="Cancelled"),"Attention Required","Not")</f>
        <v>Not</v>
      </c>
      <c r="CD237" t="str">
        <f>IF(OR(Table1[[#This Row],[Order_Status]]="Returned",Table1[[#This Row],[Order_Status]]="Cancelled"),"Review","no")</f>
        <v>no</v>
      </c>
      <c r="CE237" t="str">
        <f>SUBSTITUTE(Table1[[#This Row],[Order_Status]],"Delivered","Completed")</f>
        <v>Completed</v>
      </c>
      <c r="CF237" s="2">
        <v>45890</v>
      </c>
      <c r="CG237" s="17">
        <f>NETWORKDAYS(Table1[[#This Row],[Order_Date]],Table1[[#This Row],[Delivery_Date]])</f>
        <v>2</v>
      </c>
      <c r="CH237" s="17">
        <f>Table1[[#This Row],[Delivery_Date]]-Table1[[#This Row],[Order_Date]]</f>
        <v>1</v>
      </c>
      <c r="CI237" t="s">
        <v>137</v>
      </c>
      <c r="CJ237" t="str">
        <f>IF(Table1[[#This Row],[Rating]]&gt;=4,"Good","Needs Improvement")</f>
        <v>Good</v>
      </c>
      <c r="CK237" t="str">
        <f>IF(OR(Table1[[#This Row],[Rating]]&lt;=2,Table1[[#This Row],[Profit]]&lt;0),"Review","NO")</f>
        <v>NO</v>
      </c>
      <c r="CL237" t="str" cm="1">
        <f t="array" ref="CL237">_xlfn.IFS(Table1[[#This Row],[Rating]]&gt;2,"Poor",Table1[[#This Row],[Rating]]=3,"Average",Table1[[#This Row],[Rating]]=4,"Good",CP237=5,"Excellent")</f>
        <v>Poor</v>
      </c>
      <c r="CM237">
        <f>COUNT(Table1[[#This Row],[Rating]])</f>
        <v>1</v>
      </c>
      <c r="CN237">
        <f>COUNTBLANK(Table1[[#This Row],[Rating]])</f>
        <v>0</v>
      </c>
      <c r="CP237" t="s">
        <v>138</v>
      </c>
      <c r="CQ237" s="14">
        <v>5</v>
      </c>
      <c r="CR237" t="s">
        <v>139</v>
      </c>
      <c r="CS237" t="s">
        <v>158</v>
      </c>
      <c r="CU237" s="3">
        <v>9371.25</v>
      </c>
      <c r="CV237" s="3">
        <f>ROUND(Table1[[#This Row],[Sales_Amount]],0)</f>
        <v>9371</v>
      </c>
      <c r="CW237" s="3"/>
      <c r="CX237" s="3"/>
      <c r="CY237" s="3" t="b">
        <f>IF(AND(Table1[[#This Row],[Sales_Amount]]&gt;=10000,Table1[[#This Row],[Profit]]&gt;0),"Good Order")</f>
        <v>0</v>
      </c>
      <c r="CZ237" s="3" t="str">
        <f>IF(Table1[[#This Row],[Sales_Amount]]&gt;=10000,"High","Normal")</f>
        <v>Normal</v>
      </c>
      <c r="DA237" s="3">
        <v>2121.25</v>
      </c>
      <c r="DB237" s="3">
        <f>ROUND(Table1[[#This Row],[Profit]],0)</f>
        <v>2121</v>
      </c>
      <c r="DC237" s="3">
        <f>ABS(Table1[[#This Row],[Profit]])</f>
        <v>2121.25</v>
      </c>
      <c r="DD237" s="3"/>
      <c r="DE237" s="3"/>
      <c r="DF237" s="3"/>
      <c r="DG237" s="3" t="str">
        <f>IF(Table1[[#This Row],[Profit]]&gt;0,"Profit","Loss")</f>
        <v>Profit</v>
      </c>
      <c r="DH237" s="3" t="str">
        <f>IF(AND(Table1[[#This Row],[Sales_Amount]]&gt;=10000,Table1[[#This Row],[Profit]]&gt;0),"Priority","Normal")</f>
        <v>Normal</v>
      </c>
      <c r="DI237" s="3">
        <f t="shared" ca="1" si="23"/>
        <v>2.4587700500285692E-2</v>
      </c>
      <c r="DJ237" s="3">
        <f t="shared" ca="1" si="24"/>
        <v>9</v>
      </c>
      <c r="DK237" s="3"/>
      <c r="DL237" s="3"/>
      <c r="DM237" s="3"/>
      <c r="DN237" s="3"/>
      <c r="DO237" s="3"/>
      <c r="DP237" s="3"/>
    </row>
    <row r="238" spans="1:120">
      <c r="A238" t="s">
        <v>1148</v>
      </c>
      <c r="B238" t="str">
        <f>REPLACE(Table1[[#This Row],[Order_ID]],1,3,"YOO")</f>
        <v>YOO10237</v>
      </c>
      <c r="C238" t="str">
        <f>MID(Table1[[#This Row],[Order_ID]],4,4)</f>
        <v>1023</v>
      </c>
      <c r="D238" t="str">
        <f>LEFT(Table1[[#This Row],[Order_ID]],4)</f>
        <v>ORD1</v>
      </c>
      <c r="E238" t="str">
        <f>RIGHT(Table1[[#This Row],[Order_ID]],5)</f>
        <v>10237</v>
      </c>
      <c r="F238" t="s">
        <v>5</v>
      </c>
      <c r="G238">
        <v>10237</v>
      </c>
      <c r="H238" t="s">
        <v>1149</v>
      </c>
      <c r="I238" s="2">
        <f>EDATE(Table1[[#This Row],[Order_Date]],3)</f>
        <v>45853</v>
      </c>
      <c r="J238" s="2">
        <f>EDATE(Table1[[#This Row],[Order_Date]],6)</f>
        <v>45945</v>
      </c>
      <c r="K238">
        <f ca="1">YEAR(Table1[[#This Row],[Today]])</f>
        <v>2026</v>
      </c>
      <c r="L238">
        <v>237</v>
      </c>
      <c r="M238">
        <f ca="1">DAY(Table1[[#This Row],[Today]])</f>
        <v>11</v>
      </c>
      <c r="N238" s="19">
        <f t="shared" ca="1" si="27"/>
        <v>46245.589795370368</v>
      </c>
      <c r="O238" s="2">
        <f t="shared" ca="1" si="22"/>
        <v>46245</v>
      </c>
      <c r="P238" s="17">
        <f ca="1">Table1[[#This Row],[Today]]-Table1[[#This Row],[Order_Date]]</f>
        <v>483</v>
      </c>
      <c r="Q238" s="2">
        <v>45894</v>
      </c>
      <c r="R238" s="2">
        <v>45762</v>
      </c>
      <c r="S238" s="6">
        <f t="shared" si="25"/>
        <v>2025</v>
      </c>
      <c r="T238" s="7" t="str">
        <f t="shared" si="26"/>
        <v>April</v>
      </c>
      <c r="U238" s="2">
        <f>WORKDAY(Table1[[#This Row],[Order_Date]],5)</f>
        <v>45769</v>
      </c>
      <c r="V238" s="7" t="str">
        <f>CONCATENATE(Table1[[#This Row],[Customer_ID]],Table1[[#This Row],[Customer_Name]])</f>
        <v>C1098Rohan Mehta</v>
      </c>
      <c r="W238" t="s">
        <v>622</v>
      </c>
      <c r="X238" t="s">
        <v>388</v>
      </c>
      <c r="Y238">
        <f>COUNTA(Table1[[#This Row],[Customer_Name]])</f>
        <v>1</v>
      </c>
      <c r="Z238" t="str">
        <f>SUBSTITUTE(Table1[[#This Row],[Customer_Name]]," ","_")</f>
        <v>Rohan_Mehta</v>
      </c>
      <c r="AA238" s="10">
        <f>IFERROR(SEARCH("a",Table1[[#This Row],[Customer_Name]]),"N/A")</f>
        <v>4</v>
      </c>
      <c r="AB238">
        <f>SEARCH(" ",Table1[[#This Row],[Customer_Name]])</f>
        <v>6</v>
      </c>
      <c r="AC238" s="11">
        <f>IFERROR(FIND("a",Table1[[#This Row],[Customer_Name]]),"N/A")</f>
        <v>4</v>
      </c>
      <c r="AD238">
        <f>FIND(" ",Table1[[#This Row],[Customer_Name]])</f>
        <v>6</v>
      </c>
      <c r="AE238" t="str">
        <f>TRIM(Table1[[#This Row],[Customer_Name]])</f>
        <v>Rohan Mehta</v>
      </c>
      <c r="AF238">
        <f>LEN(Table1[[#This Row],[Trimmed]])</f>
        <v>11</v>
      </c>
      <c r="AG238">
        <f>MAX(Table1[Length])</f>
        <v>15</v>
      </c>
      <c r="AH238" t="str">
        <f>PROPER(Table1[[#This Row],[Customer_Name]])</f>
        <v>Rohan Mehta</v>
      </c>
      <c r="AI238" t="str">
        <f>LOWER(Table1[[#This Row],[Customer_Name]])</f>
        <v>rohan mehta</v>
      </c>
      <c r="AJ238" t="str">
        <f>UPPER(Table1[[#This Row],[Customer_Name]])</f>
        <v>ROHAN MEHTA</v>
      </c>
      <c r="AK238" t="str">
        <f>CONCATENATE(Table1[[#This Row],[Customer_ID]],Table1[[#This Row],[Customer_Name]])</f>
        <v>C1098Rohan Mehta</v>
      </c>
      <c r="AL238" t="s">
        <v>389</v>
      </c>
      <c r="AM238" t="s">
        <v>390</v>
      </c>
      <c r="AN238" t="s">
        <v>391</v>
      </c>
      <c r="AO238" t="s">
        <v>389</v>
      </c>
      <c r="AP238" t="s">
        <v>390</v>
      </c>
      <c r="AQ238" t="s">
        <v>127</v>
      </c>
      <c r="AR238" t="str">
        <f>TRIM(Table1[[#This Row],[City]])</f>
        <v>Pune</v>
      </c>
      <c r="AS238" t="str">
        <f>PROPER(Table1[[#This Row],[City]])</f>
        <v>Pune</v>
      </c>
      <c r="AT238" t="s">
        <v>128</v>
      </c>
      <c r="AU238" t="str">
        <f>CONCATENATE(Table1[[#This Row],[City]],Table1[[#This Row],[State]])</f>
        <v>PuneMaharashtra</v>
      </c>
      <c r="AV238" t="s">
        <v>129</v>
      </c>
      <c r="AW238" t="s">
        <v>236</v>
      </c>
      <c r="AX238" t="str">
        <f>REPLACE(Table1[[#This Row],[Product_ID]],1,1,"s")</f>
        <v>s107</v>
      </c>
      <c r="AY238" t="s">
        <v>1150</v>
      </c>
      <c r="AZ238">
        <f>SEARCH("-",Table1[[#This Row],[Product ID]])</f>
        <v>2</v>
      </c>
      <c r="BA238">
        <f>FIND("-",Table1[[#This Row],[Product ID]])</f>
        <v>2</v>
      </c>
      <c r="BB238" t="str">
        <f>MID(Table1[[#This Row],[Product_ID]],2,3)</f>
        <v>107</v>
      </c>
      <c r="BC238" t="str">
        <f>RIGHT(Table1[[#This Row],[Product_ID]],3)</f>
        <v>107</v>
      </c>
      <c r="BD238" t="str">
        <f>LEFT(Table1[[#This Row],[Product_ID]],3)</f>
        <v>P10</v>
      </c>
      <c r="BE238" t="str">
        <f>_xlfn.XLOOKUP(Table1[[#This Row],[Product_ID]],AW:AW,BF:BF,,0)</f>
        <v>Casual Sneakers</v>
      </c>
      <c r="BF238" t="s">
        <v>238</v>
      </c>
      <c r="BG238">
        <f>LEN(Table1[[#This Row],[Product_Name]])</f>
        <v>15</v>
      </c>
      <c r="BH238" t="s">
        <v>224</v>
      </c>
      <c r="BI238">
        <f t="shared" si="28"/>
        <v>75</v>
      </c>
      <c r="BJ238" t="str">
        <f>SUBSTITUTE(Table1[[#This Row],[Category]],"Electronics","ELECTRONICS")</f>
        <v>Fashion</v>
      </c>
      <c r="BN238" t="s">
        <v>225</v>
      </c>
      <c r="BS238" s="14">
        <v>1</v>
      </c>
      <c r="BT238" s="3">
        <v>2799</v>
      </c>
      <c r="BU238" s="4">
        <v>15</v>
      </c>
      <c r="BV238" s="4" t="str">
        <f>IF(AND(Table1[[#This Row],[Quantity]]&gt;=3,Table1[[#This Row],[Discount_%]]&gt;=15%),"Bulk Discount","no")</f>
        <v>no</v>
      </c>
      <c r="BW238" s="4" t="str">
        <f>IF(AND(Table1[[#This Row],[Quantity]]&gt;3,Table1[[#This Row],[Discount_%]]&gt;15%),"Bulk Customer","Normal")</f>
        <v>Normal</v>
      </c>
      <c r="BX238" t="s">
        <v>187</v>
      </c>
      <c r="BY238" t="s">
        <v>136</v>
      </c>
      <c r="CC238" t="str">
        <f>IF(OR(Table1[[#This Row],[Order_Status]]="Returned",Table1[[#This Row],[Order_Status]]="Cancelled"),"Attention Required","Not")</f>
        <v>Not</v>
      </c>
      <c r="CD238" t="str">
        <f>IF(OR(Table1[[#This Row],[Order_Status]]="Returned",Table1[[#This Row],[Order_Status]]="Cancelled"),"Review","no")</f>
        <v>no</v>
      </c>
      <c r="CE238" t="str">
        <f>SUBSTITUTE(Table1[[#This Row],[Order_Status]],"Delivered","Completed")</f>
        <v>Completed</v>
      </c>
      <c r="CF238" s="2">
        <v>45767</v>
      </c>
      <c r="CG238" s="17">
        <f>NETWORKDAYS(Table1[[#This Row],[Order_Date]],Table1[[#This Row],[Delivery_Date]])</f>
        <v>4</v>
      </c>
      <c r="CH238" s="17">
        <f>Table1[[#This Row],[Delivery_Date]]-Table1[[#This Row],[Order_Date]]</f>
        <v>5</v>
      </c>
      <c r="CI238" t="s">
        <v>137</v>
      </c>
      <c r="CJ238" t="str">
        <f>IF(Table1[[#This Row],[Rating]]&gt;=4,"Good","Needs Improvement")</f>
        <v>Needs Improvement</v>
      </c>
      <c r="CK238" t="str">
        <f>IF(OR(Table1[[#This Row],[Rating]]&lt;=2,Table1[[#This Row],[Profit]]&lt;0),"Review","NO")</f>
        <v>NO</v>
      </c>
      <c r="CL238" t="str" cm="1">
        <f t="array" ref="CL238">_xlfn.IFS(Table1[[#This Row],[Rating]]&gt;2,"Poor",Table1[[#This Row],[Rating]]=3,"Average",Table1[[#This Row],[Rating]]=4,"Good",CP238=5,"Excellent")</f>
        <v>Poor</v>
      </c>
      <c r="CM238">
        <f>COUNT(Table1[[#This Row],[Rating]])</f>
        <v>1</v>
      </c>
      <c r="CN238">
        <f>COUNTBLANK(Table1[[#This Row],[Rating]])</f>
        <v>0</v>
      </c>
      <c r="CP238" t="s">
        <v>331</v>
      </c>
      <c r="CQ238" s="14">
        <v>3</v>
      </c>
      <c r="CR238" t="s">
        <v>204</v>
      </c>
      <c r="CS238" t="s">
        <v>174</v>
      </c>
      <c r="CU238" s="3">
        <v>2379.15</v>
      </c>
      <c r="CV238" s="3">
        <f>ROUND(Table1[[#This Row],[Sales_Amount]],0)</f>
        <v>2379</v>
      </c>
      <c r="CW238" s="3"/>
      <c r="CX238" s="3"/>
      <c r="CY238" s="3" t="b">
        <f>IF(AND(Table1[[#This Row],[Sales_Amount]]&gt;=10000,Table1[[#This Row],[Profit]]&gt;0),"Good Order")</f>
        <v>0</v>
      </c>
      <c r="CZ238" s="3" t="str">
        <f>IF(Table1[[#This Row],[Sales_Amount]]&gt;=10000,"High","Normal")</f>
        <v>Normal</v>
      </c>
      <c r="DA238" s="3">
        <v>879.15</v>
      </c>
      <c r="DB238" s="3">
        <f>ROUND(Table1[[#This Row],[Profit]],0)</f>
        <v>879</v>
      </c>
      <c r="DC238" s="3">
        <f>ABS(Table1[[#This Row],[Profit]])</f>
        <v>879.15</v>
      </c>
      <c r="DD238" s="3"/>
      <c r="DE238" s="3"/>
      <c r="DF238" s="3"/>
      <c r="DG238" s="3" t="str">
        <f>IF(Table1[[#This Row],[Profit]]&gt;0,"Profit","Loss")</f>
        <v>Profit</v>
      </c>
      <c r="DH238" s="3" t="str">
        <f>IF(AND(Table1[[#This Row],[Sales_Amount]]&gt;=10000,Table1[[#This Row],[Profit]]&gt;0),"Priority","Normal")</f>
        <v>Normal</v>
      </c>
      <c r="DI238" s="3">
        <f t="shared" ca="1" si="23"/>
        <v>0.31717109898302109</v>
      </c>
      <c r="DJ238" s="3">
        <f t="shared" ca="1" si="24"/>
        <v>75</v>
      </c>
      <c r="DK238" s="3"/>
      <c r="DL238" s="3"/>
      <c r="DM238" s="3"/>
      <c r="DN238" s="3"/>
      <c r="DO238" s="3"/>
      <c r="DP238" s="3"/>
    </row>
    <row r="239" spans="1:120">
      <c r="A239" t="s">
        <v>1151</v>
      </c>
      <c r="B239" t="str">
        <f>REPLACE(Table1[[#This Row],[Order_ID]],1,3,"YOO")</f>
        <v>YOO10238</v>
      </c>
      <c r="C239" t="str">
        <f>MID(Table1[[#This Row],[Order_ID]],4,4)</f>
        <v>1023</v>
      </c>
      <c r="D239" t="str">
        <f>LEFT(Table1[[#This Row],[Order_ID]],4)</f>
        <v>ORD1</v>
      </c>
      <c r="E239" t="str">
        <f>RIGHT(Table1[[#This Row],[Order_ID]],5)</f>
        <v>10238</v>
      </c>
      <c r="F239" t="s">
        <v>5</v>
      </c>
      <c r="G239">
        <v>10238</v>
      </c>
      <c r="H239" t="s">
        <v>1152</v>
      </c>
      <c r="I239" s="2">
        <f>EDATE(Table1[[#This Row],[Order_Date]],3)</f>
        <v>45918</v>
      </c>
      <c r="J239" s="2">
        <f>EDATE(Table1[[#This Row],[Order_Date]],6)</f>
        <v>46009</v>
      </c>
      <c r="K239">
        <f ca="1">YEAR(Table1[[#This Row],[Today]])</f>
        <v>2026</v>
      </c>
      <c r="L239">
        <v>238</v>
      </c>
      <c r="M239">
        <f ca="1">DAY(Table1[[#This Row],[Today]])</f>
        <v>11</v>
      </c>
      <c r="N239" s="19">
        <f t="shared" ca="1" si="27"/>
        <v>46245.589795138891</v>
      </c>
      <c r="O239" s="2">
        <f t="shared" ca="1" si="22"/>
        <v>46245</v>
      </c>
      <c r="P239" s="17">
        <f ca="1">Table1[[#This Row],[Today]]-Table1[[#This Row],[Order_Date]]</f>
        <v>419</v>
      </c>
      <c r="Q239" s="2">
        <v>45895</v>
      </c>
      <c r="R239" s="2">
        <v>45826</v>
      </c>
      <c r="S239" s="6">
        <f t="shared" si="25"/>
        <v>2025</v>
      </c>
      <c r="T239" s="7" t="str">
        <f t="shared" si="26"/>
        <v>June</v>
      </c>
      <c r="U239" s="2">
        <f>WORKDAY(Table1[[#This Row],[Order_Date]],5)</f>
        <v>45833</v>
      </c>
      <c r="V239" s="7" t="str">
        <f>CONCATENATE(Table1[[#This Row],[Customer_ID]],Table1[[#This Row],[Customer_Name]])</f>
        <v>C1106Meera Nair</v>
      </c>
      <c r="W239" t="s">
        <v>1153</v>
      </c>
      <c r="X239" t="s">
        <v>429</v>
      </c>
      <c r="Y239">
        <f>COUNTA(Table1[[#This Row],[Customer_Name]])</f>
        <v>1</v>
      </c>
      <c r="Z239" t="str">
        <f>SUBSTITUTE(Table1[[#This Row],[Customer_Name]]," ","_")</f>
        <v>Meera_Nair</v>
      </c>
      <c r="AA239" s="10">
        <f>IFERROR(SEARCH("a",Table1[[#This Row],[Customer_Name]]),"N/A")</f>
        <v>5</v>
      </c>
      <c r="AB239">
        <f>SEARCH(" ",Table1[[#This Row],[Customer_Name]])</f>
        <v>6</v>
      </c>
      <c r="AC239" s="11">
        <f>IFERROR(FIND("a",Table1[[#This Row],[Customer_Name]]),"N/A")</f>
        <v>5</v>
      </c>
      <c r="AD239">
        <f>FIND(" ",Table1[[#This Row],[Customer_Name]])</f>
        <v>6</v>
      </c>
      <c r="AE239" t="str">
        <f>TRIM(Table1[[#This Row],[Customer_Name]])</f>
        <v>Meera Nair</v>
      </c>
      <c r="AF239">
        <f>LEN(Table1[[#This Row],[Trimmed]])</f>
        <v>10</v>
      </c>
      <c r="AG239">
        <f>MAX(Table1[Length])</f>
        <v>15</v>
      </c>
      <c r="AH239" t="str">
        <f>PROPER(Table1[[#This Row],[Customer_Name]])</f>
        <v>Meera Nair</v>
      </c>
      <c r="AI239" t="str">
        <f>LOWER(Table1[[#This Row],[Customer_Name]])</f>
        <v>meera nair</v>
      </c>
      <c r="AJ239" t="str">
        <f>UPPER(Table1[[#This Row],[Customer_Name]])</f>
        <v>MEERA NAIR</v>
      </c>
      <c r="AK239" t="str">
        <f>CONCATENATE(Table1[[#This Row],[Customer_ID]],Table1[[#This Row],[Customer_Name]])</f>
        <v>C1106Meera Nair</v>
      </c>
      <c r="AL239" t="s">
        <v>430</v>
      </c>
      <c r="AM239" t="s">
        <v>431</v>
      </c>
      <c r="AN239" t="s">
        <v>432</v>
      </c>
      <c r="AO239" t="s">
        <v>430</v>
      </c>
      <c r="AP239" t="s">
        <v>431</v>
      </c>
      <c r="AQ239" t="s">
        <v>233</v>
      </c>
      <c r="AR239" t="str">
        <f>TRIM(Table1[[#This Row],[City]])</f>
        <v>Kolkata</v>
      </c>
      <c r="AS239" t="str">
        <f>PROPER(Table1[[#This Row],[City]])</f>
        <v>Kolkata</v>
      </c>
      <c r="AT239" t="s">
        <v>234</v>
      </c>
      <c r="AU239" t="str">
        <f>CONCATENATE(Table1[[#This Row],[City]],Table1[[#This Row],[State]])</f>
        <v>KolkataWest Bengal</v>
      </c>
      <c r="AV239" t="s">
        <v>235</v>
      </c>
      <c r="AW239" t="s">
        <v>275</v>
      </c>
      <c r="AX239" t="str">
        <f>REPLACE(Table1[[#This Row],[Product_ID]],1,1,"s")</f>
        <v>s101</v>
      </c>
      <c r="AY239" t="s">
        <v>1154</v>
      </c>
      <c r="AZ239">
        <f>SEARCH("-",Table1[[#This Row],[Product ID]])</f>
        <v>2</v>
      </c>
      <c r="BA239">
        <f>FIND("-",Table1[[#This Row],[Product ID]])</f>
        <v>2</v>
      </c>
      <c r="BB239" t="str">
        <f>MID(Table1[[#This Row],[Product_ID]],2,3)</f>
        <v>101</v>
      </c>
      <c r="BC239" t="str">
        <f>RIGHT(Table1[[#This Row],[Product_ID]],3)</f>
        <v>101</v>
      </c>
      <c r="BD239" t="str">
        <f>LEFT(Table1[[#This Row],[Product_ID]],3)</f>
        <v>P10</v>
      </c>
      <c r="BE239" t="str">
        <f>_xlfn.XLOOKUP(Table1[[#This Row],[Product_ID]],AW:AW,BF:BF,,0)</f>
        <v>Wireless Mouse</v>
      </c>
      <c r="BF239" t="s">
        <v>277</v>
      </c>
      <c r="BG239">
        <f>LEN(Table1[[#This Row],[Product_Name]])</f>
        <v>14</v>
      </c>
      <c r="BH239" t="s">
        <v>154</v>
      </c>
      <c r="BI239">
        <f t="shared" si="28"/>
        <v>75</v>
      </c>
      <c r="BJ239" t="str">
        <f>SUBSTITUTE(Table1[[#This Row],[Category]],"Electronics","ELECTRONICS")</f>
        <v>ELECTRONICS</v>
      </c>
      <c r="BN239" t="s">
        <v>155</v>
      </c>
      <c r="BS239" s="14">
        <v>4</v>
      </c>
      <c r="BT239" s="3">
        <v>799</v>
      </c>
      <c r="BU239" s="4">
        <v>15</v>
      </c>
      <c r="BV239" s="4" t="str">
        <f>IF(AND(Table1[[#This Row],[Quantity]]&gt;=3,Table1[[#This Row],[Discount_%]]&gt;=15%),"Bulk Discount","no")</f>
        <v>Bulk Discount</v>
      </c>
      <c r="BW239" s="4" t="str">
        <f>IF(AND(Table1[[#This Row],[Quantity]]&gt;3,Table1[[#This Row],[Discount_%]]&gt;15%),"Bulk Customer","Normal")</f>
        <v>Bulk Customer</v>
      </c>
      <c r="BX239" t="s">
        <v>330</v>
      </c>
      <c r="BY239" t="s">
        <v>374</v>
      </c>
      <c r="CC239" t="str">
        <f>IF(OR(Table1[[#This Row],[Order_Status]]="Returned",Table1[[#This Row],[Order_Status]]="Cancelled"),"Attention Required","Not")</f>
        <v>Attention Required</v>
      </c>
      <c r="CD239" t="str">
        <f>IF(OR(Table1[[#This Row],[Order_Status]]="Returned",Table1[[#This Row],[Order_Status]]="Cancelled"),"Review","no")</f>
        <v>Review</v>
      </c>
      <c r="CE239" t="str">
        <f>SUBSTITUTE(Table1[[#This Row],[Order_Status]],"Delivered","Completed")</f>
        <v>Returned</v>
      </c>
      <c r="CF239" s="2">
        <v>45830</v>
      </c>
      <c r="CG239" s="17">
        <f>NETWORKDAYS(Table1[[#This Row],[Order_Date]],Table1[[#This Row],[Delivery_Date]])</f>
        <v>3</v>
      </c>
      <c r="CH239" s="17">
        <f>Table1[[#This Row],[Delivery_Date]]-Table1[[#This Row],[Order_Date]]</f>
        <v>4</v>
      </c>
      <c r="CI239" t="s">
        <v>375</v>
      </c>
      <c r="CJ239" t="str">
        <f>IF(Table1[[#This Row],[Rating]]&gt;=4,"Good","Needs Improvement")</f>
        <v>Needs Improvement</v>
      </c>
      <c r="CK239" t="str">
        <f>IF(OR(Table1[[#This Row],[Rating]]&lt;=2,Table1[[#This Row],[Profit]]&lt;0),"Review","NO")</f>
        <v>Review</v>
      </c>
      <c r="CL239" t="e" cm="1">
        <f t="array" ref="CL239">_xlfn.IFS(Table1[[#This Row],[Rating]]&gt;2,"Poor",Table1[[#This Row],[Rating]]=3,"Average",Table1[[#This Row],[Rating]]=4,"Good",CP239=5,"Excellent")</f>
        <v>#N/A</v>
      </c>
      <c r="CM239">
        <f>COUNT(Table1[[#This Row],[Rating]])</f>
        <v>0</v>
      </c>
      <c r="CN239">
        <f>COUNTBLANK(Table1[[#This Row],[Rating]])</f>
        <v>1</v>
      </c>
      <c r="CP239" t="s">
        <v>194</v>
      </c>
      <c r="CR239" t="s">
        <v>139</v>
      </c>
      <c r="CS239" t="s">
        <v>140</v>
      </c>
      <c r="CU239" s="3">
        <v>2716.6</v>
      </c>
      <c r="CV239" s="3">
        <f>ROUND(Table1[[#This Row],[Sales_Amount]],0)</f>
        <v>2717</v>
      </c>
      <c r="CW239" s="3"/>
      <c r="CX239" s="3"/>
      <c r="CY239" s="3" t="b">
        <f>IF(AND(Table1[[#This Row],[Sales_Amount]]&gt;=10000,Table1[[#This Row],[Profit]]&gt;0),"Good Order")</f>
        <v>0</v>
      </c>
      <c r="CZ239" s="3" t="str">
        <f>IF(Table1[[#This Row],[Sales_Amount]]&gt;=10000,"High","Normal")</f>
        <v>Normal</v>
      </c>
      <c r="DA239" s="3">
        <v>1036.5999999999999</v>
      </c>
      <c r="DB239" s="3">
        <f>ROUND(Table1[[#This Row],[Profit]],0)</f>
        <v>1037</v>
      </c>
      <c r="DC239" s="3">
        <f>ABS(Table1[[#This Row],[Profit]])</f>
        <v>1036.5999999999999</v>
      </c>
      <c r="DD239" s="3"/>
      <c r="DE239" s="3"/>
      <c r="DF239" s="3"/>
      <c r="DG239" s="3" t="str">
        <f>IF(Table1[[#This Row],[Profit]]&gt;0,"Profit","Loss")</f>
        <v>Profit</v>
      </c>
      <c r="DH239" s="3" t="str">
        <f>IF(AND(Table1[[#This Row],[Sales_Amount]]&gt;=10000,Table1[[#This Row],[Profit]]&gt;0),"Priority","Normal")</f>
        <v>Normal</v>
      </c>
      <c r="DI239" s="3">
        <f t="shared" ca="1" si="23"/>
        <v>6.6414844261767803E-2</v>
      </c>
      <c r="DJ239" s="3">
        <f t="shared" ca="1" si="24"/>
        <v>45</v>
      </c>
      <c r="DK239" s="3"/>
      <c r="DL239" s="3"/>
      <c r="DM239" s="3"/>
      <c r="DN239" s="3"/>
      <c r="DO239" s="3"/>
      <c r="DP239" s="3"/>
    </row>
    <row r="240" spans="1:120">
      <c r="A240" t="s">
        <v>1155</v>
      </c>
      <c r="B240" t="str">
        <f>REPLACE(Table1[[#This Row],[Order_ID]],1,3,"YOO")</f>
        <v>YOO10239</v>
      </c>
      <c r="C240" t="str">
        <f>MID(Table1[[#This Row],[Order_ID]],4,4)</f>
        <v>1023</v>
      </c>
      <c r="D240" t="str">
        <f>LEFT(Table1[[#This Row],[Order_ID]],4)</f>
        <v>ORD1</v>
      </c>
      <c r="E240" t="str">
        <f>RIGHT(Table1[[#This Row],[Order_ID]],5)</f>
        <v>10239</v>
      </c>
      <c r="F240" t="s">
        <v>5</v>
      </c>
      <c r="G240">
        <v>10239</v>
      </c>
      <c r="H240" t="s">
        <v>1156</v>
      </c>
      <c r="I240" s="2">
        <f>EDATE(Table1[[#This Row],[Order_Date]],3)</f>
        <v>46141</v>
      </c>
      <c r="J240" s="2">
        <f>EDATE(Table1[[#This Row],[Order_Date]],6)</f>
        <v>46232</v>
      </c>
      <c r="K240">
        <f ca="1">YEAR(Table1[[#This Row],[Today]])</f>
        <v>2026</v>
      </c>
      <c r="L240">
        <v>239</v>
      </c>
      <c r="M240">
        <f ca="1">DAY(Table1[[#This Row],[Today]])</f>
        <v>11</v>
      </c>
      <c r="N240" s="19">
        <f t="shared" ca="1" si="27"/>
        <v>46245.589795370368</v>
      </c>
      <c r="O240" s="2">
        <f t="shared" ca="1" si="22"/>
        <v>46245</v>
      </c>
      <c r="P240" s="17">
        <f ca="1">Table1[[#This Row],[Today]]-Table1[[#This Row],[Order_Date]]</f>
        <v>194</v>
      </c>
      <c r="Q240" s="2">
        <v>45896</v>
      </c>
      <c r="R240" s="2">
        <v>46051</v>
      </c>
      <c r="S240" s="6">
        <f t="shared" si="25"/>
        <v>2026</v>
      </c>
      <c r="T240" s="7" t="str">
        <f t="shared" si="26"/>
        <v>January</v>
      </c>
      <c r="U240" s="2">
        <f>WORKDAY(Table1[[#This Row],[Order_Date]],5)</f>
        <v>46058</v>
      </c>
      <c r="V240" s="7" t="str">
        <f>CONCATENATE(Table1[[#This Row],[Customer_ID]],Table1[[#This Row],[Customer_Name]])</f>
        <v>C1071Aman Singh</v>
      </c>
      <c r="W240" t="s">
        <v>532</v>
      </c>
      <c r="X240" t="s">
        <v>123</v>
      </c>
      <c r="Y240">
        <f>COUNTA(Table1[[#This Row],[Customer_Name]])</f>
        <v>1</v>
      </c>
      <c r="Z240" t="str">
        <f>SUBSTITUTE(Table1[[#This Row],[Customer_Name]]," ","_")</f>
        <v>Aman_Singh</v>
      </c>
      <c r="AA240" s="10">
        <f>IFERROR(SEARCH("a",Table1[[#This Row],[Customer_Name]]),"N/A")</f>
        <v>1</v>
      </c>
      <c r="AB240">
        <f>SEARCH(" ",Table1[[#This Row],[Customer_Name]])</f>
        <v>5</v>
      </c>
      <c r="AC240" s="11">
        <f>IFERROR(FIND("a",Table1[[#This Row],[Customer_Name]]),"N/A")</f>
        <v>3</v>
      </c>
      <c r="AD240">
        <f>FIND(" ",Table1[[#This Row],[Customer_Name]])</f>
        <v>5</v>
      </c>
      <c r="AE240" t="str">
        <f>TRIM(Table1[[#This Row],[Customer_Name]])</f>
        <v>Aman Singh</v>
      </c>
      <c r="AF240">
        <f>LEN(Table1[[#This Row],[Trimmed]])</f>
        <v>10</v>
      </c>
      <c r="AG240">
        <f>MAX(Table1[Length])</f>
        <v>15</v>
      </c>
      <c r="AH240" t="str">
        <f>PROPER(Table1[[#This Row],[Customer_Name]])</f>
        <v>Aman Singh</v>
      </c>
      <c r="AI240" t="str">
        <f>LOWER(Table1[[#This Row],[Customer_Name]])</f>
        <v>aman singh</v>
      </c>
      <c r="AJ240" t="str">
        <f>UPPER(Table1[[#This Row],[Customer_Name]])</f>
        <v>AMAN SINGH</v>
      </c>
      <c r="AK240" t="str">
        <f>CONCATENATE(Table1[[#This Row],[Customer_ID]],Table1[[#This Row],[Customer_Name]])</f>
        <v>C1071Aman Singh</v>
      </c>
      <c r="AL240" t="s">
        <v>124</v>
      </c>
      <c r="AM240" t="s">
        <v>125</v>
      </c>
      <c r="AN240" t="s">
        <v>126</v>
      </c>
      <c r="AO240" t="s">
        <v>124</v>
      </c>
      <c r="AP240" t="s">
        <v>125</v>
      </c>
      <c r="AQ240" t="s">
        <v>127</v>
      </c>
      <c r="AR240" t="str">
        <f>TRIM(Table1[[#This Row],[City]])</f>
        <v>Pune</v>
      </c>
      <c r="AS240" t="str">
        <f>PROPER(Table1[[#This Row],[City]])</f>
        <v>Pune</v>
      </c>
      <c r="AT240" t="s">
        <v>128</v>
      </c>
      <c r="AU240" t="str">
        <f>CONCATENATE(Table1[[#This Row],[City]],Table1[[#This Row],[State]])</f>
        <v>PuneMaharashtra</v>
      </c>
      <c r="AV240" t="s">
        <v>129</v>
      </c>
      <c r="AW240" t="s">
        <v>319</v>
      </c>
      <c r="AX240" t="str">
        <f>REPLACE(Table1[[#This Row],[Product_ID]],1,1,"s")</f>
        <v>s103</v>
      </c>
      <c r="AY240" t="s">
        <v>1157</v>
      </c>
      <c r="AZ240">
        <f>SEARCH("-",Table1[[#This Row],[Product ID]])</f>
        <v>2</v>
      </c>
      <c r="BA240">
        <f>FIND("-",Table1[[#This Row],[Product ID]])</f>
        <v>2</v>
      </c>
      <c r="BB240" t="str">
        <f>MID(Table1[[#This Row],[Product_ID]],2,3)</f>
        <v>103</v>
      </c>
      <c r="BC240" t="str">
        <f>RIGHT(Table1[[#This Row],[Product_ID]],3)</f>
        <v>103</v>
      </c>
      <c r="BD240" t="str">
        <f>LEFT(Table1[[#This Row],[Product_ID]],3)</f>
        <v>P10</v>
      </c>
      <c r="BE240" t="str">
        <f>_xlfn.XLOOKUP(Table1[[#This Row],[Product_ID]],AW:AW,BF:BF,,0)</f>
        <v>Laptop Stand</v>
      </c>
      <c r="BF240" t="s">
        <v>321</v>
      </c>
      <c r="BG240">
        <f>LEN(Table1[[#This Row],[Product_Name]])</f>
        <v>12</v>
      </c>
      <c r="BH240" t="s">
        <v>154</v>
      </c>
      <c r="BI240">
        <f t="shared" si="28"/>
        <v>75</v>
      </c>
      <c r="BJ240" t="str">
        <f>SUBSTITUTE(Table1[[#This Row],[Category]],"Electronics","ELECTRONICS")</f>
        <v>ELECTRONICS</v>
      </c>
      <c r="BN240" t="s">
        <v>155</v>
      </c>
      <c r="BS240" s="14">
        <v>3</v>
      </c>
      <c r="BT240" s="3">
        <v>1599</v>
      </c>
      <c r="BU240" s="4">
        <v>20</v>
      </c>
      <c r="BV240" s="4" t="str">
        <f>IF(AND(Table1[[#This Row],[Quantity]]&gt;=3,Table1[[#This Row],[Discount_%]]&gt;=15%),"Bulk Discount","no")</f>
        <v>Bulk Discount</v>
      </c>
      <c r="BW240" s="4" t="str">
        <f>IF(AND(Table1[[#This Row],[Quantity]]&gt;3,Table1[[#This Row],[Discount_%]]&gt;15%),"Bulk Customer","Normal")</f>
        <v>Normal</v>
      </c>
      <c r="BX240" t="s">
        <v>187</v>
      </c>
      <c r="BY240" t="s">
        <v>136</v>
      </c>
      <c r="CC240" t="str">
        <f>IF(OR(Table1[[#This Row],[Order_Status]]="Returned",Table1[[#This Row],[Order_Status]]="Cancelled"),"Attention Required","Not")</f>
        <v>Not</v>
      </c>
      <c r="CD240" t="str">
        <f>IF(OR(Table1[[#This Row],[Order_Status]]="Returned",Table1[[#This Row],[Order_Status]]="Cancelled"),"Review","no")</f>
        <v>no</v>
      </c>
      <c r="CE240" t="str">
        <f>SUBSTITUTE(Table1[[#This Row],[Order_Status]],"Delivered","Completed")</f>
        <v>Completed</v>
      </c>
      <c r="CF240" s="2">
        <v>46054</v>
      </c>
      <c r="CG240" s="17">
        <f>NETWORKDAYS(Table1[[#This Row],[Order_Date]],Table1[[#This Row],[Delivery_Date]])</f>
        <v>2</v>
      </c>
      <c r="CH240" s="17">
        <f>Table1[[#This Row],[Delivery_Date]]-Table1[[#This Row],[Order_Date]]</f>
        <v>3</v>
      </c>
      <c r="CI240" t="s">
        <v>137</v>
      </c>
      <c r="CJ240" t="str">
        <f>IF(Table1[[#This Row],[Rating]]&gt;=4,"Good","Needs Improvement")</f>
        <v>Good</v>
      </c>
      <c r="CK240" t="str">
        <f>IF(OR(Table1[[#This Row],[Rating]]&lt;=2,Table1[[#This Row],[Profit]]&lt;0),"Review","NO")</f>
        <v>NO</v>
      </c>
      <c r="CL240" t="str" cm="1">
        <f t="array" ref="CL240">_xlfn.IFS(Table1[[#This Row],[Rating]]&gt;2,"Poor",Table1[[#This Row],[Rating]]=3,"Average",Table1[[#This Row],[Rating]]=4,"Good",CP240=5,"Excellent")</f>
        <v>Poor</v>
      </c>
      <c r="CM240">
        <f>COUNT(Table1[[#This Row],[Rating]])</f>
        <v>1</v>
      </c>
      <c r="CN240">
        <f>COUNTBLANK(Table1[[#This Row],[Rating]])</f>
        <v>0</v>
      </c>
      <c r="CP240" t="s">
        <v>266</v>
      </c>
      <c r="CQ240" s="14">
        <v>4</v>
      </c>
      <c r="CR240" t="s">
        <v>204</v>
      </c>
      <c r="CS240" t="s">
        <v>174</v>
      </c>
      <c r="CU240" s="3">
        <v>3837.6</v>
      </c>
      <c r="CV240" s="3">
        <f>ROUND(Table1[[#This Row],[Sales_Amount]],0)</f>
        <v>3838</v>
      </c>
      <c r="CW240" s="3"/>
      <c r="CX240" s="3"/>
      <c r="CY240" s="3" t="b">
        <f>IF(AND(Table1[[#This Row],[Sales_Amount]]&gt;=10000,Table1[[#This Row],[Profit]]&gt;0),"Good Order")</f>
        <v>0</v>
      </c>
      <c r="CZ240" s="3" t="str">
        <f>IF(Table1[[#This Row],[Sales_Amount]]&gt;=10000,"High","Normal")</f>
        <v>Normal</v>
      </c>
      <c r="DA240" s="3">
        <v>1137.5999999999999</v>
      </c>
      <c r="DB240" s="3">
        <f>ROUND(Table1[[#This Row],[Profit]],0)</f>
        <v>1138</v>
      </c>
      <c r="DC240" s="3">
        <f>ABS(Table1[[#This Row],[Profit]])</f>
        <v>1137.5999999999999</v>
      </c>
      <c r="DD240" s="3"/>
      <c r="DE240" s="3"/>
      <c r="DF240" s="3"/>
      <c r="DG240" s="3" t="str">
        <f>IF(Table1[[#This Row],[Profit]]&gt;0,"Profit","Loss")</f>
        <v>Profit</v>
      </c>
      <c r="DH240" s="3" t="str">
        <f>IF(AND(Table1[[#This Row],[Sales_Amount]]&gt;=10000,Table1[[#This Row],[Profit]]&gt;0),"Priority","Normal")</f>
        <v>Normal</v>
      </c>
      <c r="DI240" s="3">
        <f t="shared" ca="1" si="23"/>
        <v>0.93475449370782038</v>
      </c>
      <c r="DJ240" s="3">
        <f t="shared" ca="1" si="24"/>
        <v>35</v>
      </c>
      <c r="DK240" s="3"/>
      <c r="DL240" s="3"/>
      <c r="DM240" s="3"/>
      <c r="DN240" s="3"/>
      <c r="DO240" s="3"/>
      <c r="DP240" s="3"/>
    </row>
    <row r="241" spans="1:120">
      <c r="A241" t="s">
        <v>1158</v>
      </c>
      <c r="B241" t="str">
        <f>REPLACE(Table1[[#This Row],[Order_ID]],1,3,"YOO")</f>
        <v>YOO10240</v>
      </c>
      <c r="C241" t="str">
        <f>MID(Table1[[#This Row],[Order_ID]],4,4)</f>
        <v>1024</v>
      </c>
      <c r="D241" t="str">
        <f>LEFT(Table1[[#This Row],[Order_ID]],4)</f>
        <v>ORD1</v>
      </c>
      <c r="E241" t="str">
        <f>RIGHT(Table1[[#This Row],[Order_ID]],5)</f>
        <v>10240</v>
      </c>
      <c r="F241" t="s">
        <v>5</v>
      </c>
      <c r="G241">
        <v>10240</v>
      </c>
      <c r="H241" t="s">
        <v>1159</v>
      </c>
      <c r="I241" s="2">
        <f>EDATE(Table1[[#This Row],[Order_Date]],3)</f>
        <v>46041</v>
      </c>
      <c r="J241" s="2">
        <f>EDATE(Table1[[#This Row],[Order_Date]],6)</f>
        <v>46131</v>
      </c>
      <c r="K241">
        <f ca="1">YEAR(Table1[[#This Row],[Today]])</f>
        <v>2026</v>
      </c>
      <c r="L241">
        <v>240</v>
      </c>
      <c r="M241">
        <f ca="1">DAY(Table1[[#This Row],[Today]])</f>
        <v>11</v>
      </c>
      <c r="N241" s="19">
        <f t="shared" ca="1" si="27"/>
        <v>46245.589795370368</v>
      </c>
      <c r="O241" s="2">
        <f t="shared" ca="1" si="22"/>
        <v>46245</v>
      </c>
      <c r="P241" s="17">
        <f ca="1">Table1[[#This Row],[Today]]-Table1[[#This Row],[Order_Date]]</f>
        <v>296</v>
      </c>
      <c r="Q241" s="2">
        <v>45897</v>
      </c>
      <c r="R241" s="2">
        <v>45949</v>
      </c>
      <c r="S241" s="6">
        <f t="shared" si="25"/>
        <v>2025</v>
      </c>
      <c r="T241" s="7" t="str">
        <f t="shared" si="26"/>
        <v>October</v>
      </c>
      <c r="U241" s="2">
        <f>WORKDAY(Table1[[#This Row],[Order_Date]],5)</f>
        <v>45954</v>
      </c>
      <c r="V241" s="7" t="str">
        <f>CONCATENATE(Table1[[#This Row],[Customer_ID]],Table1[[#This Row],[Customer_Name]])</f>
        <v>C1076Priya Verma</v>
      </c>
      <c r="W241" t="s">
        <v>1160</v>
      </c>
      <c r="X241" t="s">
        <v>335</v>
      </c>
      <c r="Y241">
        <f>COUNTA(Table1[[#This Row],[Customer_Name]])</f>
        <v>1</v>
      </c>
      <c r="Z241" t="str">
        <f>SUBSTITUTE(Table1[[#This Row],[Customer_Name]]," ","_")</f>
        <v>Priya_Verma</v>
      </c>
      <c r="AA241" s="10">
        <f>IFERROR(SEARCH("a",Table1[[#This Row],[Customer_Name]]),"N/A")</f>
        <v>5</v>
      </c>
      <c r="AB241">
        <f>SEARCH(" ",Table1[[#This Row],[Customer_Name]])</f>
        <v>6</v>
      </c>
      <c r="AC241" s="11">
        <f>IFERROR(FIND("a",Table1[[#This Row],[Customer_Name]]),"N/A")</f>
        <v>5</v>
      </c>
      <c r="AD241">
        <f>FIND(" ",Table1[[#This Row],[Customer_Name]])</f>
        <v>6</v>
      </c>
      <c r="AE241" t="str">
        <f>TRIM(Table1[[#This Row],[Customer_Name]])</f>
        <v>Priya Verma</v>
      </c>
      <c r="AF241">
        <f>LEN(Table1[[#This Row],[Trimmed]])</f>
        <v>11</v>
      </c>
      <c r="AG241">
        <f>MAX(Table1[Length])</f>
        <v>15</v>
      </c>
      <c r="AH241" t="str">
        <f>PROPER(Table1[[#This Row],[Customer_Name]])</f>
        <v>Priya Verma</v>
      </c>
      <c r="AI241" t="str">
        <f>LOWER(Table1[[#This Row],[Customer_Name]])</f>
        <v>priya verma</v>
      </c>
      <c r="AJ241" t="str">
        <f>UPPER(Table1[[#This Row],[Customer_Name]])</f>
        <v>PRIYA VERMA</v>
      </c>
      <c r="AK241" t="str">
        <f>CONCATENATE(Table1[[#This Row],[Customer_ID]],Table1[[#This Row],[Customer_Name]])</f>
        <v>C1076Priya Verma</v>
      </c>
      <c r="AL241" t="s">
        <v>174</v>
      </c>
      <c r="AM241" t="s">
        <v>336</v>
      </c>
      <c r="AN241" t="s">
        <v>337</v>
      </c>
      <c r="AO241" t="s">
        <v>174</v>
      </c>
      <c r="AP241" t="s">
        <v>336</v>
      </c>
      <c r="AQ241" t="s">
        <v>233</v>
      </c>
      <c r="AR241" t="str">
        <f>TRIM(Table1[[#This Row],[City]])</f>
        <v>Kolkata</v>
      </c>
      <c r="AS241" t="str">
        <f>PROPER(Table1[[#This Row],[City]])</f>
        <v>Kolkata</v>
      </c>
      <c r="AT241" t="s">
        <v>234</v>
      </c>
      <c r="AU241" t="str">
        <f>CONCATENATE(Table1[[#This Row],[City]],Table1[[#This Row],[State]])</f>
        <v>KolkataWest Bengal</v>
      </c>
      <c r="AV241" t="s">
        <v>235</v>
      </c>
      <c r="AW241" t="s">
        <v>169</v>
      </c>
      <c r="AX241" t="str">
        <f>REPLACE(Table1[[#This Row],[Product_ID]],1,1,"s")</f>
        <v>s112</v>
      </c>
      <c r="AY241" t="s">
        <v>1161</v>
      </c>
      <c r="AZ241">
        <f>SEARCH("-",Table1[[#This Row],[Product ID]])</f>
        <v>2</v>
      </c>
      <c r="BA241">
        <f>FIND("-",Table1[[#This Row],[Product ID]])</f>
        <v>2</v>
      </c>
      <c r="BB241" t="str">
        <f>MID(Table1[[#This Row],[Product_ID]],2,3)</f>
        <v>112</v>
      </c>
      <c r="BC241" t="str">
        <f>RIGHT(Table1[[#This Row],[Product_ID]],3)</f>
        <v>112</v>
      </c>
      <c r="BD241" t="str">
        <f>LEFT(Table1[[#This Row],[Product_ID]],3)</f>
        <v>P11</v>
      </c>
      <c r="BE241" t="str">
        <f>_xlfn.XLOOKUP(Table1[[#This Row],[Product_ID]],AW:AW,BF:BF,,0)</f>
        <v>Air Fryer</v>
      </c>
      <c r="BF241" t="s">
        <v>171</v>
      </c>
      <c r="BG241">
        <f>LEN(Table1[[#This Row],[Product_Name]])</f>
        <v>9</v>
      </c>
      <c r="BH241" t="s">
        <v>133</v>
      </c>
      <c r="BI241">
        <f t="shared" si="28"/>
        <v>75</v>
      </c>
      <c r="BJ241" t="str">
        <f>SUBSTITUTE(Table1[[#This Row],[Category]],"Electronics","ELECTRONICS")</f>
        <v>Home</v>
      </c>
      <c r="BN241" t="s">
        <v>134</v>
      </c>
      <c r="BS241" s="14">
        <v>1</v>
      </c>
      <c r="BT241" s="3">
        <v>6499</v>
      </c>
      <c r="BU241" s="4">
        <v>10</v>
      </c>
      <c r="BV241" s="4" t="str">
        <f>IF(AND(Table1[[#This Row],[Quantity]]&gt;=3,Table1[[#This Row],[Discount_%]]&gt;=15%),"Bulk Discount","no")</f>
        <v>no</v>
      </c>
      <c r="BW241" s="4" t="str">
        <f>IF(AND(Table1[[#This Row],[Quantity]]&gt;3,Table1[[#This Row],[Discount_%]]&gt;15%),"Bulk Customer","Normal")</f>
        <v>Normal</v>
      </c>
      <c r="BX241" t="s">
        <v>187</v>
      </c>
      <c r="BY241" t="s">
        <v>136</v>
      </c>
      <c r="CC241" t="str">
        <f>IF(OR(Table1[[#This Row],[Order_Status]]="Returned",Table1[[#This Row],[Order_Status]]="Cancelled"),"Attention Required","Not")</f>
        <v>Not</v>
      </c>
      <c r="CD241" t="str">
        <f>IF(OR(Table1[[#This Row],[Order_Status]]="Returned",Table1[[#This Row],[Order_Status]]="Cancelled"),"Review","no")</f>
        <v>no</v>
      </c>
      <c r="CE241" t="str">
        <f>SUBSTITUTE(Table1[[#This Row],[Order_Status]],"Delivered","Completed")</f>
        <v>Completed</v>
      </c>
      <c r="CF241" s="2">
        <v>45953</v>
      </c>
      <c r="CG241" s="17">
        <f>NETWORKDAYS(Table1[[#This Row],[Order_Date]],Table1[[#This Row],[Delivery_Date]])</f>
        <v>4</v>
      </c>
      <c r="CH241" s="17">
        <f>Table1[[#This Row],[Delivery_Date]]-Table1[[#This Row],[Order_Date]]</f>
        <v>4</v>
      </c>
      <c r="CI241" t="s">
        <v>137</v>
      </c>
      <c r="CJ241" t="str">
        <f>IF(Table1[[#This Row],[Rating]]&gt;=4,"Good","Needs Improvement")</f>
        <v>Good</v>
      </c>
      <c r="CK241" t="str">
        <f>IF(OR(Table1[[#This Row],[Rating]]&lt;=2,Table1[[#This Row],[Profit]]&lt;0),"Review","NO")</f>
        <v>NO</v>
      </c>
      <c r="CL241" t="str" cm="1">
        <f t="array" ref="CL241">_xlfn.IFS(Table1[[#This Row],[Rating]]&gt;2,"Poor",Table1[[#This Row],[Rating]]=3,"Average",Table1[[#This Row],[Rating]]=4,"Good",CP241=5,"Excellent")</f>
        <v>Poor</v>
      </c>
      <c r="CM241">
        <f>COUNT(Table1[[#This Row],[Rating]])</f>
        <v>1</v>
      </c>
      <c r="CN241">
        <f>COUNTBLANK(Table1[[#This Row],[Rating]])</f>
        <v>0</v>
      </c>
      <c r="CP241" t="s">
        <v>138</v>
      </c>
      <c r="CQ241" s="14">
        <v>5</v>
      </c>
      <c r="CR241" t="s">
        <v>173</v>
      </c>
      <c r="CS241" t="s">
        <v>140</v>
      </c>
      <c r="CU241" s="3">
        <v>5849.1</v>
      </c>
      <c r="CV241" s="3">
        <f>ROUND(Table1[[#This Row],[Sales_Amount]],0)</f>
        <v>5849</v>
      </c>
      <c r="CW241" s="3"/>
      <c r="CX241" s="3"/>
      <c r="CY241" s="3" t="b">
        <f>IF(AND(Table1[[#This Row],[Sales_Amount]]&gt;=10000,Table1[[#This Row],[Profit]]&gt;0),"Good Order")</f>
        <v>0</v>
      </c>
      <c r="CZ241" s="3" t="str">
        <f>IF(Table1[[#This Row],[Sales_Amount]]&gt;=10000,"High","Normal")</f>
        <v>Normal</v>
      </c>
      <c r="DA241" s="3">
        <v>1549.1</v>
      </c>
      <c r="DB241" s="3">
        <f>ROUND(Table1[[#This Row],[Profit]],0)</f>
        <v>1549</v>
      </c>
      <c r="DC241" s="3">
        <f>ABS(Table1[[#This Row],[Profit]])</f>
        <v>1549.1</v>
      </c>
      <c r="DD241" s="3"/>
      <c r="DE241" s="3"/>
      <c r="DF241" s="3"/>
      <c r="DG241" s="3" t="str">
        <f>IF(Table1[[#This Row],[Profit]]&gt;0,"Profit","Loss")</f>
        <v>Profit</v>
      </c>
      <c r="DH241" s="3" t="str">
        <f>IF(AND(Table1[[#This Row],[Sales_Amount]]&gt;=10000,Table1[[#This Row],[Profit]]&gt;0),"Priority","Normal")</f>
        <v>Normal</v>
      </c>
      <c r="DI241" s="3">
        <f t="shared" ca="1" si="23"/>
        <v>0.14501034744350438</v>
      </c>
      <c r="DJ241" s="3">
        <f t="shared" ca="1" si="24"/>
        <v>70</v>
      </c>
      <c r="DK241" s="3"/>
      <c r="DL241" s="3"/>
      <c r="DM241" s="3"/>
      <c r="DN241" s="3"/>
      <c r="DO241" s="3"/>
      <c r="DP241" s="3"/>
    </row>
    <row r="242" spans="1:120">
      <c r="A242" t="s">
        <v>1162</v>
      </c>
      <c r="B242" t="str">
        <f>REPLACE(Table1[[#This Row],[Order_ID]],1,3,"YOO")</f>
        <v>YOO10241</v>
      </c>
      <c r="C242" t="str">
        <f>MID(Table1[[#This Row],[Order_ID]],4,4)</f>
        <v>1024</v>
      </c>
      <c r="D242" t="str">
        <f>LEFT(Table1[[#This Row],[Order_ID]],4)</f>
        <v>ORD1</v>
      </c>
      <c r="E242" t="str">
        <f>RIGHT(Table1[[#This Row],[Order_ID]],5)</f>
        <v>10241</v>
      </c>
      <c r="F242" t="s">
        <v>5</v>
      </c>
      <c r="G242">
        <v>10241</v>
      </c>
      <c r="H242" t="s">
        <v>1163</v>
      </c>
      <c r="I242" s="2">
        <f>EDATE(Table1[[#This Row],[Order_Date]],3)</f>
        <v>45822</v>
      </c>
      <c r="J242" s="2">
        <f>EDATE(Table1[[#This Row],[Order_Date]],6)</f>
        <v>45914</v>
      </c>
      <c r="K242">
        <f ca="1">YEAR(Table1[[#This Row],[Today]])</f>
        <v>2026</v>
      </c>
      <c r="L242">
        <v>241</v>
      </c>
      <c r="M242">
        <f ca="1">DAY(Table1[[#This Row],[Today]])</f>
        <v>11</v>
      </c>
      <c r="N242" s="19">
        <f t="shared" ca="1" si="27"/>
        <v>46245.589795138891</v>
      </c>
      <c r="O242" s="2">
        <f t="shared" ca="1" si="22"/>
        <v>46245</v>
      </c>
      <c r="P242" s="17">
        <f ca="1">Table1[[#This Row],[Today]]-Table1[[#This Row],[Order_Date]]</f>
        <v>515</v>
      </c>
      <c r="Q242" s="2">
        <v>45898</v>
      </c>
      <c r="R242" s="2">
        <v>45730</v>
      </c>
      <c r="S242" s="6">
        <f t="shared" si="25"/>
        <v>2025</v>
      </c>
      <c r="T242" s="7" t="str">
        <f t="shared" si="26"/>
        <v>March</v>
      </c>
      <c r="U242" s="2">
        <f>WORKDAY(Table1[[#This Row],[Order_Date]],5)</f>
        <v>45737</v>
      </c>
      <c r="V242" s="7" t="str">
        <f>CONCATENATE(Table1[[#This Row],[Customer_ID]],Table1[[#This Row],[Customer_Name]])</f>
        <v>C1100Varun Tiwari</v>
      </c>
      <c r="W242" t="s">
        <v>1164</v>
      </c>
      <c r="X242" t="s">
        <v>178</v>
      </c>
      <c r="Y242">
        <f>COUNTA(Table1[[#This Row],[Customer_Name]])</f>
        <v>1</v>
      </c>
      <c r="Z242" t="str">
        <f>SUBSTITUTE(Table1[[#This Row],[Customer_Name]]," ","_")</f>
        <v>Varun_Tiwari</v>
      </c>
      <c r="AA242" s="10">
        <f>IFERROR(SEARCH("a",Table1[[#This Row],[Customer_Name]]),"N/A")</f>
        <v>2</v>
      </c>
      <c r="AB242">
        <f>SEARCH(" ",Table1[[#This Row],[Customer_Name]])</f>
        <v>6</v>
      </c>
      <c r="AC242" s="11">
        <f>IFERROR(FIND("a",Table1[[#This Row],[Customer_Name]]),"N/A")</f>
        <v>2</v>
      </c>
      <c r="AD242">
        <f>FIND(" ",Table1[[#This Row],[Customer_Name]])</f>
        <v>6</v>
      </c>
      <c r="AE242" t="str">
        <f>TRIM(Table1[[#This Row],[Customer_Name]])</f>
        <v>Varun Tiwari</v>
      </c>
      <c r="AF242">
        <f>LEN(Table1[[#This Row],[Trimmed]])</f>
        <v>12</v>
      </c>
      <c r="AG242">
        <f>MAX(Table1[Length])</f>
        <v>15</v>
      </c>
      <c r="AH242" t="str">
        <f>PROPER(Table1[[#This Row],[Customer_Name]])</f>
        <v>Varun Tiwari</v>
      </c>
      <c r="AI242" t="str">
        <f>LOWER(Table1[[#This Row],[Customer_Name]])</f>
        <v>varun tiwari</v>
      </c>
      <c r="AJ242" t="str">
        <f>UPPER(Table1[[#This Row],[Customer_Name]])</f>
        <v>VARUN TIWARI</v>
      </c>
      <c r="AK242" t="str">
        <f>CONCATENATE(Table1[[#This Row],[Customer_ID]],Table1[[#This Row],[Customer_Name]])</f>
        <v>C1100Varun Tiwari</v>
      </c>
      <c r="AL242" t="s">
        <v>179</v>
      </c>
      <c r="AM242" t="s">
        <v>180</v>
      </c>
      <c r="AN242" t="s">
        <v>181</v>
      </c>
      <c r="AO242" t="s">
        <v>179</v>
      </c>
      <c r="AP242" t="s">
        <v>180</v>
      </c>
      <c r="AQ242" t="s">
        <v>284</v>
      </c>
      <c r="AR242" t="str">
        <f>TRIM(Table1[[#This Row],[City]])</f>
        <v>Hyderabad</v>
      </c>
      <c r="AS242" t="str">
        <f>PROPER(Table1[[#This Row],[City]])</f>
        <v>Hyderabad</v>
      </c>
      <c r="AT242" t="s">
        <v>285</v>
      </c>
      <c r="AU242" t="str">
        <f>CONCATENATE(Table1[[#This Row],[City]],Table1[[#This Row],[State]])</f>
        <v>HyderabadTelangana</v>
      </c>
      <c r="AV242" t="s">
        <v>168</v>
      </c>
      <c r="AW242" t="s">
        <v>201</v>
      </c>
      <c r="AX242" t="str">
        <f>REPLACE(Table1[[#This Row],[Product_ID]],1,1,"s")</f>
        <v>s104</v>
      </c>
      <c r="AY242" t="s">
        <v>1165</v>
      </c>
      <c r="AZ242">
        <f>SEARCH("-",Table1[[#This Row],[Product ID]])</f>
        <v>2</v>
      </c>
      <c r="BA242">
        <f>FIND("-",Table1[[#This Row],[Product ID]])</f>
        <v>2</v>
      </c>
      <c r="BB242" t="str">
        <f>MID(Table1[[#This Row],[Product_ID]],2,3)</f>
        <v>104</v>
      </c>
      <c r="BC242" t="str">
        <f>RIGHT(Table1[[#This Row],[Product_ID]],3)</f>
        <v>104</v>
      </c>
      <c r="BD242" t="str">
        <f>LEFT(Table1[[#This Row],[Product_ID]],3)</f>
        <v>P10</v>
      </c>
      <c r="BE242" t="str">
        <f>_xlfn.XLOOKUP(Table1[[#This Row],[Product_ID]],AW:AW,BF:BF,,0)</f>
        <v>USB-C Hub</v>
      </c>
      <c r="BF242" t="s">
        <v>203</v>
      </c>
      <c r="BG242">
        <f>LEN(Table1[[#This Row],[Product_Name]])</f>
        <v>9</v>
      </c>
      <c r="BH242" t="s">
        <v>154</v>
      </c>
      <c r="BI242">
        <f t="shared" si="28"/>
        <v>75</v>
      </c>
      <c r="BJ242" t="str">
        <f>SUBSTITUTE(Table1[[#This Row],[Category]],"Electronics","ELECTRONICS")</f>
        <v>ELECTRONICS</v>
      </c>
      <c r="BN242" t="s">
        <v>155</v>
      </c>
      <c r="BS242" s="14">
        <v>5</v>
      </c>
      <c r="BT242" s="3">
        <v>1899</v>
      </c>
      <c r="BU242" s="4">
        <v>0</v>
      </c>
      <c r="BV242" s="4" t="str">
        <f>IF(AND(Table1[[#This Row],[Quantity]]&gt;=3,Table1[[#This Row],[Discount_%]]&gt;=15%),"Bulk Discount","no")</f>
        <v>no</v>
      </c>
      <c r="BW242" s="4" t="str">
        <f>IF(AND(Table1[[#This Row],[Quantity]]&gt;3,Table1[[#This Row],[Discount_%]]&gt;15%),"Bulk Customer","Normal")</f>
        <v>Normal</v>
      </c>
      <c r="BX242" t="s">
        <v>330</v>
      </c>
      <c r="BY242" t="s">
        <v>136</v>
      </c>
      <c r="CC242" t="str">
        <f>IF(OR(Table1[[#This Row],[Order_Status]]="Returned",Table1[[#This Row],[Order_Status]]="Cancelled"),"Attention Required","Not")</f>
        <v>Not</v>
      </c>
      <c r="CD242" t="str">
        <f>IF(OR(Table1[[#This Row],[Order_Status]]="Returned",Table1[[#This Row],[Order_Status]]="Cancelled"),"Review","no")</f>
        <v>no</v>
      </c>
      <c r="CE242" t="str">
        <f>SUBSTITUTE(Table1[[#This Row],[Order_Status]],"Delivered","Completed")</f>
        <v>Completed</v>
      </c>
      <c r="CF242" s="2">
        <v>45736</v>
      </c>
      <c r="CG242" s="17">
        <f>NETWORKDAYS(Table1[[#This Row],[Order_Date]],Table1[[#This Row],[Delivery_Date]])</f>
        <v>5</v>
      </c>
      <c r="CH242" s="17">
        <f>Table1[[#This Row],[Delivery_Date]]-Table1[[#This Row],[Order_Date]]</f>
        <v>6</v>
      </c>
      <c r="CI242" t="s">
        <v>137</v>
      </c>
      <c r="CJ242" t="str">
        <f>IF(Table1[[#This Row],[Rating]]&gt;=4,"Good","Needs Improvement")</f>
        <v>Needs Improvement</v>
      </c>
      <c r="CK242" t="str">
        <f>IF(OR(Table1[[#This Row],[Rating]]&lt;=2,Table1[[#This Row],[Profit]]&lt;0),"Review","NO")</f>
        <v>NO</v>
      </c>
      <c r="CL242" t="str" cm="1">
        <f t="array" ref="CL242">_xlfn.IFS(Table1[[#This Row],[Rating]]&gt;2,"Poor",Table1[[#This Row],[Rating]]=3,"Average",Table1[[#This Row],[Rating]]=4,"Good",CP242=5,"Excellent")</f>
        <v>Poor</v>
      </c>
      <c r="CM242">
        <f>COUNT(Table1[[#This Row],[Rating]])</f>
        <v>1</v>
      </c>
      <c r="CN242">
        <f>COUNTBLANK(Table1[[#This Row],[Rating]])</f>
        <v>0</v>
      </c>
      <c r="CP242" t="s">
        <v>157</v>
      </c>
      <c r="CQ242" s="14">
        <v>3</v>
      </c>
      <c r="CR242" t="s">
        <v>204</v>
      </c>
      <c r="CS242" t="s">
        <v>213</v>
      </c>
      <c r="CU242" s="3">
        <v>9495</v>
      </c>
      <c r="CV242" s="3">
        <f>ROUND(Table1[[#This Row],[Sales_Amount]],0)</f>
        <v>9495</v>
      </c>
      <c r="CW242" s="3"/>
      <c r="CX242" s="3"/>
      <c r="CY242" s="3" t="b">
        <f>IF(AND(Table1[[#This Row],[Sales_Amount]]&gt;=10000,Table1[[#This Row],[Profit]]&gt;0),"Good Order")</f>
        <v>0</v>
      </c>
      <c r="CZ242" s="3" t="str">
        <f>IF(Table1[[#This Row],[Sales_Amount]]&gt;=10000,"High","Normal")</f>
        <v>Normal</v>
      </c>
      <c r="DA242" s="3">
        <v>3995</v>
      </c>
      <c r="DB242" s="3">
        <f>ROUND(Table1[[#This Row],[Profit]],0)</f>
        <v>3995</v>
      </c>
      <c r="DC242" s="3">
        <f>ABS(Table1[[#This Row],[Profit]])</f>
        <v>3995</v>
      </c>
      <c r="DD242" s="3"/>
      <c r="DE242" s="3"/>
      <c r="DF242" s="3"/>
      <c r="DG242" s="3" t="str">
        <f>IF(Table1[[#This Row],[Profit]]&gt;0,"Profit","Loss")</f>
        <v>Profit</v>
      </c>
      <c r="DH242" s="3" t="str">
        <f>IF(AND(Table1[[#This Row],[Sales_Amount]]&gt;=10000,Table1[[#This Row],[Profit]]&gt;0),"Priority","Normal")</f>
        <v>Normal</v>
      </c>
      <c r="DI242" s="3">
        <f t="shared" ca="1" si="23"/>
        <v>0.24173021233350866</v>
      </c>
      <c r="DJ242" s="3">
        <f t="shared" ca="1" si="24"/>
        <v>47</v>
      </c>
      <c r="DK242" s="3"/>
      <c r="DL242" s="3"/>
      <c r="DM242" s="3"/>
      <c r="DN242" s="3"/>
      <c r="DO242" s="3"/>
      <c r="DP242" s="3"/>
    </row>
    <row r="243" spans="1:120">
      <c r="A243" t="s">
        <v>1166</v>
      </c>
      <c r="B243" t="str">
        <f>REPLACE(Table1[[#This Row],[Order_ID]],1,3,"YOO")</f>
        <v>YOO10242</v>
      </c>
      <c r="C243" t="str">
        <f>MID(Table1[[#This Row],[Order_ID]],4,4)</f>
        <v>1024</v>
      </c>
      <c r="D243" t="str">
        <f>LEFT(Table1[[#This Row],[Order_ID]],4)</f>
        <v>ORD1</v>
      </c>
      <c r="E243" t="str">
        <f>RIGHT(Table1[[#This Row],[Order_ID]],5)</f>
        <v>10242</v>
      </c>
      <c r="F243" t="s">
        <v>5</v>
      </c>
      <c r="G243">
        <v>10242</v>
      </c>
      <c r="H243" t="s">
        <v>1167</v>
      </c>
      <c r="I243" s="2">
        <f>EDATE(Table1[[#This Row],[Order_Date]],3)</f>
        <v>45824</v>
      </c>
      <c r="J243" s="2">
        <f>EDATE(Table1[[#This Row],[Order_Date]],6)</f>
        <v>45916</v>
      </c>
      <c r="K243">
        <f ca="1">YEAR(Table1[[#This Row],[Today]])</f>
        <v>2026</v>
      </c>
      <c r="L243">
        <v>242</v>
      </c>
      <c r="M243">
        <f ca="1">DAY(Table1[[#This Row],[Today]])</f>
        <v>11</v>
      </c>
      <c r="N243" s="19">
        <f t="shared" ca="1" si="27"/>
        <v>46245.589795370368</v>
      </c>
      <c r="O243" s="2">
        <f t="shared" ca="1" si="22"/>
        <v>46245</v>
      </c>
      <c r="P243" s="17">
        <f ca="1">Table1[[#This Row],[Today]]-Table1[[#This Row],[Order_Date]]</f>
        <v>513</v>
      </c>
      <c r="Q243" s="2">
        <v>45899</v>
      </c>
      <c r="R243" s="2">
        <v>45732</v>
      </c>
      <c r="S243" s="6">
        <f t="shared" si="25"/>
        <v>2025</v>
      </c>
      <c r="T243" s="7" t="str">
        <f t="shared" si="26"/>
        <v>March</v>
      </c>
      <c r="U243" s="2">
        <f>WORKDAY(Table1[[#This Row],[Order_Date]],5)</f>
        <v>45737</v>
      </c>
      <c r="V243" s="7" t="str">
        <f>CONCATENATE(Table1[[#This Row],[Customer_ID]],Table1[[#This Row],[Customer_Name]])</f>
        <v>C1011Priya Verma</v>
      </c>
      <c r="W243" t="s">
        <v>491</v>
      </c>
      <c r="X243" t="s">
        <v>335</v>
      </c>
      <c r="Y243">
        <f>COUNTA(Table1[[#This Row],[Customer_Name]])</f>
        <v>1</v>
      </c>
      <c r="Z243" t="str">
        <f>SUBSTITUTE(Table1[[#This Row],[Customer_Name]]," ","_")</f>
        <v>Priya_Verma</v>
      </c>
      <c r="AA243" s="10">
        <f>IFERROR(SEARCH("a",Table1[[#This Row],[Customer_Name]]),"N/A")</f>
        <v>5</v>
      </c>
      <c r="AB243">
        <f>SEARCH(" ",Table1[[#This Row],[Customer_Name]])</f>
        <v>6</v>
      </c>
      <c r="AC243" s="11">
        <f>IFERROR(FIND("a",Table1[[#This Row],[Customer_Name]]),"N/A")</f>
        <v>5</v>
      </c>
      <c r="AD243">
        <f>FIND(" ",Table1[[#This Row],[Customer_Name]])</f>
        <v>6</v>
      </c>
      <c r="AE243" t="str">
        <f>TRIM(Table1[[#This Row],[Customer_Name]])</f>
        <v>Priya Verma</v>
      </c>
      <c r="AF243">
        <f>LEN(Table1[[#This Row],[Trimmed]])</f>
        <v>11</v>
      </c>
      <c r="AG243">
        <f>MAX(Table1[Length])</f>
        <v>15</v>
      </c>
      <c r="AH243" t="str">
        <f>PROPER(Table1[[#This Row],[Customer_Name]])</f>
        <v>Priya Verma</v>
      </c>
      <c r="AI243" t="str">
        <f>LOWER(Table1[[#This Row],[Customer_Name]])</f>
        <v>priya verma</v>
      </c>
      <c r="AJ243" t="str">
        <f>UPPER(Table1[[#This Row],[Customer_Name]])</f>
        <v>PRIYA VERMA</v>
      </c>
      <c r="AK243" t="str">
        <f>CONCATENATE(Table1[[#This Row],[Customer_ID]],Table1[[#This Row],[Customer_Name]])</f>
        <v>C1011Priya Verma</v>
      </c>
      <c r="AL243" t="s">
        <v>174</v>
      </c>
      <c r="AM243" t="s">
        <v>336</v>
      </c>
      <c r="AN243" t="s">
        <v>337</v>
      </c>
      <c r="AO243" t="s">
        <v>174</v>
      </c>
      <c r="AP243" t="s">
        <v>336</v>
      </c>
      <c r="AQ243" t="s">
        <v>606</v>
      </c>
      <c r="AR243" t="str">
        <f>TRIM(Table1[[#This Row],[City]])</f>
        <v>Hyderabad</v>
      </c>
      <c r="AS243" t="str">
        <f>PROPER(Table1[[#This Row],[City]])</f>
        <v xml:space="preserve"> Hyderabad </v>
      </c>
      <c r="AT243" t="s">
        <v>285</v>
      </c>
      <c r="AU243" t="str">
        <f>CONCATENATE(Table1[[#This Row],[City]],Table1[[#This Row],[State]])</f>
        <v xml:space="preserve"> Hyderabad Telangana</v>
      </c>
      <c r="AV243" t="s">
        <v>168</v>
      </c>
      <c r="AW243" t="s">
        <v>319</v>
      </c>
      <c r="AX243" t="str">
        <f>REPLACE(Table1[[#This Row],[Product_ID]],1,1,"s")</f>
        <v>s103</v>
      </c>
      <c r="AY243" t="s">
        <v>1168</v>
      </c>
      <c r="AZ243">
        <f>SEARCH("-",Table1[[#This Row],[Product ID]])</f>
        <v>2</v>
      </c>
      <c r="BA243">
        <f>FIND("-",Table1[[#This Row],[Product ID]])</f>
        <v>2</v>
      </c>
      <c r="BB243" t="str">
        <f>MID(Table1[[#This Row],[Product_ID]],2,3)</f>
        <v>103</v>
      </c>
      <c r="BC243" t="str">
        <f>RIGHT(Table1[[#This Row],[Product_ID]],3)</f>
        <v>103</v>
      </c>
      <c r="BD243" t="str">
        <f>LEFT(Table1[[#This Row],[Product_ID]],3)</f>
        <v>P10</v>
      </c>
      <c r="BE243" t="str">
        <f>_xlfn.XLOOKUP(Table1[[#This Row],[Product_ID]],AW:AW,BF:BF,,0)</f>
        <v>Laptop Stand</v>
      </c>
      <c r="BF243" t="s">
        <v>321</v>
      </c>
      <c r="BG243">
        <f>LEN(Table1[[#This Row],[Product_Name]])</f>
        <v>12</v>
      </c>
      <c r="BH243" t="s">
        <v>154</v>
      </c>
      <c r="BI243">
        <f t="shared" si="28"/>
        <v>75</v>
      </c>
      <c r="BJ243" t="str">
        <f>SUBSTITUTE(Table1[[#This Row],[Category]],"Electronics","ELECTRONICS")</f>
        <v>ELECTRONICS</v>
      </c>
      <c r="BN243" t="s">
        <v>155</v>
      </c>
      <c r="BS243" s="14">
        <v>1</v>
      </c>
      <c r="BT243" s="3">
        <v>1599</v>
      </c>
      <c r="BU243" s="4">
        <v>0</v>
      </c>
      <c r="BV243" s="4" t="str">
        <f>IF(AND(Table1[[#This Row],[Quantity]]&gt;=3,Table1[[#This Row],[Discount_%]]&gt;=15%),"Bulk Discount","no")</f>
        <v>no</v>
      </c>
      <c r="BW243" s="4" t="str">
        <f>IF(AND(Table1[[#This Row],[Quantity]]&gt;3,Table1[[#This Row],[Discount_%]]&gt;15%),"Bulk Customer","Normal")</f>
        <v>Normal</v>
      </c>
      <c r="BX243" t="s">
        <v>330</v>
      </c>
      <c r="BY243" t="s">
        <v>136</v>
      </c>
      <c r="CC243" t="str">
        <f>IF(OR(Table1[[#This Row],[Order_Status]]="Returned",Table1[[#This Row],[Order_Status]]="Cancelled"),"Attention Required","Not")</f>
        <v>Not</v>
      </c>
      <c r="CD243" t="str">
        <f>IF(OR(Table1[[#This Row],[Order_Status]]="Returned",Table1[[#This Row],[Order_Status]]="Cancelled"),"Review","no")</f>
        <v>no</v>
      </c>
      <c r="CE243" t="str">
        <f>SUBSTITUTE(Table1[[#This Row],[Order_Status]],"Delivered","Completed")</f>
        <v>Completed</v>
      </c>
      <c r="CF243" s="2">
        <v>45737</v>
      </c>
      <c r="CG243" s="17">
        <f>NETWORKDAYS(Table1[[#This Row],[Order_Date]],Table1[[#This Row],[Delivery_Date]])</f>
        <v>5</v>
      </c>
      <c r="CH243" s="17">
        <f>Table1[[#This Row],[Delivery_Date]]-Table1[[#This Row],[Order_Date]]</f>
        <v>5</v>
      </c>
      <c r="CI243" t="s">
        <v>137</v>
      </c>
      <c r="CJ243" t="str">
        <f>IF(Table1[[#This Row],[Rating]]&gt;=4,"Good","Needs Improvement")</f>
        <v>Good</v>
      </c>
      <c r="CK243" t="str">
        <f>IF(OR(Table1[[#This Row],[Rating]]&lt;=2,Table1[[#This Row],[Profit]]&lt;0),"Review","NO")</f>
        <v>NO</v>
      </c>
      <c r="CL243" t="str" cm="1">
        <f t="array" ref="CL243">_xlfn.IFS(Table1[[#This Row],[Rating]]&gt;2,"Poor",Table1[[#This Row],[Rating]]=3,"Average",Table1[[#This Row],[Rating]]=4,"Good",CP243=5,"Excellent")</f>
        <v>Poor</v>
      </c>
      <c r="CM243">
        <f>COUNT(Table1[[#This Row],[Rating]])</f>
        <v>1</v>
      </c>
      <c r="CN243">
        <f>COUNTBLANK(Table1[[#This Row],[Rating]])</f>
        <v>0</v>
      </c>
      <c r="CP243" t="s">
        <v>266</v>
      </c>
      <c r="CQ243" s="14">
        <v>4</v>
      </c>
      <c r="CR243" t="s">
        <v>173</v>
      </c>
      <c r="CS243" t="s">
        <v>213</v>
      </c>
      <c r="CU243" s="3">
        <v>1599</v>
      </c>
      <c r="CV243" s="3">
        <f>ROUND(Table1[[#This Row],[Sales_Amount]],0)</f>
        <v>1599</v>
      </c>
      <c r="CW243" s="3"/>
      <c r="CX243" s="3"/>
      <c r="CY243" s="3" t="b">
        <f>IF(AND(Table1[[#This Row],[Sales_Amount]]&gt;=10000,Table1[[#This Row],[Profit]]&gt;0),"Good Order")</f>
        <v>0</v>
      </c>
      <c r="CZ243" s="3" t="str">
        <f>IF(Table1[[#This Row],[Sales_Amount]]&gt;=10000,"High","Normal")</f>
        <v>Normal</v>
      </c>
      <c r="DA243" s="3">
        <v>699</v>
      </c>
      <c r="DB243" s="3">
        <f>ROUND(Table1[[#This Row],[Profit]],0)</f>
        <v>699</v>
      </c>
      <c r="DC243" s="3">
        <f>ABS(Table1[[#This Row],[Profit]])</f>
        <v>699</v>
      </c>
      <c r="DD243" s="3"/>
      <c r="DE243" s="3"/>
      <c r="DF243" s="3"/>
      <c r="DG243" s="3" t="str">
        <f>IF(Table1[[#This Row],[Profit]]&gt;0,"Profit","Loss")</f>
        <v>Profit</v>
      </c>
      <c r="DH243" s="3" t="str">
        <f>IF(AND(Table1[[#This Row],[Sales_Amount]]&gt;=10000,Table1[[#This Row],[Profit]]&gt;0),"Priority","Normal")</f>
        <v>Normal</v>
      </c>
      <c r="DI243" s="3">
        <f t="shared" ca="1" si="23"/>
        <v>1.6774643106978182E-3</v>
      </c>
      <c r="DJ243" s="3">
        <f t="shared" ca="1" si="24"/>
        <v>6</v>
      </c>
      <c r="DK243" s="3"/>
      <c r="DL243" s="3"/>
      <c r="DM243" s="3"/>
      <c r="DN243" s="3"/>
      <c r="DO243" s="3"/>
      <c r="DP243" s="3"/>
    </row>
    <row r="244" spans="1:120">
      <c r="A244" t="s">
        <v>1169</v>
      </c>
      <c r="B244" t="str">
        <f>REPLACE(Table1[[#This Row],[Order_ID]],1,3,"YOO")</f>
        <v>YOO10243</v>
      </c>
      <c r="C244" t="str">
        <f>MID(Table1[[#This Row],[Order_ID]],4,4)</f>
        <v>1024</v>
      </c>
      <c r="D244" t="str">
        <f>LEFT(Table1[[#This Row],[Order_ID]],4)</f>
        <v>ORD1</v>
      </c>
      <c r="E244" t="str">
        <f>RIGHT(Table1[[#This Row],[Order_ID]],5)</f>
        <v>10243</v>
      </c>
      <c r="F244" t="s">
        <v>5</v>
      </c>
      <c r="G244">
        <v>10243</v>
      </c>
      <c r="H244" t="s">
        <v>1170</v>
      </c>
      <c r="I244" s="2">
        <f>EDATE(Table1[[#This Row],[Order_Date]],3)</f>
        <v>46175</v>
      </c>
      <c r="J244" s="2">
        <f>EDATE(Table1[[#This Row],[Order_Date]],6)</f>
        <v>46267</v>
      </c>
      <c r="K244">
        <f ca="1">YEAR(Table1[[#This Row],[Today]])</f>
        <v>2026</v>
      </c>
      <c r="L244">
        <v>243</v>
      </c>
      <c r="M244">
        <f ca="1">DAY(Table1[[#This Row],[Today]])</f>
        <v>11</v>
      </c>
      <c r="N244" s="19">
        <f t="shared" ca="1" si="27"/>
        <v>46245.589795370368</v>
      </c>
      <c r="O244" s="2">
        <f t="shared" ca="1" si="22"/>
        <v>46245</v>
      </c>
      <c r="P244" s="17">
        <f ca="1">Table1[[#This Row],[Today]]-Table1[[#This Row],[Order_Date]]</f>
        <v>162</v>
      </c>
      <c r="Q244" s="2">
        <v>45900</v>
      </c>
      <c r="R244" s="2">
        <v>46083</v>
      </c>
      <c r="S244" s="6">
        <f t="shared" si="25"/>
        <v>2026</v>
      </c>
      <c r="T244" s="7" t="str">
        <f t="shared" si="26"/>
        <v>March</v>
      </c>
      <c r="U244" s="2">
        <f>WORKDAY(Table1[[#This Row],[Order_Date]],5)</f>
        <v>46090</v>
      </c>
      <c r="V244" s="7" t="str">
        <f>CONCATENATE(Table1[[#This Row],[Customer_ID]],Table1[[#This Row],[Customer_Name]])</f>
        <v>C1022Pooja Jain</v>
      </c>
      <c r="W244" t="s">
        <v>270</v>
      </c>
      <c r="X244" t="s">
        <v>419</v>
      </c>
      <c r="Y244">
        <f>COUNTA(Table1[[#This Row],[Customer_Name]])</f>
        <v>1</v>
      </c>
      <c r="Z244" t="str">
        <f>SUBSTITUTE(Table1[[#This Row],[Customer_Name]]," ","_")</f>
        <v>Pooja_Jain</v>
      </c>
      <c r="AA244" s="10">
        <f>IFERROR(SEARCH("a",Table1[[#This Row],[Customer_Name]]),"N/A")</f>
        <v>5</v>
      </c>
      <c r="AB244">
        <f>SEARCH(" ",Table1[[#This Row],[Customer_Name]])</f>
        <v>6</v>
      </c>
      <c r="AC244" s="11">
        <f>IFERROR(FIND("a",Table1[[#This Row],[Customer_Name]]),"N/A")</f>
        <v>5</v>
      </c>
      <c r="AD244">
        <f>FIND(" ",Table1[[#This Row],[Customer_Name]])</f>
        <v>6</v>
      </c>
      <c r="AE244" t="str">
        <f>TRIM(Table1[[#This Row],[Customer_Name]])</f>
        <v>Pooja Jain</v>
      </c>
      <c r="AF244">
        <f>LEN(Table1[[#This Row],[Trimmed]])</f>
        <v>10</v>
      </c>
      <c r="AG244">
        <f>MAX(Table1[Length])</f>
        <v>15</v>
      </c>
      <c r="AH244" t="str">
        <f>PROPER(Table1[[#This Row],[Customer_Name]])</f>
        <v>Pooja Jain</v>
      </c>
      <c r="AI244" t="str">
        <f>LOWER(Table1[[#This Row],[Customer_Name]])</f>
        <v>pooja jain</v>
      </c>
      <c r="AJ244" t="str">
        <f>UPPER(Table1[[#This Row],[Customer_Name]])</f>
        <v>POOJA JAIN</v>
      </c>
      <c r="AK244" t="str">
        <f>CONCATENATE(Table1[[#This Row],[Customer_ID]],Table1[[#This Row],[Customer_Name]])</f>
        <v>C1022Pooja Jain</v>
      </c>
      <c r="AL244" t="s">
        <v>420</v>
      </c>
      <c r="AM244" t="s">
        <v>421</v>
      </c>
      <c r="AN244" t="s">
        <v>422</v>
      </c>
      <c r="AO244" t="s">
        <v>420</v>
      </c>
      <c r="AP244" t="s">
        <v>421</v>
      </c>
      <c r="AQ244" t="s">
        <v>304</v>
      </c>
      <c r="AR244" t="str">
        <f>TRIM(Table1[[#This Row],[City]])</f>
        <v>Chennai</v>
      </c>
      <c r="AS244" t="str">
        <f>PROPER(Table1[[#This Row],[City]])</f>
        <v>Chennai</v>
      </c>
      <c r="AT244" t="s">
        <v>305</v>
      </c>
      <c r="AU244" t="str">
        <f>CONCATENATE(Table1[[#This Row],[City]],Table1[[#This Row],[State]])</f>
        <v>ChennaiTamil Nadu</v>
      </c>
      <c r="AV244" t="s">
        <v>168</v>
      </c>
      <c r="AW244" t="s">
        <v>169</v>
      </c>
      <c r="AX244" t="str">
        <f>REPLACE(Table1[[#This Row],[Product_ID]],1,1,"s")</f>
        <v>s112</v>
      </c>
      <c r="AY244" t="s">
        <v>1171</v>
      </c>
      <c r="AZ244">
        <f>SEARCH("-",Table1[[#This Row],[Product ID]])</f>
        <v>2</v>
      </c>
      <c r="BA244">
        <f>FIND("-",Table1[[#This Row],[Product ID]])</f>
        <v>2</v>
      </c>
      <c r="BB244" t="str">
        <f>MID(Table1[[#This Row],[Product_ID]],2,3)</f>
        <v>112</v>
      </c>
      <c r="BC244" t="str">
        <f>RIGHT(Table1[[#This Row],[Product_ID]],3)</f>
        <v>112</v>
      </c>
      <c r="BD244" t="str">
        <f>LEFT(Table1[[#This Row],[Product_ID]],3)</f>
        <v>P11</v>
      </c>
      <c r="BE244" t="str">
        <f>_xlfn.XLOOKUP(Table1[[#This Row],[Product_ID]],AW:AW,BF:BF,,0)</f>
        <v>Air Fryer</v>
      </c>
      <c r="BF244" t="s">
        <v>171</v>
      </c>
      <c r="BG244">
        <f>LEN(Table1[[#This Row],[Product_Name]])</f>
        <v>9</v>
      </c>
      <c r="BH244" t="s">
        <v>133</v>
      </c>
      <c r="BI244">
        <f t="shared" si="28"/>
        <v>75</v>
      </c>
      <c r="BJ244" t="str">
        <f>SUBSTITUTE(Table1[[#This Row],[Category]],"Electronics","ELECTRONICS")</f>
        <v>Home</v>
      </c>
      <c r="BN244" t="s">
        <v>134</v>
      </c>
      <c r="BS244" s="14">
        <v>4</v>
      </c>
      <c r="BT244" s="3">
        <v>6499</v>
      </c>
      <c r="BU244" s="4">
        <v>20</v>
      </c>
      <c r="BV244" s="4" t="str">
        <f>IF(AND(Table1[[#This Row],[Quantity]]&gt;=3,Table1[[#This Row],[Discount_%]]&gt;=15%),"Bulk Discount","no")</f>
        <v>Bulk Discount</v>
      </c>
      <c r="BW244" s="4" t="str">
        <f>IF(AND(Table1[[#This Row],[Quantity]]&gt;3,Table1[[#This Row],[Discount_%]]&gt;15%),"Bulk Customer","Normal")</f>
        <v>Bulk Customer</v>
      </c>
      <c r="BX244" t="s">
        <v>172</v>
      </c>
      <c r="BY244" t="s">
        <v>136</v>
      </c>
      <c r="CC244" t="str">
        <f>IF(OR(Table1[[#This Row],[Order_Status]]="Returned",Table1[[#This Row],[Order_Status]]="Cancelled"),"Attention Required","Not")</f>
        <v>Not</v>
      </c>
      <c r="CD244" t="str">
        <f>IF(OR(Table1[[#This Row],[Order_Status]]="Returned",Table1[[#This Row],[Order_Status]]="Cancelled"),"Review","no")</f>
        <v>no</v>
      </c>
      <c r="CE244" t="str">
        <f>SUBSTITUTE(Table1[[#This Row],[Order_Status]],"Delivered","Completed")</f>
        <v>Completed</v>
      </c>
      <c r="CF244" s="2">
        <v>46086</v>
      </c>
      <c r="CG244" s="17">
        <f>NETWORKDAYS(Table1[[#This Row],[Order_Date]],Table1[[#This Row],[Delivery_Date]])</f>
        <v>4</v>
      </c>
      <c r="CH244" s="17">
        <f>Table1[[#This Row],[Delivery_Date]]-Table1[[#This Row],[Order_Date]]</f>
        <v>3</v>
      </c>
      <c r="CI244" t="s">
        <v>137</v>
      </c>
      <c r="CJ244" t="str">
        <f>IF(Table1[[#This Row],[Rating]]&gt;=4,"Good","Needs Improvement")</f>
        <v>Good</v>
      </c>
      <c r="CK244" t="str">
        <f>IF(OR(Table1[[#This Row],[Rating]]&lt;=2,Table1[[#This Row],[Profit]]&lt;0),"Review","NO")</f>
        <v>NO</v>
      </c>
      <c r="CL244" t="str" cm="1">
        <f t="array" ref="CL244">_xlfn.IFS(Table1[[#This Row],[Rating]]&gt;2,"Poor",Table1[[#This Row],[Rating]]=3,"Average",Table1[[#This Row],[Rating]]=4,"Good",CP244=5,"Excellent")</f>
        <v>Poor</v>
      </c>
      <c r="CM244">
        <f>COUNT(Table1[[#This Row],[Rating]])</f>
        <v>1</v>
      </c>
      <c r="CN244">
        <f>COUNTBLANK(Table1[[#This Row],[Rating]])</f>
        <v>0</v>
      </c>
      <c r="CP244" t="s">
        <v>266</v>
      </c>
      <c r="CQ244" s="14">
        <v>4</v>
      </c>
      <c r="CR244" t="s">
        <v>139</v>
      </c>
      <c r="CS244" t="s">
        <v>158</v>
      </c>
      <c r="CU244" s="3">
        <v>20796.8</v>
      </c>
      <c r="CV244" s="3">
        <f>ROUND(Table1[[#This Row],[Sales_Amount]],0)</f>
        <v>20797</v>
      </c>
      <c r="CW244" s="3"/>
      <c r="CX244" s="3"/>
      <c r="CY244" s="3" t="str">
        <f>IF(AND(Table1[[#This Row],[Sales_Amount]]&gt;=10000,Table1[[#This Row],[Profit]]&gt;0),"Good Order")</f>
        <v>Good Order</v>
      </c>
      <c r="CZ244" s="3" t="str">
        <f>IF(Table1[[#This Row],[Sales_Amount]]&gt;=10000,"High","Normal")</f>
        <v>High</v>
      </c>
      <c r="DA244" s="3">
        <v>3596.8</v>
      </c>
      <c r="DB244" s="3">
        <f>ROUND(Table1[[#This Row],[Profit]],0)</f>
        <v>3597</v>
      </c>
      <c r="DC244" s="3">
        <f>ABS(Table1[[#This Row],[Profit]])</f>
        <v>3596.8</v>
      </c>
      <c r="DD244" s="3"/>
      <c r="DE244" s="3"/>
      <c r="DF244" s="3"/>
      <c r="DG244" s="3" t="str">
        <f>IF(Table1[[#This Row],[Profit]]&gt;0,"Profit","Loss")</f>
        <v>Profit</v>
      </c>
      <c r="DH244" s="3" t="str">
        <f>IF(AND(Table1[[#This Row],[Sales_Amount]]&gt;=10000,Table1[[#This Row],[Profit]]&gt;0),"Priority","Normal")</f>
        <v>Priority</v>
      </c>
      <c r="DI244" s="3">
        <f t="shared" ca="1" si="23"/>
        <v>0.78799643841424161</v>
      </c>
      <c r="DJ244" s="3">
        <f t="shared" ca="1" si="24"/>
        <v>69</v>
      </c>
      <c r="DK244" s="3"/>
      <c r="DL244" s="3"/>
      <c r="DM244" s="3"/>
      <c r="DN244" s="3"/>
      <c r="DO244" s="3"/>
      <c r="DP244" s="3"/>
    </row>
    <row r="245" spans="1:120">
      <c r="A245" t="s">
        <v>1172</v>
      </c>
      <c r="B245" t="str">
        <f>REPLACE(Table1[[#This Row],[Order_ID]],1,3,"YOO")</f>
        <v>YOO10244</v>
      </c>
      <c r="C245" t="str">
        <f>MID(Table1[[#This Row],[Order_ID]],4,4)</f>
        <v>1024</v>
      </c>
      <c r="D245" t="str">
        <f>LEFT(Table1[[#This Row],[Order_ID]],4)</f>
        <v>ORD1</v>
      </c>
      <c r="E245" t="str">
        <f>RIGHT(Table1[[#This Row],[Order_ID]],5)</f>
        <v>10244</v>
      </c>
      <c r="F245" t="s">
        <v>5</v>
      </c>
      <c r="G245">
        <v>10244</v>
      </c>
      <c r="H245" t="s">
        <v>1173</v>
      </c>
      <c r="I245" s="2">
        <f>EDATE(Table1[[#This Row],[Order_Date]],3)</f>
        <v>46147</v>
      </c>
      <c r="J245" s="2">
        <f>EDATE(Table1[[#This Row],[Order_Date]],6)</f>
        <v>46239</v>
      </c>
      <c r="K245">
        <f ca="1">YEAR(Table1[[#This Row],[Today]])</f>
        <v>2026</v>
      </c>
      <c r="L245">
        <v>244</v>
      </c>
      <c r="M245">
        <f ca="1">DAY(Table1[[#This Row],[Today]])</f>
        <v>11</v>
      </c>
      <c r="N245" s="19">
        <f t="shared" ca="1" si="27"/>
        <v>46245.589795138891</v>
      </c>
      <c r="O245" s="2">
        <f t="shared" ca="1" si="22"/>
        <v>46245</v>
      </c>
      <c r="P245" s="17">
        <f ca="1">Table1[[#This Row],[Today]]-Table1[[#This Row],[Order_Date]]</f>
        <v>187</v>
      </c>
      <c r="Q245" s="2">
        <v>45901</v>
      </c>
      <c r="R245" s="2">
        <v>46058</v>
      </c>
      <c r="S245" s="6">
        <f t="shared" si="25"/>
        <v>2026</v>
      </c>
      <c r="T245" s="7" t="str">
        <f t="shared" si="26"/>
        <v>February</v>
      </c>
      <c r="U245" s="2">
        <f>WORKDAY(Table1[[#This Row],[Order_Date]],5)</f>
        <v>46065</v>
      </c>
      <c r="V245" s="7" t="str">
        <f>CONCATENATE(Table1[[#This Row],[Customer_ID]],Table1[[#This Row],[Customer_Name]])</f>
        <v>C1015Anjali Joshi</v>
      </c>
      <c r="W245" t="s">
        <v>618</v>
      </c>
      <c r="X245" t="s">
        <v>310</v>
      </c>
      <c r="Y245">
        <f>COUNTA(Table1[[#This Row],[Customer_Name]])</f>
        <v>1</v>
      </c>
      <c r="Z245" t="str">
        <f>SUBSTITUTE(Table1[[#This Row],[Customer_Name]]," ","_")</f>
        <v>Anjali_Joshi</v>
      </c>
      <c r="AA245" s="10">
        <f>IFERROR(SEARCH("a",Table1[[#This Row],[Customer_Name]]),"N/A")</f>
        <v>1</v>
      </c>
      <c r="AB245">
        <f>SEARCH(" ",Table1[[#This Row],[Customer_Name]])</f>
        <v>7</v>
      </c>
      <c r="AC245" s="11">
        <f>IFERROR(FIND("a",Table1[[#This Row],[Customer_Name]]),"N/A")</f>
        <v>4</v>
      </c>
      <c r="AD245">
        <f>FIND(" ",Table1[[#This Row],[Customer_Name]])</f>
        <v>7</v>
      </c>
      <c r="AE245" t="str">
        <f>TRIM(Table1[[#This Row],[Customer_Name]])</f>
        <v>Anjali Joshi</v>
      </c>
      <c r="AF245">
        <f>LEN(Table1[[#This Row],[Trimmed]])</f>
        <v>12</v>
      </c>
      <c r="AG245">
        <f>MAX(Table1[Length])</f>
        <v>15</v>
      </c>
      <c r="AH245" t="str">
        <f>PROPER(Table1[[#This Row],[Customer_Name]])</f>
        <v>Anjali Joshi</v>
      </c>
      <c r="AI245" t="str">
        <f>LOWER(Table1[[#This Row],[Customer_Name]])</f>
        <v>anjali joshi</v>
      </c>
      <c r="AJ245" t="str">
        <f>UPPER(Table1[[#This Row],[Customer_Name]])</f>
        <v>ANJALI JOSHI</v>
      </c>
      <c r="AK245" t="str">
        <f>CONCATENATE(Table1[[#This Row],[Customer_ID]],Table1[[#This Row],[Customer_Name]])</f>
        <v>C1015Anjali Joshi</v>
      </c>
      <c r="AL245" t="s">
        <v>311</v>
      </c>
      <c r="AM245" t="s">
        <v>312</v>
      </c>
      <c r="AN245" t="s">
        <v>313</v>
      </c>
      <c r="AO245" t="s">
        <v>311</v>
      </c>
      <c r="AP245" t="s">
        <v>312</v>
      </c>
      <c r="AQ245" t="s">
        <v>344</v>
      </c>
      <c r="AR245" t="str">
        <f>TRIM(Table1[[#This Row],[City]])</f>
        <v>Bhopal</v>
      </c>
      <c r="AS245" t="str">
        <f>PROPER(Table1[[#This Row],[City]])</f>
        <v>Bhopal</v>
      </c>
      <c r="AT245" t="s">
        <v>345</v>
      </c>
      <c r="AU245" t="str">
        <f>CONCATENATE(Table1[[#This Row],[City]],Table1[[#This Row],[State]])</f>
        <v>BhopalMadhya Pradesh</v>
      </c>
      <c r="AV245" t="s">
        <v>346</v>
      </c>
      <c r="AW245" t="s">
        <v>477</v>
      </c>
      <c r="AX245" t="str">
        <f>REPLACE(Table1[[#This Row],[Product_ID]],1,1,"s")</f>
        <v>s109</v>
      </c>
      <c r="AY245" t="s">
        <v>1174</v>
      </c>
      <c r="AZ245">
        <f>SEARCH("-",Table1[[#This Row],[Product ID]])</f>
        <v>2</v>
      </c>
      <c r="BA245">
        <f>FIND("-",Table1[[#This Row],[Product ID]])</f>
        <v>2</v>
      </c>
      <c r="BB245" t="str">
        <f>MID(Table1[[#This Row],[Product_ID]],2,3)</f>
        <v>109</v>
      </c>
      <c r="BC245" t="str">
        <f>RIGHT(Table1[[#This Row],[Product_ID]],3)</f>
        <v>109</v>
      </c>
      <c r="BD245" t="str">
        <f>LEFT(Table1[[#This Row],[Product_ID]],3)</f>
        <v>P10</v>
      </c>
      <c r="BE245" t="str">
        <f>_xlfn.XLOOKUP(Table1[[#This Row],[Product_ID]],AW:AW,BF:BF,,0)</f>
        <v>Backpack</v>
      </c>
      <c r="BF245" t="s">
        <v>479</v>
      </c>
      <c r="BG245">
        <f>LEN(Table1[[#This Row],[Product_Name]])</f>
        <v>8</v>
      </c>
      <c r="BH245" t="s">
        <v>224</v>
      </c>
      <c r="BI245">
        <f t="shared" si="28"/>
        <v>75</v>
      </c>
      <c r="BJ245" t="str">
        <f>SUBSTITUTE(Table1[[#This Row],[Category]],"Electronics","ELECTRONICS")</f>
        <v>Fashion</v>
      </c>
      <c r="BN245" t="s">
        <v>480</v>
      </c>
      <c r="BS245" s="14">
        <v>5</v>
      </c>
      <c r="BT245" s="3">
        <v>2299</v>
      </c>
      <c r="BU245" s="4">
        <v>0</v>
      </c>
      <c r="BV245" s="4" t="str">
        <f>IF(AND(Table1[[#This Row],[Quantity]]&gt;=3,Table1[[#This Row],[Discount_%]]&gt;=15%),"Bulk Discount","no")</f>
        <v>no</v>
      </c>
      <c r="BW245" s="4" t="str">
        <f>IF(AND(Table1[[#This Row],[Quantity]]&gt;3,Table1[[#This Row],[Discount_%]]&gt;15%),"Bulk Customer","Normal")</f>
        <v>Normal</v>
      </c>
      <c r="BX245" t="s">
        <v>172</v>
      </c>
      <c r="BY245" t="s">
        <v>136</v>
      </c>
      <c r="CC245" t="str">
        <f>IF(OR(Table1[[#This Row],[Order_Status]]="Returned",Table1[[#This Row],[Order_Status]]="Cancelled"),"Attention Required","Not")</f>
        <v>Not</v>
      </c>
      <c r="CD245" t="str">
        <f>IF(OR(Table1[[#This Row],[Order_Status]]="Returned",Table1[[#This Row],[Order_Status]]="Cancelled"),"Review","no")</f>
        <v>no</v>
      </c>
      <c r="CE245" t="str">
        <f>SUBSTITUTE(Table1[[#This Row],[Order_Status]],"Delivered","Completed")</f>
        <v>Completed</v>
      </c>
      <c r="CF245" s="2">
        <v>46065</v>
      </c>
      <c r="CG245" s="17">
        <f>NETWORKDAYS(Table1[[#This Row],[Order_Date]],Table1[[#This Row],[Delivery_Date]])</f>
        <v>6</v>
      </c>
      <c r="CH245" s="17">
        <f>Table1[[#This Row],[Delivery_Date]]-Table1[[#This Row],[Order_Date]]</f>
        <v>7</v>
      </c>
      <c r="CI245" t="s">
        <v>137</v>
      </c>
      <c r="CJ245" t="str">
        <f>IF(Table1[[#This Row],[Rating]]&gt;=4,"Good","Needs Improvement")</f>
        <v>Good</v>
      </c>
      <c r="CK245" t="str">
        <f>IF(OR(Table1[[#This Row],[Rating]]&lt;=2,Table1[[#This Row],[Profit]]&lt;0),"Review","NO")</f>
        <v>NO</v>
      </c>
      <c r="CL245" t="str" cm="1">
        <f t="array" ref="CL245">_xlfn.IFS(Table1[[#This Row],[Rating]]&gt;2,"Poor",Table1[[#This Row],[Rating]]=3,"Average",Table1[[#This Row],[Rating]]=4,"Good",CP245=5,"Excellent")</f>
        <v>Poor</v>
      </c>
      <c r="CM245">
        <f>COUNT(Table1[[#This Row],[Rating]])</f>
        <v>1</v>
      </c>
      <c r="CN245">
        <f>COUNTBLANK(Table1[[#This Row],[Rating]])</f>
        <v>0</v>
      </c>
      <c r="CP245" t="s">
        <v>138</v>
      </c>
      <c r="CQ245" s="14">
        <v>4</v>
      </c>
      <c r="CR245" t="s">
        <v>139</v>
      </c>
      <c r="CS245" t="s">
        <v>267</v>
      </c>
      <c r="CU245" s="3">
        <v>11495</v>
      </c>
      <c r="CV245" s="3">
        <f>ROUND(Table1[[#This Row],[Sales_Amount]],0)</f>
        <v>11495</v>
      </c>
      <c r="CW245" s="3"/>
      <c r="CX245" s="3"/>
      <c r="CY245" s="3" t="str">
        <f>IF(AND(Table1[[#This Row],[Sales_Amount]]&gt;=10000,Table1[[#This Row],[Profit]]&gt;0),"Good Order")</f>
        <v>Good Order</v>
      </c>
      <c r="CZ245" s="3" t="str">
        <f>IF(Table1[[#This Row],[Sales_Amount]]&gt;=10000,"High","Normal")</f>
        <v>High</v>
      </c>
      <c r="DA245" s="3">
        <v>5245</v>
      </c>
      <c r="DB245" s="3">
        <f>ROUND(Table1[[#This Row],[Profit]],0)</f>
        <v>5245</v>
      </c>
      <c r="DC245" s="3">
        <f>ABS(Table1[[#This Row],[Profit]])</f>
        <v>5245</v>
      </c>
      <c r="DD245" s="3"/>
      <c r="DE245" s="3"/>
      <c r="DF245" s="3"/>
      <c r="DG245" s="3" t="str">
        <f>IF(Table1[[#This Row],[Profit]]&gt;0,"Profit","Loss")</f>
        <v>Profit</v>
      </c>
      <c r="DH245" s="3" t="str">
        <f>IF(AND(Table1[[#This Row],[Sales_Amount]]&gt;=10000,Table1[[#This Row],[Profit]]&gt;0),"Priority","Normal")</f>
        <v>Priority</v>
      </c>
      <c r="DI245" s="3">
        <f t="shared" ca="1" si="23"/>
        <v>0.92881492874789962</v>
      </c>
      <c r="DJ245" s="3">
        <f t="shared" ca="1" si="24"/>
        <v>61</v>
      </c>
      <c r="DK245" s="3"/>
      <c r="DL245" s="3"/>
      <c r="DM245" s="3"/>
      <c r="DN245" s="3"/>
      <c r="DO245" s="3"/>
      <c r="DP245" s="3"/>
    </row>
    <row r="246" spans="1:120">
      <c r="A246" t="s">
        <v>1175</v>
      </c>
      <c r="B246" t="str">
        <f>REPLACE(Table1[[#This Row],[Order_ID]],1,3,"YOO")</f>
        <v>YOO10245</v>
      </c>
      <c r="C246" t="str">
        <f>MID(Table1[[#This Row],[Order_ID]],4,4)</f>
        <v>1024</v>
      </c>
      <c r="D246" t="str">
        <f>LEFT(Table1[[#This Row],[Order_ID]],4)</f>
        <v>ORD1</v>
      </c>
      <c r="E246" t="str">
        <f>RIGHT(Table1[[#This Row],[Order_ID]],5)</f>
        <v>10245</v>
      </c>
      <c r="F246" t="s">
        <v>5</v>
      </c>
      <c r="G246">
        <v>10245</v>
      </c>
      <c r="H246" t="s">
        <v>1176</v>
      </c>
      <c r="I246" s="2">
        <f>EDATE(Table1[[#This Row],[Order_Date]],3)</f>
        <v>45803</v>
      </c>
      <c r="J246" s="2">
        <f>EDATE(Table1[[#This Row],[Order_Date]],6)</f>
        <v>45895</v>
      </c>
      <c r="K246">
        <f ca="1">YEAR(Table1[[#This Row],[Today]])</f>
        <v>2026</v>
      </c>
      <c r="L246">
        <v>245</v>
      </c>
      <c r="M246">
        <f ca="1">DAY(Table1[[#This Row],[Today]])</f>
        <v>11</v>
      </c>
      <c r="N246" s="19">
        <f t="shared" ca="1" si="27"/>
        <v>46245.589795370368</v>
      </c>
      <c r="O246" s="2">
        <f t="shared" ca="1" si="22"/>
        <v>46245</v>
      </c>
      <c r="P246" s="17">
        <f ca="1">Table1[[#This Row],[Today]]-Table1[[#This Row],[Order_Date]]</f>
        <v>531</v>
      </c>
      <c r="Q246" s="2">
        <v>45902</v>
      </c>
      <c r="R246" s="2">
        <v>45714</v>
      </c>
      <c r="S246" s="6">
        <f t="shared" si="25"/>
        <v>2025</v>
      </c>
      <c r="T246" s="7" t="str">
        <f t="shared" si="26"/>
        <v>February</v>
      </c>
      <c r="U246" s="2">
        <f>WORKDAY(Table1[[#This Row],[Order_Date]],5)</f>
        <v>45721</v>
      </c>
      <c r="V246" s="7" t="str">
        <f>CONCATENATE(Table1[[#This Row],[Customer_ID]],Table1[[#This Row],[Customer_Name]])</f>
        <v>C1003Simran Kaur</v>
      </c>
      <c r="W246" t="s">
        <v>633</v>
      </c>
      <c r="X246" t="s">
        <v>325</v>
      </c>
      <c r="Y246">
        <f>COUNTA(Table1[[#This Row],[Customer_Name]])</f>
        <v>1</v>
      </c>
      <c r="Z246" t="str">
        <f>SUBSTITUTE(Table1[[#This Row],[Customer_Name]]," ","_")</f>
        <v>Simran_Kaur</v>
      </c>
      <c r="AA246" s="10">
        <f>IFERROR(SEARCH("a",Table1[[#This Row],[Customer_Name]]),"N/A")</f>
        <v>5</v>
      </c>
      <c r="AB246">
        <f>SEARCH(" ",Table1[[#This Row],[Customer_Name]])</f>
        <v>7</v>
      </c>
      <c r="AC246" s="11">
        <f>IFERROR(FIND("a",Table1[[#This Row],[Customer_Name]]),"N/A")</f>
        <v>5</v>
      </c>
      <c r="AD246">
        <f>FIND(" ",Table1[[#This Row],[Customer_Name]])</f>
        <v>7</v>
      </c>
      <c r="AE246" t="str">
        <f>TRIM(Table1[[#This Row],[Customer_Name]])</f>
        <v>Simran Kaur</v>
      </c>
      <c r="AF246">
        <f>LEN(Table1[[#This Row],[Trimmed]])</f>
        <v>11</v>
      </c>
      <c r="AG246">
        <f>MAX(Table1[Length])</f>
        <v>15</v>
      </c>
      <c r="AH246" t="str">
        <f>PROPER(Table1[[#This Row],[Customer_Name]])</f>
        <v>Simran Kaur</v>
      </c>
      <c r="AI246" t="str">
        <f>LOWER(Table1[[#This Row],[Customer_Name]])</f>
        <v>simran kaur</v>
      </c>
      <c r="AJ246" t="str">
        <f>UPPER(Table1[[#This Row],[Customer_Name]])</f>
        <v>SIMRAN KAUR</v>
      </c>
      <c r="AK246" t="str">
        <f>CONCATENATE(Table1[[#This Row],[Customer_ID]],Table1[[#This Row],[Customer_Name]])</f>
        <v>C1003Simran Kaur</v>
      </c>
      <c r="AL246" t="s">
        <v>326</v>
      </c>
      <c r="AM246" t="s">
        <v>327</v>
      </c>
      <c r="AN246" t="s">
        <v>328</v>
      </c>
      <c r="AO246" t="s">
        <v>326</v>
      </c>
      <c r="AP246" t="s">
        <v>327</v>
      </c>
      <c r="AQ246" t="s">
        <v>233</v>
      </c>
      <c r="AR246" t="str">
        <f>TRIM(Table1[[#This Row],[City]])</f>
        <v>Kolkata</v>
      </c>
      <c r="AS246" t="str">
        <f>PROPER(Table1[[#This Row],[City]])</f>
        <v>Kolkata</v>
      </c>
      <c r="AT246" t="s">
        <v>234</v>
      </c>
      <c r="AU246" t="str">
        <f>CONCATENATE(Table1[[#This Row],[City]],Table1[[#This Row],[State]])</f>
        <v>KolkataWest Bengal</v>
      </c>
      <c r="AV246" t="s">
        <v>235</v>
      </c>
      <c r="AW246" t="s">
        <v>363</v>
      </c>
      <c r="AX246" t="str">
        <f>REPLACE(Table1[[#This Row],[Product_ID]],1,1,"s")</f>
        <v>s110</v>
      </c>
      <c r="AY246" t="s">
        <v>1177</v>
      </c>
      <c r="AZ246">
        <f>SEARCH("-",Table1[[#This Row],[Product ID]])</f>
        <v>2</v>
      </c>
      <c r="BA246">
        <f>FIND("-",Table1[[#This Row],[Product ID]])</f>
        <v>2</v>
      </c>
      <c r="BB246" t="str">
        <f>MID(Table1[[#This Row],[Product_ID]],2,3)</f>
        <v>110</v>
      </c>
      <c r="BC246" t="str">
        <f>RIGHT(Table1[[#This Row],[Product_ID]],3)</f>
        <v>110</v>
      </c>
      <c r="BD246" t="str">
        <f>LEFT(Table1[[#This Row],[Product_ID]],3)</f>
        <v>P11</v>
      </c>
      <c r="BE246" t="str">
        <f>_xlfn.XLOOKUP(Table1[[#This Row],[Product_ID]],AW:AW,BF:BF,,0)</f>
        <v>Smart Watch</v>
      </c>
      <c r="BF246" t="s">
        <v>365</v>
      </c>
      <c r="BG246">
        <f>LEN(Table1[[#This Row],[Product_Name]])</f>
        <v>11</v>
      </c>
      <c r="BH246" t="s">
        <v>154</v>
      </c>
      <c r="BI246">
        <f t="shared" si="28"/>
        <v>75</v>
      </c>
      <c r="BJ246" t="str">
        <f>SUBSTITUTE(Table1[[#This Row],[Category]],"Electronics","ELECTRONICS")</f>
        <v>ELECTRONICS</v>
      </c>
      <c r="BN246" t="s">
        <v>366</v>
      </c>
      <c r="BS246" s="14">
        <v>3</v>
      </c>
      <c r="BT246" s="3">
        <v>4999</v>
      </c>
      <c r="BU246" s="4">
        <v>5</v>
      </c>
      <c r="BV246" s="4" t="str">
        <f>IF(AND(Table1[[#This Row],[Quantity]]&gt;=3,Table1[[#This Row],[Discount_%]]&gt;=15%),"Bulk Discount","no")</f>
        <v>Bulk Discount</v>
      </c>
      <c r="BW246" s="4" t="str">
        <f>IF(AND(Table1[[#This Row],[Quantity]]&gt;3,Table1[[#This Row],[Discount_%]]&gt;15%),"Bulk Customer","Normal")</f>
        <v>Normal</v>
      </c>
      <c r="BX246" t="s">
        <v>330</v>
      </c>
      <c r="BY246" t="s">
        <v>136</v>
      </c>
      <c r="CC246" t="str">
        <f>IF(OR(Table1[[#This Row],[Order_Status]]="Returned",Table1[[#This Row],[Order_Status]]="Cancelled"),"Attention Required","Not")</f>
        <v>Not</v>
      </c>
      <c r="CD246" t="str">
        <f>IF(OR(Table1[[#This Row],[Order_Status]]="Returned",Table1[[#This Row],[Order_Status]]="Cancelled"),"Review","no")</f>
        <v>no</v>
      </c>
      <c r="CE246" t="str">
        <f>SUBSTITUTE(Table1[[#This Row],[Order_Status]],"Delivered","Completed")</f>
        <v>Completed</v>
      </c>
      <c r="CF246" s="2">
        <v>45715</v>
      </c>
      <c r="CG246" s="17">
        <f>NETWORKDAYS(Table1[[#This Row],[Order_Date]],Table1[[#This Row],[Delivery_Date]])</f>
        <v>2</v>
      </c>
      <c r="CH246" s="17">
        <f>Table1[[#This Row],[Delivery_Date]]-Table1[[#This Row],[Order_Date]]</f>
        <v>1</v>
      </c>
      <c r="CI246" t="s">
        <v>137</v>
      </c>
      <c r="CJ246" t="str">
        <f>IF(Table1[[#This Row],[Rating]]&gt;=4,"Good","Needs Improvement")</f>
        <v>Needs Improvement</v>
      </c>
      <c r="CK246" t="str">
        <f>IF(OR(Table1[[#This Row],[Rating]]&lt;=2,Table1[[#This Row],[Profit]]&lt;0),"Review","NO")</f>
        <v>NO</v>
      </c>
      <c r="CL246" t="str" cm="1">
        <f t="array" ref="CL246">_xlfn.IFS(Table1[[#This Row],[Rating]]&gt;2,"Poor",Table1[[#This Row],[Rating]]=3,"Average",Table1[[#This Row],[Rating]]=4,"Good",CP246=5,"Excellent")</f>
        <v>Poor</v>
      </c>
      <c r="CM246">
        <f>COUNT(Table1[[#This Row],[Rating]])</f>
        <v>1</v>
      </c>
      <c r="CN246">
        <f>COUNTBLANK(Table1[[#This Row],[Rating]])</f>
        <v>0</v>
      </c>
      <c r="CP246" t="s">
        <v>157</v>
      </c>
      <c r="CQ246" s="14">
        <v>3</v>
      </c>
      <c r="CR246" t="s">
        <v>204</v>
      </c>
      <c r="CS246" t="s">
        <v>174</v>
      </c>
      <c r="CU246" s="3">
        <v>14247.15</v>
      </c>
      <c r="CV246" s="3">
        <f>ROUND(Table1[[#This Row],[Sales_Amount]],0)</f>
        <v>14247</v>
      </c>
      <c r="CW246" s="3"/>
      <c r="CX246" s="3"/>
      <c r="CY246" s="3" t="str">
        <f>IF(AND(Table1[[#This Row],[Sales_Amount]]&gt;=10000,Table1[[#This Row],[Profit]]&gt;0),"Good Order")</f>
        <v>Good Order</v>
      </c>
      <c r="CZ246" s="3" t="str">
        <f>IF(Table1[[#This Row],[Sales_Amount]]&gt;=10000,"High","Normal")</f>
        <v>High</v>
      </c>
      <c r="DA246" s="3">
        <v>4947.1499999999996</v>
      </c>
      <c r="DB246" s="3">
        <f>ROUND(Table1[[#This Row],[Profit]],0)</f>
        <v>4947</v>
      </c>
      <c r="DC246" s="3">
        <f>ABS(Table1[[#This Row],[Profit]])</f>
        <v>4947.1499999999996</v>
      </c>
      <c r="DD246" s="3"/>
      <c r="DE246" s="3"/>
      <c r="DF246" s="3"/>
      <c r="DG246" s="3" t="str">
        <f>IF(Table1[[#This Row],[Profit]]&gt;0,"Profit","Loss")</f>
        <v>Profit</v>
      </c>
      <c r="DH246" s="3" t="str">
        <f>IF(AND(Table1[[#This Row],[Sales_Amount]]&gt;=10000,Table1[[#This Row],[Profit]]&gt;0),"Priority","Normal")</f>
        <v>Priority</v>
      </c>
      <c r="DI246" s="3">
        <f t="shared" ca="1" si="23"/>
        <v>0.20588451528607554</v>
      </c>
      <c r="DJ246" s="3">
        <f t="shared" ca="1" si="24"/>
        <v>22</v>
      </c>
      <c r="DK246" s="3"/>
      <c r="DL246" s="3"/>
      <c r="DM246" s="3"/>
      <c r="DN246" s="3"/>
      <c r="DO246" s="3"/>
      <c r="DP246" s="3"/>
    </row>
    <row r="247" spans="1:120">
      <c r="A247" t="s">
        <v>1178</v>
      </c>
      <c r="B247" t="str">
        <f>REPLACE(Table1[[#This Row],[Order_ID]],1,3,"YOO")</f>
        <v>YOO10246</v>
      </c>
      <c r="C247" t="str">
        <f>MID(Table1[[#This Row],[Order_ID]],4,4)</f>
        <v>1024</v>
      </c>
      <c r="D247" t="str">
        <f>LEFT(Table1[[#This Row],[Order_ID]],4)</f>
        <v>ORD1</v>
      </c>
      <c r="E247" t="str">
        <f>RIGHT(Table1[[#This Row],[Order_ID]],5)</f>
        <v>10246</v>
      </c>
      <c r="F247" t="s">
        <v>5</v>
      </c>
      <c r="G247">
        <v>10246</v>
      </c>
      <c r="H247" t="s">
        <v>1179</v>
      </c>
      <c r="I247" s="2">
        <f>EDATE(Table1[[#This Row],[Order_Date]],3)</f>
        <v>46014</v>
      </c>
      <c r="J247" s="2">
        <f>EDATE(Table1[[#This Row],[Order_Date]],6)</f>
        <v>46104</v>
      </c>
      <c r="K247">
        <f ca="1">YEAR(Table1[[#This Row],[Today]])</f>
        <v>2026</v>
      </c>
      <c r="L247">
        <v>246</v>
      </c>
      <c r="M247">
        <f ca="1">DAY(Table1[[#This Row],[Today]])</f>
        <v>11</v>
      </c>
      <c r="N247" s="19">
        <f t="shared" ca="1" si="27"/>
        <v>46245.589795370368</v>
      </c>
      <c r="O247" s="2">
        <f t="shared" ca="1" si="22"/>
        <v>46245</v>
      </c>
      <c r="P247" s="17">
        <f ca="1">Table1[[#This Row],[Today]]-Table1[[#This Row],[Order_Date]]</f>
        <v>322</v>
      </c>
      <c r="Q247" s="2">
        <v>45903</v>
      </c>
      <c r="R247" s="2">
        <v>45923</v>
      </c>
      <c r="S247" s="6">
        <f t="shared" si="25"/>
        <v>2025</v>
      </c>
      <c r="T247" s="7" t="str">
        <f t="shared" si="26"/>
        <v>September</v>
      </c>
      <c r="U247" s="2">
        <f>WORKDAY(Table1[[#This Row],[Order_Date]],5)</f>
        <v>45930</v>
      </c>
      <c r="V247" s="7" t="str">
        <f>CONCATENATE(Table1[[#This Row],[Customer_ID]],Table1[[#This Row],[Customer_Name]])</f>
        <v>C1008Arjun Rao</v>
      </c>
      <c r="W247" t="s">
        <v>1034</v>
      </c>
      <c r="X247" t="s">
        <v>355</v>
      </c>
      <c r="Y247">
        <f>COUNTA(Table1[[#This Row],[Customer_Name]])</f>
        <v>1</v>
      </c>
      <c r="Z247" t="str">
        <f>SUBSTITUTE(Table1[[#This Row],[Customer_Name]]," ","_")</f>
        <v>Arjun_Rao</v>
      </c>
      <c r="AA247" s="10">
        <f>IFERROR(SEARCH("a",Table1[[#This Row],[Customer_Name]]),"N/A")</f>
        <v>1</v>
      </c>
      <c r="AB247">
        <f>SEARCH(" ",Table1[[#This Row],[Customer_Name]])</f>
        <v>6</v>
      </c>
      <c r="AC247" s="11">
        <f>IFERROR(FIND("a",Table1[[#This Row],[Customer_Name]]),"N/A")</f>
        <v>8</v>
      </c>
      <c r="AD247">
        <f>FIND(" ",Table1[[#This Row],[Customer_Name]])</f>
        <v>6</v>
      </c>
      <c r="AE247" t="str">
        <f>TRIM(Table1[[#This Row],[Customer_Name]])</f>
        <v>Arjun Rao</v>
      </c>
      <c r="AF247">
        <f>LEN(Table1[[#This Row],[Trimmed]])</f>
        <v>9</v>
      </c>
      <c r="AG247">
        <f>MAX(Table1[Length])</f>
        <v>15</v>
      </c>
      <c r="AH247" t="str">
        <f>PROPER(Table1[[#This Row],[Customer_Name]])</f>
        <v>Arjun Rao</v>
      </c>
      <c r="AI247" t="str">
        <f>LOWER(Table1[[#This Row],[Customer_Name]])</f>
        <v>arjun rao</v>
      </c>
      <c r="AJ247" t="str">
        <f>UPPER(Table1[[#This Row],[Customer_Name]])</f>
        <v>ARJUN RAO</v>
      </c>
      <c r="AK247" t="str">
        <f>CONCATENATE(Table1[[#This Row],[Customer_ID]],Table1[[#This Row],[Customer_Name]])</f>
        <v>C1008Arjun Rao</v>
      </c>
      <c r="AL247" t="s">
        <v>356</v>
      </c>
      <c r="AM247" t="s">
        <v>357</v>
      </c>
      <c r="AN247" t="s">
        <v>358</v>
      </c>
      <c r="AO247" t="s">
        <v>356</v>
      </c>
      <c r="AP247" t="s">
        <v>357</v>
      </c>
      <c r="AQ247" t="s">
        <v>423</v>
      </c>
      <c r="AR247" t="str">
        <f>TRIM(Table1[[#This Row],[City]])</f>
        <v>Ahmedabad</v>
      </c>
      <c r="AS247" t="str">
        <f>PROPER(Table1[[#This Row],[City]])</f>
        <v>Ahmedabad</v>
      </c>
      <c r="AT247" t="s">
        <v>424</v>
      </c>
      <c r="AU247" t="str">
        <f>CONCATENATE(Table1[[#This Row],[City]],Table1[[#This Row],[State]])</f>
        <v>AhmedabadGujarat</v>
      </c>
      <c r="AV247" t="s">
        <v>129</v>
      </c>
      <c r="AW247" t="s">
        <v>250</v>
      </c>
      <c r="AX247" t="str">
        <f>REPLACE(Table1[[#This Row],[Product_ID]],1,1,"s")</f>
        <v>s113</v>
      </c>
      <c r="AY247" t="s">
        <v>1180</v>
      </c>
      <c r="AZ247">
        <f>SEARCH("-",Table1[[#This Row],[Product ID]])</f>
        <v>2</v>
      </c>
      <c r="BA247">
        <f>FIND("-",Table1[[#This Row],[Product ID]])</f>
        <v>2</v>
      </c>
      <c r="BB247" t="str">
        <f>MID(Table1[[#This Row],[Product_ID]],2,3)</f>
        <v>113</v>
      </c>
      <c r="BC247" t="str">
        <f>RIGHT(Table1[[#This Row],[Product_ID]],3)</f>
        <v>113</v>
      </c>
      <c r="BD247" t="str">
        <f>LEFT(Table1[[#This Row],[Product_ID]],3)</f>
        <v>P11</v>
      </c>
      <c r="BE247" t="str">
        <f>_xlfn.XLOOKUP(Table1[[#This Row],[Product_ID]],AW:AW,BF:BF,,0)</f>
        <v>Desk Lamp</v>
      </c>
      <c r="BF247" t="s">
        <v>252</v>
      </c>
      <c r="BG247">
        <f>LEN(Table1[[#This Row],[Product_Name]])</f>
        <v>9</v>
      </c>
      <c r="BH247" t="s">
        <v>133</v>
      </c>
      <c r="BI247">
        <f t="shared" si="28"/>
        <v>75</v>
      </c>
      <c r="BJ247" t="str">
        <f>SUBSTITUTE(Table1[[#This Row],[Category]],"Electronics","ELECTRONICS")</f>
        <v>Home</v>
      </c>
      <c r="BN247" t="s">
        <v>253</v>
      </c>
      <c r="BS247" s="14">
        <v>2</v>
      </c>
      <c r="BT247" s="3">
        <v>1299</v>
      </c>
      <c r="BU247" s="4">
        <v>15</v>
      </c>
      <c r="BV247" s="4" t="str">
        <f>IF(AND(Table1[[#This Row],[Quantity]]&gt;=3,Table1[[#This Row],[Discount_%]]&gt;=15%),"Bulk Discount","no")</f>
        <v>no</v>
      </c>
      <c r="BW247" s="4" t="str">
        <f>IF(AND(Table1[[#This Row],[Quantity]]&gt;3,Table1[[#This Row],[Discount_%]]&gt;15%),"Bulk Customer","Normal")</f>
        <v>Normal</v>
      </c>
      <c r="BX247" t="s">
        <v>330</v>
      </c>
      <c r="BY247" t="s">
        <v>136</v>
      </c>
      <c r="CC247" t="str">
        <f>IF(OR(Table1[[#This Row],[Order_Status]]="Returned",Table1[[#This Row],[Order_Status]]="Cancelled"),"Attention Required","Not")</f>
        <v>Not</v>
      </c>
      <c r="CD247" t="str">
        <f>IF(OR(Table1[[#This Row],[Order_Status]]="Returned",Table1[[#This Row],[Order_Status]]="Cancelled"),"Review","no")</f>
        <v>no</v>
      </c>
      <c r="CE247" t="str">
        <f>SUBSTITUTE(Table1[[#This Row],[Order_Status]],"Delivered","Completed")</f>
        <v>Completed</v>
      </c>
      <c r="CF247" s="2">
        <v>45928</v>
      </c>
      <c r="CG247" s="17">
        <f>NETWORKDAYS(Table1[[#This Row],[Order_Date]],Table1[[#This Row],[Delivery_Date]])</f>
        <v>4</v>
      </c>
      <c r="CH247" s="17">
        <f>Table1[[#This Row],[Delivery_Date]]-Table1[[#This Row],[Order_Date]]</f>
        <v>5</v>
      </c>
      <c r="CI247" t="s">
        <v>137</v>
      </c>
      <c r="CJ247" t="str">
        <f>IF(Table1[[#This Row],[Rating]]&gt;=4,"Good","Needs Improvement")</f>
        <v>Needs Improvement</v>
      </c>
      <c r="CK247" t="str">
        <f>IF(OR(Table1[[#This Row],[Rating]]&lt;=2,Table1[[#This Row],[Profit]]&lt;0),"Review","NO")</f>
        <v>Review</v>
      </c>
      <c r="CL247" t="e" cm="1">
        <f t="array" ref="CL247">_xlfn.IFS(Table1[[#This Row],[Rating]]&gt;2,"Poor",Table1[[#This Row],[Rating]]=3,"Average",Table1[[#This Row],[Rating]]=4,"Good",CP247=5,"Excellent")</f>
        <v>#N/A</v>
      </c>
      <c r="CM247">
        <f>COUNT(Table1[[#This Row],[Rating]])</f>
        <v>1</v>
      </c>
      <c r="CN247">
        <f>COUNTBLANK(Table1[[#This Row],[Rating]])</f>
        <v>0</v>
      </c>
      <c r="CP247" t="s">
        <v>157</v>
      </c>
      <c r="CQ247" s="14">
        <v>2</v>
      </c>
      <c r="CR247" t="s">
        <v>204</v>
      </c>
      <c r="CS247" t="s">
        <v>140</v>
      </c>
      <c r="CU247" s="3">
        <v>2208.3000000000002</v>
      </c>
      <c r="CV247" s="3">
        <f>ROUND(Table1[[#This Row],[Sales_Amount]],0)</f>
        <v>2208</v>
      </c>
      <c r="CW247" s="3"/>
      <c r="CX247" s="3"/>
      <c r="CY247" s="3" t="b">
        <f>IF(AND(Table1[[#This Row],[Sales_Amount]]&gt;=10000,Table1[[#This Row],[Profit]]&gt;0),"Good Order")</f>
        <v>0</v>
      </c>
      <c r="CZ247" s="3" t="str">
        <f>IF(Table1[[#This Row],[Sales_Amount]]&gt;=10000,"High","Normal")</f>
        <v>Normal</v>
      </c>
      <c r="DA247" s="3">
        <v>908.3</v>
      </c>
      <c r="DB247" s="3">
        <f>ROUND(Table1[[#This Row],[Profit]],0)</f>
        <v>908</v>
      </c>
      <c r="DC247" s="3">
        <f>ABS(Table1[[#This Row],[Profit]])</f>
        <v>908.3</v>
      </c>
      <c r="DD247" s="3"/>
      <c r="DE247" s="3"/>
      <c r="DF247" s="3"/>
      <c r="DG247" s="3" t="str">
        <f>IF(Table1[[#This Row],[Profit]]&gt;0,"Profit","Loss")</f>
        <v>Profit</v>
      </c>
      <c r="DH247" s="3" t="str">
        <f>IF(AND(Table1[[#This Row],[Sales_Amount]]&gt;=10000,Table1[[#This Row],[Profit]]&gt;0),"Priority","Normal")</f>
        <v>Normal</v>
      </c>
      <c r="DI247" s="3">
        <f t="shared" ca="1" si="23"/>
        <v>0.53086075609797256</v>
      </c>
      <c r="DJ247" s="3">
        <f t="shared" ca="1" si="24"/>
        <v>38</v>
      </c>
      <c r="DK247" s="3"/>
      <c r="DL247" s="3"/>
      <c r="DM247" s="3"/>
      <c r="DN247" s="3"/>
      <c r="DO247" s="3"/>
      <c r="DP247" s="3"/>
    </row>
    <row r="248" spans="1:120">
      <c r="A248" t="s">
        <v>1181</v>
      </c>
      <c r="B248" t="str">
        <f>REPLACE(Table1[[#This Row],[Order_ID]],1,3,"YOO")</f>
        <v>YOO10247</v>
      </c>
      <c r="C248" t="str">
        <f>MID(Table1[[#This Row],[Order_ID]],4,4)</f>
        <v>1024</v>
      </c>
      <c r="D248" t="str">
        <f>LEFT(Table1[[#This Row],[Order_ID]],4)</f>
        <v>ORD1</v>
      </c>
      <c r="E248" t="str">
        <f>RIGHT(Table1[[#This Row],[Order_ID]],5)</f>
        <v>10247</v>
      </c>
      <c r="F248" t="s">
        <v>5</v>
      </c>
      <c r="G248">
        <v>10247</v>
      </c>
      <c r="H248" t="s">
        <v>1182</v>
      </c>
      <c r="I248" s="2">
        <f>EDATE(Table1[[#This Row],[Order_Date]],3)</f>
        <v>45828</v>
      </c>
      <c r="J248" s="2">
        <f>EDATE(Table1[[#This Row],[Order_Date]],6)</f>
        <v>45920</v>
      </c>
      <c r="K248">
        <f ca="1">YEAR(Table1[[#This Row],[Today]])</f>
        <v>2026</v>
      </c>
      <c r="L248">
        <v>247</v>
      </c>
      <c r="M248">
        <f ca="1">DAY(Table1[[#This Row],[Today]])</f>
        <v>11</v>
      </c>
      <c r="N248" s="19">
        <f t="shared" ca="1" si="27"/>
        <v>46245.589795138891</v>
      </c>
      <c r="O248" s="2">
        <f t="shared" ca="1" si="22"/>
        <v>46245</v>
      </c>
      <c r="P248" s="17">
        <f ca="1">Table1[[#This Row],[Today]]-Table1[[#This Row],[Order_Date]]</f>
        <v>509</v>
      </c>
      <c r="Q248" s="2">
        <v>45904</v>
      </c>
      <c r="R248" s="2">
        <v>45736</v>
      </c>
      <c r="S248" s="6">
        <f t="shared" si="25"/>
        <v>2025</v>
      </c>
      <c r="T248" s="7" t="str">
        <f t="shared" si="26"/>
        <v>March</v>
      </c>
      <c r="U248" s="2">
        <f>WORKDAY(Table1[[#This Row],[Order_Date]],5)</f>
        <v>45743</v>
      </c>
      <c r="V248" s="7" t="str">
        <f>CONCATENATE(Table1[[#This Row],[Customer_ID]],Table1[[#This Row],[Customer_Name]])</f>
        <v>C1128Varun Tiwari</v>
      </c>
      <c r="W248" t="s">
        <v>1183</v>
      </c>
      <c r="X248" t="s">
        <v>178</v>
      </c>
      <c r="Y248">
        <f>COUNTA(Table1[[#This Row],[Customer_Name]])</f>
        <v>1</v>
      </c>
      <c r="Z248" t="str">
        <f>SUBSTITUTE(Table1[[#This Row],[Customer_Name]]," ","_")</f>
        <v>Varun_Tiwari</v>
      </c>
      <c r="AA248" s="10">
        <f>IFERROR(SEARCH("a",Table1[[#This Row],[Customer_Name]]),"N/A")</f>
        <v>2</v>
      </c>
      <c r="AB248">
        <f>SEARCH(" ",Table1[[#This Row],[Customer_Name]])</f>
        <v>6</v>
      </c>
      <c r="AC248" s="11">
        <f>IFERROR(FIND("a",Table1[[#This Row],[Customer_Name]]),"N/A")</f>
        <v>2</v>
      </c>
      <c r="AD248">
        <f>FIND(" ",Table1[[#This Row],[Customer_Name]])</f>
        <v>6</v>
      </c>
      <c r="AE248" t="str">
        <f>TRIM(Table1[[#This Row],[Customer_Name]])</f>
        <v>Varun Tiwari</v>
      </c>
      <c r="AF248">
        <f>LEN(Table1[[#This Row],[Trimmed]])</f>
        <v>12</v>
      </c>
      <c r="AG248">
        <f>MAX(Table1[Length])</f>
        <v>15</v>
      </c>
      <c r="AH248" t="str">
        <f>PROPER(Table1[[#This Row],[Customer_Name]])</f>
        <v>Varun Tiwari</v>
      </c>
      <c r="AI248" t="str">
        <f>LOWER(Table1[[#This Row],[Customer_Name]])</f>
        <v>varun tiwari</v>
      </c>
      <c r="AJ248" t="str">
        <f>UPPER(Table1[[#This Row],[Customer_Name]])</f>
        <v>VARUN TIWARI</v>
      </c>
      <c r="AK248" t="str">
        <f>CONCATENATE(Table1[[#This Row],[Customer_ID]],Table1[[#This Row],[Customer_Name]])</f>
        <v>C1128Varun Tiwari</v>
      </c>
      <c r="AL248" t="s">
        <v>179</v>
      </c>
      <c r="AM248" t="s">
        <v>180</v>
      </c>
      <c r="AN248" t="s">
        <v>181</v>
      </c>
      <c r="AO248" t="s">
        <v>179</v>
      </c>
      <c r="AP248" t="s">
        <v>180</v>
      </c>
      <c r="AQ248" t="s">
        <v>423</v>
      </c>
      <c r="AR248" t="str">
        <f>TRIM(Table1[[#This Row],[City]])</f>
        <v>Ahmedabad</v>
      </c>
      <c r="AS248" t="str">
        <f>PROPER(Table1[[#This Row],[City]])</f>
        <v>Ahmedabad</v>
      </c>
      <c r="AT248" t="s">
        <v>424</v>
      </c>
      <c r="AU248" t="str">
        <f>CONCATENATE(Table1[[#This Row],[City]],Table1[[#This Row],[State]])</f>
        <v>AhmedabadGujarat</v>
      </c>
      <c r="AV248" t="s">
        <v>129</v>
      </c>
      <c r="AW248" t="s">
        <v>183</v>
      </c>
      <c r="AX248" t="str">
        <f>REPLACE(Table1[[#This Row],[Product_ID]],1,1,"s")</f>
        <v>s105</v>
      </c>
      <c r="AY248" t="s">
        <v>1184</v>
      </c>
      <c r="AZ248">
        <f>SEARCH("-",Table1[[#This Row],[Product ID]])</f>
        <v>2</v>
      </c>
      <c r="BA248">
        <f>FIND("-",Table1[[#This Row],[Product ID]])</f>
        <v>2</v>
      </c>
      <c r="BB248" t="str">
        <f>MID(Table1[[#This Row],[Product_ID]],2,3)</f>
        <v>105</v>
      </c>
      <c r="BC248" t="str">
        <f>RIGHT(Table1[[#This Row],[Product_ID]],3)</f>
        <v>105</v>
      </c>
      <c r="BD248" t="str">
        <f>LEFT(Table1[[#This Row],[Product_ID]],3)</f>
        <v>P10</v>
      </c>
      <c r="BE248" t="str">
        <f>_xlfn.XLOOKUP(Table1[[#This Row],[Product_ID]],AW:AW,BF:BF,,0)</f>
        <v>Bluetooth Speaker</v>
      </c>
      <c r="BF248" t="s">
        <v>185</v>
      </c>
      <c r="BG248">
        <f>LEN(Table1[[#This Row],[Product_Name]])</f>
        <v>17</v>
      </c>
      <c r="BH248" t="s">
        <v>154</v>
      </c>
      <c r="BI248">
        <f t="shared" si="28"/>
        <v>75</v>
      </c>
      <c r="BJ248" t="str">
        <f>SUBSTITUTE(Table1[[#This Row],[Category]],"Electronics","ELECTRONICS")</f>
        <v>ELECTRONICS</v>
      </c>
      <c r="BN248" t="s">
        <v>186</v>
      </c>
      <c r="BS248" s="14">
        <v>4</v>
      </c>
      <c r="BT248" s="3">
        <v>2999</v>
      </c>
      <c r="BU248" s="4">
        <v>25</v>
      </c>
      <c r="BV248" s="4" t="str">
        <f>IF(AND(Table1[[#This Row],[Quantity]]&gt;=3,Table1[[#This Row],[Discount_%]]&gt;=15%),"Bulk Discount","no")</f>
        <v>Bulk Discount</v>
      </c>
      <c r="BW248" s="4" t="str">
        <f>IF(AND(Table1[[#This Row],[Quantity]]&gt;3,Table1[[#This Row],[Discount_%]]&gt;15%),"Bulk Customer","Normal")</f>
        <v>Bulk Customer</v>
      </c>
      <c r="BX248" t="s">
        <v>187</v>
      </c>
      <c r="BY248" t="s">
        <v>156</v>
      </c>
      <c r="CC248" t="str">
        <f>IF(OR(Table1[[#This Row],[Order_Status]]="Returned",Table1[[#This Row],[Order_Status]]="Cancelled"),"Attention Required","Not")</f>
        <v>Attention Required</v>
      </c>
      <c r="CD248" t="str">
        <f>IF(OR(Table1[[#This Row],[Order_Status]]="Returned",Table1[[#This Row],[Order_Status]]="Cancelled"),"Review","no")</f>
        <v>Review</v>
      </c>
      <c r="CE248" t="str">
        <f>SUBSTITUTE(Table1[[#This Row],[Order_Status]],"Delivered","Completed")</f>
        <v>Cancelled</v>
      </c>
      <c r="CF248" s="2">
        <v>45742</v>
      </c>
      <c r="CG248" s="17">
        <f>NETWORKDAYS(Table1[[#This Row],[Order_Date]],Table1[[#This Row],[Delivery_Date]])</f>
        <v>5</v>
      </c>
      <c r="CH248" s="17">
        <f>Table1[[#This Row],[Delivery_Date]]-Table1[[#This Row],[Order_Date]]</f>
        <v>6</v>
      </c>
      <c r="CI248" t="s">
        <v>137</v>
      </c>
      <c r="CJ248" t="str">
        <f>IF(Table1[[#This Row],[Rating]]&gt;=4,"Good","Needs Improvement")</f>
        <v>Needs Improvement</v>
      </c>
      <c r="CK248" t="str">
        <f>IF(OR(Table1[[#This Row],[Rating]]&lt;=2,Table1[[#This Row],[Profit]]&lt;0),"Review","NO")</f>
        <v>Review</v>
      </c>
      <c r="CL248" t="e" cm="1">
        <f t="array" ref="CL248">_xlfn.IFS(Table1[[#This Row],[Rating]]&gt;2,"Poor",Table1[[#This Row],[Rating]]=3,"Average",Table1[[#This Row],[Rating]]=4,"Good",CP248=5,"Excellent")</f>
        <v>#N/A</v>
      </c>
      <c r="CM248">
        <f>COUNT(Table1[[#This Row],[Rating]])</f>
        <v>1</v>
      </c>
      <c r="CN248">
        <f>COUNTBLANK(Table1[[#This Row],[Rating]])</f>
        <v>0</v>
      </c>
      <c r="CP248" t="s">
        <v>157</v>
      </c>
      <c r="CQ248" s="14">
        <v>1</v>
      </c>
      <c r="CR248" t="s">
        <v>139</v>
      </c>
      <c r="CS248" t="s">
        <v>195</v>
      </c>
      <c r="CU248" s="3">
        <v>8997</v>
      </c>
      <c r="CV248" s="3">
        <f>ROUND(Table1[[#This Row],[Sales_Amount]],0)</f>
        <v>8997</v>
      </c>
      <c r="CW248" s="3"/>
      <c r="CX248" s="3"/>
      <c r="CY248" s="3" t="b">
        <f>IF(AND(Table1[[#This Row],[Sales_Amount]]&gt;=10000,Table1[[#This Row],[Profit]]&gt;0),"Good Order")</f>
        <v>0</v>
      </c>
      <c r="CZ248" s="3" t="str">
        <f>IF(Table1[[#This Row],[Sales_Amount]]&gt;=10000,"High","Normal")</f>
        <v>Normal</v>
      </c>
      <c r="DA248" s="3">
        <v>1997</v>
      </c>
      <c r="DB248" s="3">
        <f>ROUND(Table1[[#This Row],[Profit]],0)</f>
        <v>1997</v>
      </c>
      <c r="DC248" s="3">
        <f>ABS(Table1[[#This Row],[Profit]])</f>
        <v>1997</v>
      </c>
      <c r="DD248" s="3"/>
      <c r="DE248" s="3"/>
      <c r="DF248" s="3"/>
      <c r="DG248" s="3" t="str">
        <f>IF(Table1[[#This Row],[Profit]]&gt;0,"Profit","Loss")</f>
        <v>Profit</v>
      </c>
      <c r="DH248" s="3" t="str">
        <f>IF(AND(Table1[[#This Row],[Sales_Amount]]&gt;=10000,Table1[[#This Row],[Profit]]&gt;0),"Priority","Normal")</f>
        <v>Normal</v>
      </c>
      <c r="DI248" s="3">
        <f t="shared" ca="1" si="23"/>
        <v>0.81868658931537008</v>
      </c>
      <c r="DJ248" s="3">
        <f t="shared" ca="1" si="24"/>
        <v>7</v>
      </c>
      <c r="DK248" s="3"/>
      <c r="DL248" s="3"/>
      <c r="DM248" s="3"/>
      <c r="DN248" s="3"/>
      <c r="DO248" s="3"/>
      <c r="DP248" s="3"/>
    </row>
    <row r="249" spans="1:120">
      <c r="A249" t="s">
        <v>1185</v>
      </c>
      <c r="B249" t="str">
        <f>REPLACE(Table1[[#This Row],[Order_ID]],1,3,"YOO")</f>
        <v>YOO10248</v>
      </c>
      <c r="C249" t="str">
        <f>MID(Table1[[#This Row],[Order_ID]],4,4)</f>
        <v>1024</v>
      </c>
      <c r="D249" t="str">
        <f>LEFT(Table1[[#This Row],[Order_ID]],4)</f>
        <v>ORD1</v>
      </c>
      <c r="E249" t="str">
        <f>RIGHT(Table1[[#This Row],[Order_ID]],5)</f>
        <v>10248</v>
      </c>
      <c r="F249" t="s">
        <v>5</v>
      </c>
      <c r="G249">
        <v>10248</v>
      </c>
      <c r="H249" t="s">
        <v>1186</v>
      </c>
      <c r="I249" s="2">
        <f>EDATE(Table1[[#This Row],[Order_Date]],3)</f>
        <v>45867</v>
      </c>
      <c r="J249" s="2">
        <f>EDATE(Table1[[#This Row],[Order_Date]],6)</f>
        <v>45959</v>
      </c>
      <c r="K249">
        <f ca="1">YEAR(Table1[[#This Row],[Today]])</f>
        <v>2026</v>
      </c>
      <c r="L249">
        <v>248</v>
      </c>
      <c r="M249">
        <f ca="1">DAY(Table1[[#This Row],[Today]])</f>
        <v>11</v>
      </c>
      <c r="N249" s="19">
        <f t="shared" ca="1" si="27"/>
        <v>46245.589795370368</v>
      </c>
      <c r="O249" s="2">
        <f t="shared" ca="1" si="22"/>
        <v>46245</v>
      </c>
      <c r="P249" s="17">
        <f ca="1">Table1[[#This Row],[Today]]-Table1[[#This Row],[Order_Date]]</f>
        <v>469</v>
      </c>
      <c r="Q249" s="2">
        <v>45905</v>
      </c>
      <c r="R249" s="2">
        <v>45776</v>
      </c>
      <c r="S249" s="6">
        <f t="shared" si="25"/>
        <v>2025</v>
      </c>
      <c r="T249" s="7" t="str">
        <f t="shared" si="26"/>
        <v>April</v>
      </c>
      <c r="U249" s="2">
        <f>WORKDAY(Table1[[#This Row],[Order_Date]],5)</f>
        <v>45783</v>
      </c>
      <c r="V249" s="7" t="str">
        <f>CONCATENATE(Table1[[#This Row],[Customer_ID]],Table1[[#This Row],[Customer_Name]])</f>
        <v>C1012Kavya Shah</v>
      </c>
      <c r="W249" t="s">
        <v>410</v>
      </c>
      <c r="X249" t="s">
        <v>271</v>
      </c>
      <c r="Y249">
        <f>COUNTA(Table1[[#This Row],[Customer_Name]])</f>
        <v>1</v>
      </c>
      <c r="Z249" t="str">
        <f>SUBSTITUTE(Table1[[#This Row],[Customer_Name]]," ","_")</f>
        <v>Kavya_Shah</v>
      </c>
      <c r="AA249" s="10">
        <f>IFERROR(SEARCH("a",Table1[[#This Row],[Customer_Name]]),"N/A")</f>
        <v>2</v>
      </c>
      <c r="AB249">
        <f>SEARCH(" ",Table1[[#This Row],[Customer_Name]])</f>
        <v>6</v>
      </c>
      <c r="AC249" s="11">
        <f>IFERROR(FIND("a",Table1[[#This Row],[Customer_Name]]),"N/A")</f>
        <v>2</v>
      </c>
      <c r="AD249">
        <f>FIND(" ",Table1[[#This Row],[Customer_Name]])</f>
        <v>6</v>
      </c>
      <c r="AE249" t="str">
        <f>TRIM(Table1[[#This Row],[Customer_Name]])</f>
        <v>Kavya Shah</v>
      </c>
      <c r="AF249">
        <f>LEN(Table1[[#This Row],[Trimmed]])</f>
        <v>10</v>
      </c>
      <c r="AG249">
        <f>MAX(Table1[Length])</f>
        <v>15</v>
      </c>
      <c r="AH249" t="str">
        <f>PROPER(Table1[[#This Row],[Customer_Name]])</f>
        <v>Kavya Shah</v>
      </c>
      <c r="AI249" t="str">
        <f>LOWER(Table1[[#This Row],[Customer_Name]])</f>
        <v>kavya shah</v>
      </c>
      <c r="AJ249" t="str">
        <f>UPPER(Table1[[#This Row],[Customer_Name]])</f>
        <v>KAVYA SHAH</v>
      </c>
      <c r="AK249" t="str">
        <f>CONCATENATE(Table1[[#This Row],[Customer_ID]],Table1[[#This Row],[Customer_Name]])</f>
        <v>C1012Kavya Shah</v>
      </c>
      <c r="AL249" t="s">
        <v>272</v>
      </c>
      <c r="AM249" t="s">
        <v>273</v>
      </c>
      <c r="AN249" t="s">
        <v>274</v>
      </c>
      <c r="AO249" t="s">
        <v>272</v>
      </c>
      <c r="AP249" t="s">
        <v>273</v>
      </c>
      <c r="AQ249" t="s">
        <v>127</v>
      </c>
      <c r="AR249" t="str">
        <f>TRIM(Table1[[#This Row],[City]])</f>
        <v>Pune</v>
      </c>
      <c r="AS249" t="str">
        <f>PROPER(Table1[[#This Row],[City]])</f>
        <v>Pune</v>
      </c>
      <c r="AT249" t="s">
        <v>128</v>
      </c>
      <c r="AU249" t="str">
        <f>CONCATENATE(Table1[[#This Row],[City]],Table1[[#This Row],[State]])</f>
        <v>PuneMaharashtra</v>
      </c>
      <c r="AV249" t="s">
        <v>129</v>
      </c>
      <c r="AW249" t="s">
        <v>250</v>
      </c>
      <c r="AX249" t="str">
        <f>REPLACE(Table1[[#This Row],[Product_ID]],1,1,"s")</f>
        <v>s113</v>
      </c>
      <c r="AY249" t="s">
        <v>1187</v>
      </c>
      <c r="AZ249">
        <f>SEARCH("-",Table1[[#This Row],[Product ID]])</f>
        <v>2</v>
      </c>
      <c r="BA249">
        <f>FIND("-",Table1[[#This Row],[Product ID]])</f>
        <v>2</v>
      </c>
      <c r="BB249" t="str">
        <f>MID(Table1[[#This Row],[Product_ID]],2,3)</f>
        <v>113</v>
      </c>
      <c r="BC249" t="str">
        <f>RIGHT(Table1[[#This Row],[Product_ID]],3)</f>
        <v>113</v>
      </c>
      <c r="BD249" t="str">
        <f>LEFT(Table1[[#This Row],[Product_ID]],3)</f>
        <v>P11</v>
      </c>
      <c r="BE249" t="str">
        <f>_xlfn.XLOOKUP(Table1[[#This Row],[Product_ID]],AW:AW,BF:BF,,0)</f>
        <v>Desk Lamp</v>
      </c>
      <c r="BF249" t="s">
        <v>252</v>
      </c>
      <c r="BG249">
        <f>LEN(Table1[[#This Row],[Product_Name]])</f>
        <v>9</v>
      </c>
      <c r="BH249" t="s">
        <v>133</v>
      </c>
      <c r="BI249">
        <f t="shared" si="28"/>
        <v>75</v>
      </c>
      <c r="BJ249" t="str">
        <f>SUBSTITUTE(Table1[[#This Row],[Category]],"Electronics","ELECTRONICS")</f>
        <v>Home</v>
      </c>
      <c r="BN249" t="s">
        <v>253</v>
      </c>
      <c r="BS249" s="14">
        <v>2</v>
      </c>
      <c r="BT249" s="3">
        <v>1299</v>
      </c>
      <c r="BU249" s="4">
        <v>0</v>
      </c>
      <c r="BV249" s="4" t="str">
        <f>IF(AND(Table1[[#This Row],[Quantity]]&gt;=3,Table1[[#This Row],[Discount_%]]&gt;=15%),"Bulk Discount","no")</f>
        <v>no</v>
      </c>
      <c r="BW249" s="4" t="str">
        <f>IF(AND(Table1[[#This Row],[Quantity]]&gt;3,Table1[[#This Row],[Discount_%]]&gt;15%),"Bulk Customer","Normal")</f>
        <v>Normal</v>
      </c>
      <c r="BX249" t="s">
        <v>192</v>
      </c>
      <c r="BY249" t="s">
        <v>136</v>
      </c>
      <c r="CC249" t="str">
        <f>IF(OR(Table1[[#This Row],[Order_Status]]="Returned",Table1[[#This Row],[Order_Status]]="Cancelled"),"Attention Required","Not")</f>
        <v>Not</v>
      </c>
      <c r="CD249" t="str">
        <f>IF(OR(Table1[[#This Row],[Order_Status]]="Returned",Table1[[#This Row],[Order_Status]]="Cancelled"),"Review","no")</f>
        <v>no</v>
      </c>
      <c r="CE249" t="str">
        <f>SUBSTITUTE(Table1[[#This Row],[Order_Status]],"Delivered","Completed")</f>
        <v>Completed</v>
      </c>
      <c r="CF249" s="2">
        <v>45777</v>
      </c>
      <c r="CG249" s="17">
        <f>NETWORKDAYS(Table1[[#This Row],[Order_Date]],Table1[[#This Row],[Delivery_Date]])</f>
        <v>2</v>
      </c>
      <c r="CH249" s="17">
        <f>Table1[[#This Row],[Delivery_Date]]-Table1[[#This Row],[Order_Date]]</f>
        <v>1</v>
      </c>
      <c r="CI249" t="s">
        <v>137</v>
      </c>
      <c r="CJ249" t="str">
        <f>IF(Table1[[#This Row],[Rating]]&gt;=4,"Good","Needs Improvement")</f>
        <v>Good</v>
      </c>
      <c r="CK249" t="str">
        <f>IF(OR(Table1[[#This Row],[Rating]]&lt;=2,Table1[[#This Row],[Profit]]&lt;0),"Review","NO")</f>
        <v>NO</v>
      </c>
      <c r="CL249" t="str" cm="1">
        <f t="array" ref="CL249">_xlfn.IFS(Table1[[#This Row],[Rating]]&gt;2,"Poor",Table1[[#This Row],[Rating]]=3,"Average",Table1[[#This Row],[Rating]]=4,"Good",CP249=5,"Excellent")</f>
        <v>Poor</v>
      </c>
      <c r="CM249">
        <f>COUNT(Table1[[#This Row],[Rating]])</f>
        <v>1</v>
      </c>
      <c r="CN249">
        <f>COUNTBLANK(Table1[[#This Row],[Rating]])</f>
        <v>0</v>
      </c>
      <c r="CP249" t="s">
        <v>138</v>
      </c>
      <c r="CQ249" s="14">
        <v>4</v>
      </c>
      <c r="CR249" t="s">
        <v>139</v>
      </c>
      <c r="CS249" t="s">
        <v>158</v>
      </c>
      <c r="CU249" s="3">
        <v>2598</v>
      </c>
      <c r="CV249" s="3">
        <f>ROUND(Table1[[#This Row],[Sales_Amount]],0)</f>
        <v>2598</v>
      </c>
      <c r="CW249" s="3"/>
      <c r="CX249" s="3"/>
      <c r="CY249" s="3" t="b">
        <f>IF(AND(Table1[[#This Row],[Sales_Amount]]&gt;=10000,Table1[[#This Row],[Profit]]&gt;0),"Good Order")</f>
        <v>0</v>
      </c>
      <c r="CZ249" s="3" t="str">
        <f>IF(Table1[[#This Row],[Sales_Amount]]&gt;=10000,"High","Normal")</f>
        <v>Normal</v>
      </c>
      <c r="DA249" s="3">
        <v>1298</v>
      </c>
      <c r="DB249" s="3">
        <f>ROUND(Table1[[#This Row],[Profit]],0)</f>
        <v>1298</v>
      </c>
      <c r="DC249" s="3">
        <f>ABS(Table1[[#This Row],[Profit]])</f>
        <v>1298</v>
      </c>
      <c r="DD249" s="3"/>
      <c r="DE249" s="3"/>
      <c r="DF249" s="3"/>
      <c r="DG249" s="3" t="str">
        <f>IF(Table1[[#This Row],[Profit]]&gt;0,"Profit","Loss")</f>
        <v>Profit</v>
      </c>
      <c r="DH249" s="3" t="str">
        <f>IF(AND(Table1[[#This Row],[Sales_Amount]]&gt;=10000,Table1[[#This Row],[Profit]]&gt;0),"Priority","Normal")</f>
        <v>Normal</v>
      </c>
      <c r="DI249" s="3">
        <f t="shared" ca="1" si="23"/>
        <v>0.24843552580384332</v>
      </c>
      <c r="DJ249" s="3">
        <f t="shared" ca="1" si="24"/>
        <v>88</v>
      </c>
      <c r="DK249" s="3"/>
      <c r="DL249" s="3"/>
      <c r="DM249" s="3"/>
      <c r="DN249" s="3"/>
      <c r="DO249" s="3"/>
      <c r="DP249" s="3"/>
    </row>
    <row r="250" spans="1:120">
      <c r="A250" t="s">
        <v>1188</v>
      </c>
      <c r="B250" t="str">
        <f>REPLACE(Table1[[#This Row],[Order_ID]],1,3,"YOO")</f>
        <v>YOO10249</v>
      </c>
      <c r="C250" t="str">
        <f>MID(Table1[[#This Row],[Order_ID]],4,4)</f>
        <v>1024</v>
      </c>
      <c r="D250" t="str">
        <f>LEFT(Table1[[#This Row],[Order_ID]],4)</f>
        <v>ORD1</v>
      </c>
      <c r="E250" t="str">
        <f>RIGHT(Table1[[#This Row],[Order_ID]],5)</f>
        <v>10249</v>
      </c>
      <c r="F250" t="s">
        <v>5</v>
      </c>
      <c r="G250">
        <v>10249</v>
      </c>
      <c r="H250" t="s">
        <v>1189</v>
      </c>
      <c r="I250" s="2">
        <f>EDATE(Table1[[#This Row],[Order_Date]],3)</f>
        <v>46316</v>
      </c>
      <c r="J250" s="2">
        <f>EDATE(Table1[[#This Row],[Order_Date]],6)</f>
        <v>46408</v>
      </c>
      <c r="K250">
        <f ca="1">YEAR(Table1[[#This Row],[Today]])</f>
        <v>2026</v>
      </c>
      <c r="L250">
        <v>249</v>
      </c>
      <c r="M250">
        <f ca="1">DAY(Table1[[#This Row],[Today]])</f>
        <v>11</v>
      </c>
      <c r="N250" s="19">
        <f t="shared" ca="1" si="27"/>
        <v>46245.589795370368</v>
      </c>
      <c r="O250" s="2">
        <f t="shared" ca="1" si="22"/>
        <v>46245</v>
      </c>
      <c r="P250" s="17">
        <f ca="1">Table1[[#This Row],[Today]]-Table1[[#This Row],[Order_Date]]</f>
        <v>21</v>
      </c>
      <c r="Q250" s="2">
        <v>45906</v>
      </c>
      <c r="R250" s="2">
        <v>46224</v>
      </c>
      <c r="S250" s="6">
        <f t="shared" si="25"/>
        <v>2026</v>
      </c>
      <c r="T250" s="7" t="str">
        <f t="shared" si="26"/>
        <v>July</v>
      </c>
      <c r="U250" s="2">
        <f>WORKDAY(Table1[[#This Row],[Order_Date]],5)</f>
        <v>46231</v>
      </c>
      <c r="V250" s="7" t="str">
        <f>CONCATENATE(Table1[[#This Row],[Customer_ID]],Table1[[#This Row],[Customer_Name]])</f>
        <v>C1082Vikas Yadav</v>
      </c>
      <c r="W250" t="s">
        <v>601</v>
      </c>
      <c r="X250" t="s">
        <v>208</v>
      </c>
      <c r="Y250">
        <f>COUNTA(Table1[[#This Row],[Customer_Name]])</f>
        <v>1</v>
      </c>
      <c r="Z250" t="str">
        <f>SUBSTITUTE(Table1[[#This Row],[Customer_Name]]," ","_")</f>
        <v>Vikas_Yadav</v>
      </c>
      <c r="AA250" s="10">
        <f>IFERROR(SEARCH("a",Table1[[#This Row],[Customer_Name]]),"N/A")</f>
        <v>4</v>
      </c>
      <c r="AB250">
        <f>SEARCH(" ",Table1[[#This Row],[Customer_Name]])</f>
        <v>6</v>
      </c>
      <c r="AC250" s="11">
        <f>IFERROR(FIND("a",Table1[[#This Row],[Customer_Name]]),"N/A")</f>
        <v>4</v>
      </c>
      <c r="AD250">
        <f>FIND(" ",Table1[[#This Row],[Customer_Name]])</f>
        <v>6</v>
      </c>
      <c r="AE250" t="str">
        <f>TRIM(Table1[[#This Row],[Customer_Name]])</f>
        <v>Vikas Yadav</v>
      </c>
      <c r="AF250">
        <f>LEN(Table1[[#This Row],[Trimmed]])</f>
        <v>11</v>
      </c>
      <c r="AG250">
        <f>MAX(Table1[Length])</f>
        <v>15</v>
      </c>
      <c r="AH250" t="str">
        <f>PROPER(Table1[[#This Row],[Customer_Name]])</f>
        <v>Vikas Yadav</v>
      </c>
      <c r="AI250" t="str">
        <f>LOWER(Table1[[#This Row],[Customer_Name]])</f>
        <v>vikas yadav</v>
      </c>
      <c r="AJ250" t="str">
        <f>UPPER(Table1[[#This Row],[Customer_Name]])</f>
        <v>VIKAS YADAV</v>
      </c>
      <c r="AK250" t="str">
        <f>CONCATENATE(Table1[[#This Row],[Customer_ID]],Table1[[#This Row],[Customer_Name]])</f>
        <v>C1082Vikas Yadav</v>
      </c>
      <c r="AL250" t="s">
        <v>209</v>
      </c>
      <c r="AM250" t="s">
        <v>210</v>
      </c>
      <c r="AN250" t="s">
        <v>211</v>
      </c>
      <c r="AO250" t="s">
        <v>209</v>
      </c>
      <c r="AP250" t="s">
        <v>210</v>
      </c>
      <c r="AQ250" t="s">
        <v>182</v>
      </c>
      <c r="AR250" t="str">
        <f>TRIM(Table1[[#This Row],[City]])</f>
        <v>Mumbai</v>
      </c>
      <c r="AS250" t="str">
        <f>PROPER(Table1[[#This Row],[City]])</f>
        <v>Mumbai</v>
      </c>
      <c r="AT250" t="s">
        <v>128</v>
      </c>
      <c r="AU250" t="str">
        <f>CONCATENATE(Table1[[#This Row],[City]],Table1[[#This Row],[State]])</f>
        <v>MumbaiMaharashtra</v>
      </c>
      <c r="AV250" t="s">
        <v>129</v>
      </c>
      <c r="AW250" t="s">
        <v>338</v>
      </c>
      <c r="AX250" t="str">
        <f>REPLACE(Table1[[#This Row],[Product_ID]],1,1,"s")</f>
        <v>s115</v>
      </c>
      <c r="AY250" t="s">
        <v>1190</v>
      </c>
      <c r="AZ250">
        <f>SEARCH("-",Table1[[#This Row],[Product ID]])</f>
        <v>2</v>
      </c>
      <c r="BA250">
        <f>FIND("-",Table1[[#This Row],[Product ID]])</f>
        <v>2</v>
      </c>
      <c r="BB250" t="str">
        <f>MID(Table1[[#This Row],[Product_ID]],2,3)</f>
        <v>115</v>
      </c>
      <c r="BC250" t="str">
        <f>RIGHT(Table1[[#This Row],[Product_ID]],3)</f>
        <v>115</v>
      </c>
      <c r="BD250" t="str">
        <f>LEFT(Table1[[#This Row],[Product_ID]],3)</f>
        <v>P11</v>
      </c>
      <c r="BE250" t="str">
        <f>_xlfn.XLOOKUP(Table1[[#This Row],[Product_ID]],AW:AW,BF:BF,,0)</f>
        <v>Dumbbell Set</v>
      </c>
      <c r="BF250" t="s">
        <v>340</v>
      </c>
      <c r="BG250">
        <f>LEN(Table1[[#This Row],[Product_Name]])</f>
        <v>12</v>
      </c>
      <c r="BH250" t="s">
        <v>264</v>
      </c>
      <c r="BI250">
        <f t="shared" si="28"/>
        <v>75</v>
      </c>
      <c r="BJ250" t="str">
        <f>SUBSTITUTE(Table1[[#This Row],[Category]],"Electronics","ELECTRONICS")</f>
        <v>Sports</v>
      </c>
      <c r="BN250" t="s">
        <v>265</v>
      </c>
      <c r="BS250" s="14">
        <v>4</v>
      </c>
      <c r="BT250" s="3">
        <v>2499</v>
      </c>
      <c r="BU250" s="4">
        <v>10</v>
      </c>
      <c r="BV250" s="4" t="str">
        <f>IF(AND(Table1[[#This Row],[Quantity]]&gt;=3,Table1[[#This Row],[Discount_%]]&gt;=15%),"Bulk Discount","no")</f>
        <v>Bulk Discount</v>
      </c>
      <c r="BW250" s="4" t="str">
        <f>IF(AND(Table1[[#This Row],[Quantity]]&gt;3,Table1[[#This Row],[Discount_%]]&gt;15%),"Bulk Customer","Normal")</f>
        <v>Bulk Customer</v>
      </c>
      <c r="BX250" t="s">
        <v>172</v>
      </c>
      <c r="BY250" t="s">
        <v>136</v>
      </c>
      <c r="CC250" t="str">
        <f>IF(OR(Table1[[#This Row],[Order_Status]]="Returned",Table1[[#This Row],[Order_Status]]="Cancelled"),"Attention Required","Not")</f>
        <v>Not</v>
      </c>
      <c r="CD250" t="str">
        <f>IF(OR(Table1[[#This Row],[Order_Status]]="Returned",Table1[[#This Row],[Order_Status]]="Cancelled"),"Review","no")</f>
        <v>no</v>
      </c>
      <c r="CE250" t="str">
        <f>SUBSTITUTE(Table1[[#This Row],[Order_Status]],"Delivered","Completed")</f>
        <v>Completed</v>
      </c>
      <c r="CF250" s="2">
        <v>46228</v>
      </c>
      <c r="CG250" s="17">
        <f>NETWORKDAYS(Table1[[#This Row],[Order_Date]],Table1[[#This Row],[Delivery_Date]])</f>
        <v>4</v>
      </c>
      <c r="CH250" s="17">
        <f>Table1[[#This Row],[Delivery_Date]]-Table1[[#This Row],[Order_Date]]</f>
        <v>4</v>
      </c>
      <c r="CI250" t="s">
        <v>137</v>
      </c>
      <c r="CJ250" t="str">
        <f>IF(Table1[[#This Row],[Rating]]&gt;=4,"Good","Needs Improvement")</f>
        <v>Good</v>
      </c>
      <c r="CK250" t="str">
        <f>IF(OR(Table1[[#This Row],[Rating]]&lt;=2,Table1[[#This Row],[Profit]]&lt;0),"Review","NO")</f>
        <v>NO</v>
      </c>
      <c r="CL250" t="str" cm="1">
        <f t="array" ref="CL250">_xlfn.IFS(Table1[[#This Row],[Rating]]&gt;2,"Poor",Table1[[#This Row],[Rating]]=3,"Average",Table1[[#This Row],[Rating]]=4,"Good",CP250=5,"Excellent")</f>
        <v>Poor</v>
      </c>
      <c r="CM250">
        <f>COUNT(Table1[[#This Row],[Rating]])</f>
        <v>1</v>
      </c>
      <c r="CN250">
        <f>COUNTBLANK(Table1[[#This Row],[Rating]])</f>
        <v>0</v>
      </c>
      <c r="CP250" t="s">
        <v>266</v>
      </c>
      <c r="CQ250" s="14">
        <v>5</v>
      </c>
      <c r="CR250" t="s">
        <v>173</v>
      </c>
      <c r="CS250" t="s">
        <v>140</v>
      </c>
      <c r="CU250" s="3">
        <v>8996.4</v>
      </c>
      <c r="CV250" s="3">
        <f>ROUND(Table1[[#This Row],[Sales_Amount]],0)</f>
        <v>8996</v>
      </c>
      <c r="CW250" s="3"/>
      <c r="CX250" s="3"/>
      <c r="CY250" s="3" t="b">
        <f>IF(AND(Table1[[#This Row],[Sales_Amount]]&gt;=10000,Table1[[#This Row],[Profit]]&gt;0),"Good Order")</f>
        <v>0</v>
      </c>
      <c r="CZ250" s="3" t="str">
        <f>IF(Table1[[#This Row],[Sales_Amount]]&gt;=10000,"High","Normal")</f>
        <v>Normal</v>
      </c>
      <c r="DA250" s="3">
        <v>3196.4</v>
      </c>
      <c r="DB250" s="3">
        <f>ROUND(Table1[[#This Row],[Profit]],0)</f>
        <v>3196</v>
      </c>
      <c r="DC250" s="3">
        <f>ABS(Table1[[#This Row],[Profit]])</f>
        <v>3196.4</v>
      </c>
      <c r="DD250" s="3"/>
      <c r="DE250" s="3"/>
      <c r="DF250" s="3"/>
      <c r="DG250" s="3" t="str">
        <f>IF(Table1[[#This Row],[Profit]]&gt;0,"Profit","Loss")</f>
        <v>Profit</v>
      </c>
      <c r="DH250" s="3" t="str">
        <f>IF(AND(Table1[[#This Row],[Sales_Amount]]&gt;=10000,Table1[[#This Row],[Profit]]&gt;0),"Priority","Normal")</f>
        <v>Normal</v>
      </c>
      <c r="DI250" s="3">
        <f t="shared" ca="1" si="23"/>
        <v>0.1777705254593992</v>
      </c>
      <c r="DJ250" s="3">
        <f t="shared" ca="1" si="24"/>
        <v>13</v>
      </c>
      <c r="DK250" s="3"/>
      <c r="DL250" s="3"/>
      <c r="DM250" s="3"/>
      <c r="DN250" s="3"/>
      <c r="DO250" s="3"/>
      <c r="DP250" s="3"/>
    </row>
    <row r="251" spans="1:120">
      <c r="A251" t="s">
        <v>1191</v>
      </c>
      <c r="B251" t="str">
        <f>REPLACE(Table1[[#This Row],[Order_ID]],1,3,"YOO")</f>
        <v>YOO10250</v>
      </c>
      <c r="C251" t="str">
        <f>MID(Table1[[#This Row],[Order_ID]],4,4)</f>
        <v>1025</v>
      </c>
      <c r="D251" t="str">
        <f>LEFT(Table1[[#This Row],[Order_ID]],4)</f>
        <v>ORD1</v>
      </c>
      <c r="E251" t="str">
        <f>RIGHT(Table1[[#This Row],[Order_ID]],5)</f>
        <v>10250</v>
      </c>
      <c r="F251" t="s">
        <v>5</v>
      </c>
      <c r="G251">
        <v>10250</v>
      </c>
      <c r="H251" t="s">
        <v>1192</v>
      </c>
      <c r="I251" s="2">
        <f>EDATE(Table1[[#This Row],[Order_Date]],3)</f>
        <v>45800</v>
      </c>
      <c r="J251" s="2">
        <f>EDATE(Table1[[#This Row],[Order_Date]],6)</f>
        <v>45892</v>
      </c>
      <c r="K251">
        <f ca="1">YEAR(Table1[[#This Row],[Today]])</f>
        <v>2026</v>
      </c>
      <c r="L251">
        <v>250</v>
      </c>
      <c r="M251">
        <f ca="1">DAY(Table1[[#This Row],[Today]])</f>
        <v>11</v>
      </c>
      <c r="N251" s="19">
        <f t="shared" ca="1" si="27"/>
        <v>46245.589795138891</v>
      </c>
      <c r="O251" s="2">
        <f t="shared" ca="1" si="22"/>
        <v>46245</v>
      </c>
      <c r="P251" s="17">
        <f ca="1">Table1[[#This Row],[Today]]-Table1[[#This Row],[Order_Date]]</f>
        <v>534</v>
      </c>
      <c r="Q251" s="2">
        <v>45907</v>
      </c>
      <c r="R251" s="2">
        <v>45711</v>
      </c>
      <c r="S251" s="6">
        <f t="shared" si="25"/>
        <v>2025</v>
      </c>
      <c r="T251" s="7" t="str">
        <f t="shared" si="26"/>
        <v>February</v>
      </c>
      <c r="U251" s="2">
        <f>WORKDAY(Table1[[#This Row],[Order_Date]],5)</f>
        <v>45716</v>
      </c>
      <c r="V251" s="7" t="str">
        <f>CONCATENATE(Table1[[#This Row],[Customer_ID]],Table1[[#This Row],[Customer_Name]])</f>
        <v>C1018Nitin Soni</v>
      </c>
      <c r="W251" t="s">
        <v>403</v>
      </c>
      <c r="X251" t="s">
        <v>144</v>
      </c>
      <c r="Y251">
        <f>COUNTA(Table1[[#This Row],[Customer_Name]])</f>
        <v>1</v>
      </c>
      <c r="Z251" t="str">
        <f>SUBSTITUTE(Table1[[#This Row],[Customer_Name]]," ","_")</f>
        <v>Nitin_Soni</v>
      </c>
      <c r="AA251" s="10" t="str">
        <f>IFERROR(SEARCH("a",Table1[[#This Row],[Customer_Name]]),"N/A")</f>
        <v>N/A</v>
      </c>
      <c r="AB251">
        <f>SEARCH(" ",Table1[[#This Row],[Customer_Name]])</f>
        <v>6</v>
      </c>
      <c r="AC251" s="11" t="str">
        <f>IFERROR(FIND("a",Table1[[#This Row],[Customer_Name]]),"N/A")</f>
        <v>N/A</v>
      </c>
      <c r="AD251">
        <f>FIND(" ",Table1[[#This Row],[Customer_Name]])</f>
        <v>6</v>
      </c>
      <c r="AE251" t="str">
        <f>TRIM(Table1[[#This Row],[Customer_Name]])</f>
        <v>Nitin Soni</v>
      </c>
      <c r="AF251">
        <f>LEN(Table1[[#This Row],[Trimmed]])</f>
        <v>10</v>
      </c>
      <c r="AG251">
        <f>MAX(Table1[Length])</f>
        <v>15</v>
      </c>
      <c r="AH251" t="str">
        <f>PROPER(Table1[[#This Row],[Customer_Name]])</f>
        <v>Nitin Soni</v>
      </c>
      <c r="AI251" t="str">
        <f>LOWER(Table1[[#This Row],[Customer_Name]])</f>
        <v>nitin soni</v>
      </c>
      <c r="AJ251" t="str">
        <f>UPPER(Table1[[#This Row],[Customer_Name]])</f>
        <v>NITIN SONI</v>
      </c>
      <c r="AK251" t="str">
        <f>CONCATENATE(Table1[[#This Row],[Customer_ID]],Table1[[#This Row],[Customer_Name]])</f>
        <v>C1018Nitin Soni</v>
      </c>
      <c r="AL251" t="s">
        <v>145</v>
      </c>
      <c r="AM251" t="s">
        <v>146</v>
      </c>
      <c r="AN251" t="s">
        <v>147</v>
      </c>
      <c r="AO251" t="s">
        <v>145</v>
      </c>
      <c r="AP251" t="s">
        <v>146</v>
      </c>
      <c r="AQ251" t="s">
        <v>199</v>
      </c>
      <c r="AR251" t="str">
        <f>TRIM(Table1[[#This Row],[City]])</f>
        <v>Lucknow</v>
      </c>
      <c r="AS251" t="str">
        <f>PROPER(Table1[[#This Row],[City]])</f>
        <v>Lucknow</v>
      </c>
      <c r="AT251" t="s">
        <v>200</v>
      </c>
      <c r="AU251" t="str">
        <f>CONCATENATE(Table1[[#This Row],[City]],Table1[[#This Row],[State]])</f>
        <v>LucknowUttar Pradesh</v>
      </c>
      <c r="AV251" t="s">
        <v>150</v>
      </c>
      <c r="AW251" t="s">
        <v>477</v>
      </c>
      <c r="AX251" t="str">
        <f>REPLACE(Table1[[#This Row],[Product_ID]],1,1,"s")</f>
        <v>s109</v>
      </c>
      <c r="AY251" t="s">
        <v>1193</v>
      </c>
      <c r="AZ251">
        <f>SEARCH("-",Table1[[#This Row],[Product ID]])</f>
        <v>2</v>
      </c>
      <c r="BA251">
        <f>FIND("-",Table1[[#This Row],[Product ID]])</f>
        <v>2</v>
      </c>
      <c r="BB251" t="str">
        <f>MID(Table1[[#This Row],[Product_ID]],2,3)</f>
        <v>109</v>
      </c>
      <c r="BC251" t="str">
        <f>RIGHT(Table1[[#This Row],[Product_ID]],3)</f>
        <v>109</v>
      </c>
      <c r="BD251" t="str">
        <f>LEFT(Table1[[#This Row],[Product_ID]],3)</f>
        <v>P10</v>
      </c>
      <c r="BE251" t="str">
        <f>_xlfn.XLOOKUP(Table1[[#This Row],[Product_ID]],AW:AW,BF:BF,,0)</f>
        <v>Backpack</v>
      </c>
      <c r="BF251" t="s">
        <v>479</v>
      </c>
      <c r="BG251">
        <f>LEN(Table1[[#This Row],[Product_Name]])</f>
        <v>8</v>
      </c>
      <c r="BH251" t="s">
        <v>224</v>
      </c>
      <c r="BI251">
        <f t="shared" si="28"/>
        <v>75</v>
      </c>
      <c r="BJ251" t="str">
        <f>SUBSTITUTE(Table1[[#This Row],[Category]],"Electronics","ELECTRONICS")</f>
        <v>Fashion</v>
      </c>
      <c r="BN251" t="s">
        <v>480</v>
      </c>
      <c r="BS251" s="14">
        <v>2</v>
      </c>
      <c r="BT251" s="3">
        <v>2299</v>
      </c>
      <c r="BU251" s="4">
        <v>10</v>
      </c>
      <c r="BV251" s="4" t="str">
        <f>IF(AND(Table1[[#This Row],[Quantity]]&gt;=3,Table1[[#This Row],[Discount_%]]&gt;=15%),"Bulk Discount","no")</f>
        <v>no</v>
      </c>
      <c r="BW251" s="4" t="str">
        <f>IF(AND(Table1[[#This Row],[Quantity]]&gt;3,Table1[[#This Row],[Discount_%]]&gt;15%),"Bulk Customer","Normal")</f>
        <v>Normal</v>
      </c>
      <c r="BX251" t="s">
        <v>192</v>
      </c>
      <c r="BY251" t="s">
        <v>193</v>
      </c>
      <c r="CC251" t="str">
        <f>IF(OR(Table1[[#This Row],[Order_Status]]="Returned",Table1[[#This Row],[Order_Status]]="Cancelled"),"Attention Required","Not")</f>
        <v>Not</v>
      </c>
      <c r="CD251" t="str">
        <f>IF(OR(Table1[[#This Row],[Order_Status]]="Returned",Table1[[#This Row],[Order_Status]]="Cancelled"),"Review","no")</f>
        <v>no</v>
      </c>
      <c r="CE251" t="str">
        <f>SUBSTITUTE(Table1[[#This Row],[Order_Status]],"Delivered","Completed")</f>
        <v>Shipped</v>
      </c>
      <c r="CF251" s="2">
        <v>45712</v>
      </c>
      <c r="CG251" s="17">
        <f>NETWORKDAYS(Table1[[#This Row],[Order_Date]],Table1[[#This Row],[Delivery_Date]])</f>
        <v>1</v>
      </c>
      <c r="CH251" s="17">
        <f>Table1[[#This Row],[Delivery_Date]]-Table1[[#This Row],[Order_Date]]</f>
        <v>1</v>
      </c>
      <c r="CI251" t="s">
        <v>137</v>
      </c>
      <c r="CJ251" t="str">
        <f>IF(Table1[[#This Row],[Rating]]&gt;=4,"Good","Needs Improvement")</f>
        <v>Good</v>
      </c>
      <c r="CK251" t="str">
        <f>IF(OR(Table1[[#This Row],[Rating]]&lt;=2,Table1[[#This Row],[Profit]]&lt;0),"Review","NO")</f>
        <v>NO</v>
      </c>
      <c r="CL251" t="str" cm="1">
        <f t="array" ref="CL251">_xlfn.IFS(Table1[[#This Row],[Rating]]&gt;2,"Poor",Table1[[#This Row],[Rating]]=3,"Average",Table1[[#This Row],[Rating]]=4,"Good",CP251=5,"Excellent")</f>
        <v>Poor</v>
      </c>
      <c r="CM251">
        <f>COUNT(Table1[[#This Row],[Rating]])</f>
        <v>1</v>
      </c>
      <c r="CN251">
        <f>COUNTBLANK(Table1[[#This Row],[Rating]])</f>
        <v>0</v>
      </c>
      <c r="CP251" t="s">
        <v>157</v>
      </c>
      <c r="CQ251" s="14">
        <v>5</v>
      </c>
      <c r="CR251" t="s">
        <v>173</v>
      </c>
      <c r="CS251" t="s">
        <v>140</v>
      </c>
      <c r="CU251" s="3">
        <v>4138.2</v>
      </c>
      <c r="CV251" s="3">
        <f>ROUND(Table1[[#This Row],[Sales_Amount]],0)</f>
        <v>4138</v>
      </c>
      <c r="CW251" s="3"/>
      <c r="CX251" s="3"/>
      <c r="CY251" s="3" t="b">
        <f>IF(AND(Table1[[#This Row],[Sales_Amount]]&gt;=10000,Table1[[#This Row],[Profit]]&gt;0),"Good Order")</f>
        <v>0</v>
      </c>
      <c r="CZ251" s="3" t="str">
        <f>IF(Table1[[#This Row],[Sales_Amount]]&gt;=10000,"High","Normal")</f>
        <v>Normal</v>
      </c>
      <c r="DA251" s="3">
        <v>1638.2</v>
      </c>
      <c r="DB251" s="3">
        <f>ROUND(Table1[[#This Row],[Profit]],0)</f>
        <v>1638</v>
      </c>
      <c r="DC251" s="3">
        <f>ABS(Table1[[#This Row],[Profit]])</f>
        <v>1638.2</v>
      </c>
      <c r="DD251" s="3"/>
      <c r="DE251" s="3"/>
      <c r="DF251" s="3"/>
      <c r="DG251" s="3" t="str">
        <f>IF(Table1[[#This Row],[Profit]]&gt;0,"Profit","Loss")</f>
        <v>Profit</v>
      </c>
      <c r="DH251" s="3" t="str">
        <f>IF(AND(Table1[[#This Row],[Sales_Amount]]&gt;=10000,Table1[[#This Row],[Profit]]&gt;0),"Priority","Normal")</f>
        <v>Normal</v>
      </c>
      <c r="DI251" s="3">
        <f t="shared" ca="1" si="23"/>
        <v>0.52397085081620365</v>
      </c>
      <c r="DJ251" s="3">
        <f t="shared" ca="1" si="24"/>
        <v>48</v>
      </c>
      <c r="DK251" s="3"/>
      <c r="DL251" s="3"/>
      <c r="DM251" s="3"/>
      <c r="DN251" s="3"/>
      <c r="DO251" s="3"/>
      <c r="DP251" s="3"/>
    </row>
    <row r="252" spans="1:120">
      <c r="A252" t="s">
        <v>1194</v>
      </c>
      <c r="B252" t="str">
        <f>REPLACE(Table1[[#This Row],[Order_ID]],1,3,"YOO")</f>
        <v>YOO10251</v>
      </c>
      <c r="C252" t="str">
        <f>MID(Table1[[#This Row],[Order_ID]],4,4)</f>
        <v>1025</v>
      </c>
      <c r="D252" t="str">
        <f>LEFT(Table1[[#This Row],[Order_ID]],4)</f>
        <v>ORD1</v>
      </c>
      <c r="E252" t="str">
        <f>RIGHT(Table1[[#This Row],[Order_ID]],5)</f>
        <v>10251</v>
      </c>
      <c r="F252" t="s">
        <v>5</v>
      </c>
      <c r="G252">
        <v>10251</v>
      </c>
      <c r="H252" t="s">
        <v>1195</v>
      </c>
      <c r="I252" s="2">
        <f>EDATE(Table1[[#This Row],[Order_Date]],3)</f>
        <v>45756</v>
      </c>
      <c r="J252" s="2">
        <f>EDATE(Table1[[#This Row],[Order_Date]],6)</f>
        <v>45847</v>
      </c>
      <c r="K252">
        <f ca="1">YEAR(Table1[[#This Row],[Today]])</f>
        <v>2026</v>
      </c>
      <c r="L252">
        <v>251</v>
      </c>
      <c r="M252">
        <f ca="1">DAY(Table1[[#This Row],[Today]])</f>
        <v>11</v>
      </c>
      <c r="N252" s="19">
        <f t="shared" ca="1" si="27"/>
        <v>46245.589795370368</v>
      </c>
      <c r="O252" s="2">
        <f t="shared" ca="1" si="22"/>
        <v>46245</v>
      </c>
      <c r="P252" s="17">
        <f ca="1">Table1[[#This Row],[Today]]-Table1[[#This Row],[Order_Date]]</f>
        <v>579</v>
      </c>
      <c r="Q252" s="2">
        <v>45908</v>
      </c>
      <c r="R252" s="2">
        <v>45666</v>
      </c>
      <c r="S252" s="6">
        <f t="shared" si="25"/>
        <v>2025</v>
      </c>
      <c r="T252" s="7" t="str">
        <f t="shared" si="26"/>
        <v>January</v>
      </c>
      <c r="U252" s="2">
        <f>WORKDAY(Table1[[#This Row],[Order_Date]],5)</f>
        <v>45673</v>
      </c>
      <c r="V252" s="7" t="str">
        <f>CONCATENATE(Table1[[#This Row],[Customer_ID]],Table1[[#This Row],[Customer_Name]])</f>
        <v>C1119Sneha Mishra</v>
      </c>
      <c r="W252" t="s">
        <v>198</v>
      </c>
      <c r="X252" t="s">
        <v>496</v>
      </c>
      <c r="Y252">
        <f>COUNTA(Table1[[#This Row],[Customer_Name]])</f>
        <v>1</v>
      </c>
      <c r="Z252" t="str">
        <f>SUBSTITUTE(Table1[[#This Row],[Customer_Name]]," ","_")</f>
        <v>Sneha_Mishra</v>
      </c>
      <c r="AA252" s="10">
        <f>IFERROR(SEARCH("a",Table1[[#This Row],[Customer_Name]]),"N/A")</f>
        <v>5</v>
      </c>
      <c r="AB252">
        <f>SEARCH(" ",Table1[[#This Row],[Customer_Name]])</f>
        <v>6</v>
      </c>
      <c r="AC252" s="11">
        <f>IFERROR(FIND("a",Table1[[#This Row],[Customer_Name]]),"N/A")</f>
        <v>5</v>
      </c>
      <c r="AD252">
        <f>FIND(" ",Table1[[#This Row],[Customer_Name]])</f>
        <v>6</v>
      </c>
      <c r="AE252" t="str">
        <f>TRIM(Table1[[#This Row],[Customer_Name]])</f>
        <v>Sneha Mishra</v>
      </c>
      <c r="AF252">
        <f>LEN(Table1[[#This Row],[Trimmed]])</f>
        <v>12</v>
      </c>
      <c r="AG252">
        <f>MAX(Table1[Length])</f>
        <v>15</v>
      </c>
      <c r="AH252" t="str">
        <f>PROPER(Table1[[#This Row],[Customer_Name]])</f>
        <v>Sneha Mishra</v>
      </c>
      <c r="AI252" t="str">
        <f>LOWER(Table1[[#This Row],[Customer_Name]])</f>
        <v>sneha mishra</v>
      </c>
      <c r="AJ252" t="str">
        <f>UPPER(Table1[[#This Row],[Customer_Name]])</f>
        <v>SNEHA MISHRA</v>
      </c>
      <c r="AK252" t="str">
        <f>CONCATENATE(Table1[[#This Row],[Customer_ID]],Table1[[#This Row],[Customer_Name]])</f>
        <v>C1119Sneha Mishra</v>
      </c>
      <c r="AL252" t="s">
        <v>195</v>
      </c>
      <c r="AM252" t="s">
        <v>497</v>
      </c>
      <c r="AN252" t="s">
        <v>498</v>
      </c>
      <c r="AO252" t="s">
        <v>195</v>
      </c>
      <c r="AP252" t="s">
        <v>497</v>
      </c>
      <c r="AQ252" t="s">
        <v>284</v>
      </c>
      <c r="AR252" t="str">
        <f>TRIM(Table1[[#This Row],[City]])</f>
        <v>Hyderabad</v>
      </c>
      <c r="AS252" t="str">
        <f>PROPER(Table1[[#This Row],[City]])</f>
        <v>Hyderabad</v>
      </c>
      <c r="AT252" t="s">
        <v>285</v>
      </c>
      <c r="AU252" t="str">
        <f>CONCATENATE(Table1[[#This Row],[City]],Table1[[#This Row],[State]])</f>
        <v>HyderabadTelangana</v>
      </c>
      <c r="AV252" t="s">
        <v>168</v>
      </c>
      <c r="AW252" t="s">
        <v>477</v>
      </c>
      <c r="AX252" t="str">
        <f>REPLACE(Table1[[#This Row],[Product_ID]],1,1,"s")</f>
        <v>s109</v>
      </c>
      <c r="AY252" t="s">
        <v>1196</v>
      </c>
      <c r="AZ252">
        <f>SEARCH("-",Table1[[#This Row],[Product ID]])</f>
        <v>2</v>
      </c>
      <c r="BA252">
        <f>FIND("-",Table1[[#This Row],[Product ID]])</f>
        <v>2</v>
      </c>
      <c r="BB252" t="str">
        <f>MID(Table1[[#This Row],[Product_ID]],2,3)</f>
        <v>109</v>
      </c>
      <c r="BC252" t="str">
        <f>RIGHT(Table1[[#This Row],[Product_ID]],3)</f>
        <v>109</v>
      </c>
      <c r="BD252" t="str">
        <f>LEFT(Table1[[#This Row],[Product_ID]],3)</f>
        <v>P10</v>
      </c>
      <c r="BE252" t="str">
        <f>_xlfn.XLOOKUP(Table1[[#This Row],[Product_ID]],AW:AW,BF:BF,,0)</f>
        <v>Backpack</v>
      </c>
      <c r="BF252" t="s">
        <v>479</v>
      </c>
      <c r="BG252">
        <f>LEN(Table1[[#This Row],[Product_Name]])</f>
        <v>8</v>
      </c>
      <c r="BH252" t="s">
        <v>224</v>
      </c>
      <c r="BI252">
        <f t="shared" si="28"/>
        <v>75</v>
      </c>
      <c r="BJ252" t="str">
        <f>SUBSTITUTE(Table1[[#This Row],[Category]],"Electronics","ELECTRONICS")</f>
        <v>Fashion</v>
      </c>
      <c r="BN252" t="s">
        <v>480</v>
      </c>
      <c r="BS252" s="14">
        <v>3</v>
      </c>
      <c r="BT252" s="3">
        <v>2299</v>
      </c>
      <c r="BU252" s="4">
        <v>10</v>
      </c>
      <c r="BV252" s="4" t="str">
        <f>IF(AND(Table1[[#This Row],[Quantity]]&gt;=3,Table1[[#This Row],[Discount_%]]&gt;=15%),"Bulk Discount","no")</f>
        <v>Bulk Discount</v>
      </c>
      <c r="BW252" s="4" t="str">
        <f>IF(AND(Table1[[#This Row],[Quantity]]&gt;3,Table1[[#This Row],[Discount_%]]&gt;15%),"Bulk Customer","Normal")</f>
        <v>Normal</v>
      </c>
      <c r="BX252" t="s">
        <v>135</v>
      </c>
      <c r="BY252" t="s">
        <v>136</v>
      </c>
      <c r="CC252" t="str">
        <f>IF(OR(Table1[[#This Row],[Order_Status]]="Returned",Table1[[#This Row],[Order_Status]]="Cancelled"),"Attention Required","Not")</f>
        <v>Not</v>
      </c>
      <c r="CD252" t="str">
        <f>IF(OR(Table1[[#This Row],[Order_Status]]="Returned",Table1[[#This Row],[Order_Status]]="Cancelled"),"Review","no")</f>
        <v>no</v>
      </c>
      <c r="CE252" t="str">
        <f>SUBSTITUTE(Table1[[#This Row],[Order_Status]],"Delivered","Completed")</f>
        <v>Completed</v>
      </c>
      <c r="CF252" s="2">
        <v>45671</v>
      </c>
      <c r="CG252" s="17">
        <f>NETWORKDAYS(Table1[[#This Row],[Order_Date]],Table1[[#This Row],[Delivery_Date]])</f>
        <v>4</v>
      </c>
      <c r="CH252" s="17">
        <f>Table1[[#This Row],[Delivery_Date]]-Table1[[#This Row],[Order_Date]]</f>
        <v>5</v>
      </c>
      <c r="CI252" t="s">
        <v>137</v>
      </c>
      <c r="CJ252" t="str">
        <f>IF(Table1[[#This Row],[Rating]]&gt;=4,"Good","Needs Improvement")</f>
        <v>Good</v>
      </c>
      <c r="CK252" t="str">
        <f>IF(OR(Table1[[#This Row],[Rating]]&lt;=2,Table1[[#This Row],[Profit]]&lt;0),"Review","NO")</f>
        <v>NO</v>
      </c>
      <c r="CL252" t="str" cm="1">
        <f t="array" ref="CL252">_xlfn.IFS(Table1[[#This Row],[Rating]]&gt;2,"Poor",Table1[[#This Row],[Rating]]=3,"Average",Table1[[#This Row],[Rating]]=4,"Good",CP252=5,"Excellent")</f>
        <v>Poor</v>
      </c>
      <c r="CM252">
        <f>COUNT(Table1[[#This Row],[Rating]])</f>
        <v>1</v>
      </c>
      <c r="CN252">
        <f>COUNTBLANK(Table1[[#This Row],[Rating]])</f>
        <v>0</v>
      </c>
      <c r="CP252" t="s">
        <v>138</v>
      </c>
      <c r="CQ252" s="14">
        <v>4</v>
      </c>
      <c r="CR252" t="s">
        <v>139</v>
      </c>
      <c r="CS252" t="s">
        <v>213</v>
      </c>
      <c r="CU252" s="3">
        <v>6207.3</v>
      </c>
      <c r="CV252" s="3">
        <f>ROUND(Table1[[#This Row],[Sales_Amount]],0)</f>
        <v>6207</v>
      </c>
      <c r="CW252" s="3"/>
      <c r="CX252" s="3"/>
      <c r="CY252" s="3" t="b">
        <f>IF(AND(Table1[[#This Row],[Sales_Amount]]&gt;=10000,Table1[[#This Row],[Profit]]&gt;0),"Good Order")</f>
        <v>0</v>
      </c>
      <c r="CZ252" s="3" t="str">
        <f>IF(Table1[[#This Row],[Sales_Amount]]&gt;=10000,"High","Normal")</f>
        <v>Normal</v>
      </c>
      <c r="DA252" s="3">
        <v>2457.3000000000002</v>
      </c>
      <c r="DB252" s="3">
        <f>ROUND(Table1[[#This Row],[Profit]],0)</f>
        <v>2457</v>
      </c>
      <c r="DC252" s="3">
        <f>ABS(Table1[[#This Row],[Profit]])</f>
        <v>2457.3000000000002</v>
      </c>
      <c r="DD252" s="3"/>
      <c r="DE252" s="3"/>
      <c r="DF252" s="3"/>
      <c r="DG252" s="3" t="str">
        <f>IF(Table1[[#This Row],[Profit]]&gt;0,"Profit","Loss")</f>
        <v>Profit</v>
      </c>
      <c r="DH252" s="3" t="str">
        <f>IF(AND(Table1[[#This Row],[Sales_Amount]]&gt;=10000,Table1[[#This Row],[Profit]]&gt;0),"Priority","Normal")</f>
        <v>Normal</v>
      </c>
      <c r="DI252" s="3">
        <f t="shared" ca="1" si="23"/>
        <v>0.54851372537653054</v>
      </c>
      <c r="DJ252" s="3">
        <f t="shared" ca="1" si="24"/>
        <v>31</v>
      </c>
      <c r="DK252" s="3"/>
      <c r="DL252" s="3"/>
      <c r="DM252" s="3"/>
      <c r="DN252" s="3"/>
      <c r="DO252" s="3"/>
      <c r="DP252" s="3"/>
    </row>
    <row r="253" spans="1:120">
      <c r="A253" t="s">
        <v>1197</v>
      </c>
      <c r="B253" t="str">
        <f>REPLACE(Table1[[#This Row],[Order_ID]],1,3,"YOO")</f>
        <v>YOO10252</v>
      </c>
      <c r="C253" t="str">
        <f>MID(Table1[[#This Row],[Order_ID]],4,4)</f>
        <v>1025</v>
      </c>
      <c r="D253" t="str">
        <f>LEFT(Table1[[#This Row],[Order_ID]],4)</f>
        <v>ORD1</v>
      </c>
      <c r="E253" t="str">
        <f>RIGHT(Table1[[#This Row],[Order_ID]],5)</f>
        <v>10252</v>
      </c>
      <c r="F253" t="s">
        <v>5</v>
      </c>
      <c r="G253">
        <v>10252</v>
      </c>
      <c r="H253" t="s">
        <v>1198</v>
      </c>
      <c r="I253" s="2">
        <f>EDATE(Table1[[#This Row],[Order_Date]],3)</f>
        <v>46000</v>
      </c>
      <c r="J253" s="2">
        <f>EDATE(Table1[[#This Row],[Order_Date]],6)</f>
        <v>46090</v>
      </c>
      <c r="K253">
        <f ca="1">YEAR(Table1[[#This Row],[Today]])</f>
        <v>2026</v>
      </c>
      <c r="L253">
        <v>252</v>
      </c>
      <c r="M253">
        <f ca="1">DAY(Table1[[#This Row],[Today]])</f>
        <v>11</v>
      </c>
      <c r="N253" s="19">
        <f t="shared" ca="1" si="27"/>
        <v>46245.589795370368</v>
      </c>
      <c r="O253" s="2">
        <f t="shared" ca="1" si="22"/>
        <v>46245</v>
      </c>
      <c r="P253" s="17">
        <f ca="1">Table1[[#This Row],[Today]]-Table1[[#This Row],[Order_Date]]</f>
        <v>336</v>
      </c>
      <c r="Q253" s="2">
        <v>45909</v>
      </c>
      <c r="R253" s="2">
        <v>45909</v>
      </c>
      <c r="S253" s="6">
        <f t="shared" si="25"/>
        <v>2025</v>
      </c>
      <c r="T253" s="7" t="str">
        <f t="shared" si="26"/>
        <v>September</v>
      </c>
      <c r="U253" s="2">
        <f>WORKDAY(Table1[[#This Row],[Order_Date]],5)</f>
        <v>45916</v>
      </c>
      <c r="V253" s="7" t="str">
        <f>CONCATENATE(Table1[[#This Row],[Customer_ID]],Table1[[#This Row],[Customer_Name]])</f>
        <v>C1139Sneha Mishra</v>
      </c>
      <c r="W253" t="s">
        <v>256</v>
      </c>
      <c r="X253" t="s">
        <v>496</v>
      </c>
      <c r="Y253">
        <f>COUNTA(Table1[[#This Row],[Customer_Name]])</f>
        <v>1</v>
      </c>
      <c r="Z253" t="str">
        <f>SUBSTITUTE(Table1[[#This Row],[Customer_Name]]," ","_")</f>
        <v>Sneha_Mishra</v>
      </c>
      <c r="AA253" s="10">
        <f>IFERROR(SEARCH("a",Table1[[#This Row],[Customer_Name]]),"N/A")</f>
        <v>5</v>
      </c>
      <c r="AB253">
        <f>SEARCH(" ",Table1[[#This Row],[Customer_Name]])</f>
        <v>6</v>
      </c>
      <c r="AC253" s="11">
        <f>IFERROR(FIND("a",Table1[[#This Row],[Customer_Name]]),"N/A")</f>
        <v>5</v>
      </c>
      <c r="AD253">
        <f>FIND(" ",Table1[[#This Row],[Customer_Name]])</f>
        <v>6</v>
      </c>
      <c r="AE253" t="str">
        <f>TRIM(Table1[[#This Row],[Customer_Name]])</f>
        <v>Sneha Mishra</v>
      </c>
      <c r="AF253">
        <f>LEN(Table1[[#This Row],[Trimmed]])</f>
        <v>12</v>
      </c>
      <c r="AG253">
        <f>MAX(Table1[Length])</f>
        <v>15</v>
      </c>
      <c r="AH253" t="str">
        <f>PROPER(Table1[[#This Row],[Customer_Name]])</f>
        <v>Sneha Mishra</v>
      </c>
      <c r="AI253" t="str">
        <f>LOWER(Table1[[#This Row],[Customer_Name]])</f>
        <v>sneha mishra</v>
      </c>
      <c r="AJ253" t="str">
        <f>UPPER(Table1[[#This Row],[Customer_Name]])</f>
        <v>SNEHA MISHRA</v>
      </c>
      <c r="AK253" t="str">
        <f>CONCATENATE(Table1[[#This Row],[Customer_ID]],Table1[[#This Row],[Customer_Name]])</f>
        <v>C1139Sneha Mishra</v>
      </c>
      <c r="AL253" t="s">
        <v>195</v>
      </c>
      <c r="AM253" t="s">
        <v>497</v>
      </c>
      <c r="AN253" t="s">
        <v>498</v>
      </c>
      <c r="AO253" t="s">
        <v>195</v>
      </c>
      <c r="AP253" t="s">
        <v>497</v>
      </c>
      <c r="AQ253" t="s">
        <v>304</v>
      </c>
      <c r="AR253" t="str">
        <f>TRIM(Table1[[#This Row],[City]])</f>
        <v>Chennai</v>
      </c>
      <c r="AS253" t="str">
        <f>PROPER(Table1[[#This Row],[City]])</f>
        <v>Chennai</v>
      </c>
      <c r="AT253" t="s">
        <v>305</v>
      </c>
      <c r="AU253" t="str">
        <f>CONCATENATE(Table1[[#This Row],[City]],Table1[[#This Row],[State]])</f>
        <v>ChennaiTamil Nadu</v>
      </c>
      <c r="AV253" t="s">
        <v>168</v>
      </c>
      <c r="AW253" t="s">
        <v>338</v>
      </c>
      <c r="AX253" t="str">
        <f>REPLACE(Table1[[#This Row],[Product_ID]],1,1,"s")</f>
        <v>s115</v>
      </c>
      <c r="AY253" t="s">
        <v>1199</v>
      </c>
      <c r="AZ253">
        <f>SEARCH("-",Table1[[#This Row],[Product ID]])</f>
        <v>2</v>
      </c>
      <c r="BA253">
        <f>FIND("-",Table1[[#This Row],[Product ID]])</f>
        <v>2</v>
      </c>
      <c r="BB253" t="str">
        <f>MID(Table1[[#This Row],[Product_ID]],2,3)</f>
        <v>115</v>
      </c>
      <c r="BC253" t="str">
        <f>RIGHT(Table1[[#This Row],[Product_ID]],3)</f>
        <v>115</v>
      </c>
      <c r="BD253" t="str">
        <f>LEFT(Table1[[#This Row],[Product_ID]],3)</f>
        <v>P11</v>
      </c>
      <c r="BE253" t="str">
        <f>_xlfn.XLOOKUP(Table1[[#This Row],[Product_ID]],AW:AW,BF:BF,,0)</f>
        <v>Dumbbell Set</v>
      </c>
      <c r="BF253" t="s">
        <v>340</v>
      </c>
      <c r="BG253">
        <f>LEN(Table1[[#This Row],[Product_Name]])</f>
        <v>12</v>
      </c>
      <c r="BH253" t="s">
        <v>264</v>
      </c>
      <c r="BI253">
        <f t="shared" si="28"/>
        <v>75</v>
      </c>
      <c r="BJ253" t="str">
        <f>SUBSTITUTE(Table1[[#This Row],[Category]],"Electronics","ELECTRONICS")</f>
        <v>Sports</v>
      </c>
      <c r="BN253" t="s">
        <v>265</v>
      </c>
      <c r="BS253" s="14">
        <v>2</v>
      </c>
      <c r="BT253" s="3">
        <v>2499</v>
      </c>
      <c r="BU253" s="4">
        <v>0</v>
      </c>
      <c r="BV253" s="4" t="str">
        <f>IF(AND(Table1[[#This Row],[Quantity]]&gt;=3,Table1[[#This Row],[Discount_%]]&gt;=15%),"Bulk Discount","no")</f>
        <v>no</v>
      </c>
      <c r="BW253" s="4" t="str">
        <f>IF(AND(Table1[[#This Row],[Quantity]]&gt;3,Table1[[#This Row],[Discount_%]]&gt;15%),"Bulk Customer","Normal")</f>
        <v>Normal</v>
      </c>
      <c r="BX253" t="s">
        <v>172</v>
      </c>
      <c r="BY253" t="s">
        <v>136</v>
      </c>
      <c r="CC253" t="str">
        <f>IF(OR(Table1[[#This Row],[Order_Status]]="Returned",Table1[[#This Row],[Order_Status]]="Cancelled"),"Attention Required","Not")</f>
        <v>Not</v>
      </c>
      <c r="CD253" t="str">
        <f>IF(OR(Table1[[#This Row],[Order_Status]]="Returned",Table1[[#This Row],[Order_Status]]="Cancelled"),"Review","no")</f>
        <v>no</v>
      </c>
      <c r="CE253" t="str">
        <f>SUBSTITUTE(Table1[[#This Row],[Order_Status]],"Delivered","Completed")</f>
        <v>Completed</v>
      </c>
      <c r="CF253" s="2">
        <v>45910</v>
      </c>
      <c r="CG253" s="17">
        <f>NETWORKDAYS(Table1[[#This Row],[Order_Date]],Table1[[#This Row],[Delivery_Date]])</f>
        <v>2</v>
      </c>
      <c r="CH253" s="17">
        <f>Table1[[#This Row],[Delivery_Date]]-Table1[[#This Row],[Order_Date]]</f>
        <v>1</v>
      </c>
      <c r="CI253" t="s">
        <v>137</v>
      </c>
      <c r="CJ253" t="str">
        <f>IF(Table1[[#This Row],[Rating]]&gt;=4,"Good","Needs Improvement")</f>
        <v>Good</v>
      </c>
      <c r="CK253" t="str">
        <f>IF(OR(Table1[[#This Row],[Rating]]&lt;=2,Table1[[#This Row],[Profit]]&lt;0),"Review","NO")</f>
        <v>NO</v>
      </c>
      <c r="CL253" t="str" cm="1">
        <f t="array" ref="CL253">_xlfn.IFS(Table1[[#This Row],[Rating]]&gt;2,"Poor",Table1[[#This Row],[Rating]]=3,"Average",Table1[[#This Row],[Rating]]=4,"Good",CP253=5,"Excellent")</f>
        <v>Poor</v>
      </c>
      <c r="CM253">
        <f>COUNT(Table1[[#This Row],[Rating]])</f>
        <v>1</v>
      </c>
      <c r="CN253">
        <f>COUNTBLANK(Table1[[#This Row],[Rating]])</f>
        <v>0</v>
      </c>
      <c r="CP253" t="s">
        <v>157</v>
      </c>
      <c r="CQ253" s="14">
        <v>4</v>
      </c>
      <c r="CR253" t="s">
        <v>139</v>
      </c>
      <c r="CS253" t="s">
        <v>213</v>
      </c>
      <c r="CU253" s="3">
        <v>4998</v>
      </c>
      <c r="CV253" s="3">
        <f>ROUND(Table1[[#This Row],[Sales_Amount]],0)</f>
        <v>4998</v>
      </c>
      <c r="CW253" s="3"/>
      <c r="CX253" s="3"/>
      <c r="CY253" s="3" t="b">
        <f>IF(AND(Table1[[#This Row],[Sales_Amount]]&gt;=10000,Table1[[#This Row],[Profit]]&gt;0),"Good Order")</f>
        <v>0</v>
      </c>
      <c r="CZ253" s="3" t="str">
        <f>IF(Table1[[#This Row],[Sales_Amount]]&gt;=10000,"High","Normal")</f>
        <v>Normal</v>
      </c>
      <c r="DA253" s="3">
        <v>2098</v>
      </c>
      <c r="DB253" s="3">
        <f>ROUND(Table1[[#This Row],[Profit]],0)</f>
        <v>2098</v>
      </c>
      <c r="DC253" s="3">
        <f>ABS(Table1[[#This Row],[Profit]])</f>
        <v>2098</v>
      </c>
      <c r="DD253" s="3"/>
      <c r="DE253" s="3"/>
      <c r="DF253" s="3"/>
      <c r="DG253" s="3" t="str">
        <f>IF(Table1[[#This Row],[Profit]]&gt;0,"Profit","Loss")</f>
        <v>Profit</v>
      </c>
      <c r="DH253" s="3" t="str">
        <f>IF(AND(Table1[[#This Row],[Sales_Amount]]&gt;=10000,Table1[[#This Row],[Profit]]&gt;0),"Priority","Normal")</f>
        <v>Normal</v>
      </c>
      <c r="DI253" s="3">
        <f t="shared" ca="1" si="23"/>
        <v>0.88149187835432774</v>
      </c>
      <c r="DJ253" s="3">
        <f t="shared" ca="1" si="24"/>
        <v>59</v>
      </c>
      <c r="DK253" s="3"/>
      <c r="DL253" s="3"/>
      <c r="DM253" s="3"/>
      <c r="DN253" s="3"/>
      <c r="DO253" s="3"/>
      <c r="DP253" s="3"/>
    </row>
    <row r="254" spans="1:120">
      <c r="A254" t="s">
        <v>1200</v>
      </c>
      <c r="B254" t="str">
        <f>REPLACE(Table1[[#This Row],[Order_ID]],1,3,"YOO")</f>
        <v>YOO10253</v>
      </c>
      <c r="C254" t="str">
        <f>MID(Table1[[#This Row],[Order_ID]],4,4)</f>
        <v>1025</v>
      </c>
      <c r="D254" t="str">
        <f>LEFT(Table1[[#This Row],[Order_ID]],4)</f>
        <v>ORD1</v>
      </c>
      <c r="E254" t="str">
        <f>RIGHT(Table1[[#This Row],[Order_ID]],5)</f>
        <v>10253</v>
      </c>
      <c r="F254" t="s">
        <v>5</v>
      </c>
      <c r="G254">
        <v>10253</v>
      </c>
      <c r="H254" t="s">
        <v>1201</v>
      </c>
      <c r="I254" s="2">
        <f>EDATE(Table1[[#This Row],[Order_Date]],3)</f>
        <v>46064</v>
      </c>
      <c r="J254" s="2">
        <f>EDATE(Table1[[#This Row],[Order_Date]],6)</f>
        <v>46153</v>
      </c>
      <c r="K254">
        <f ca="1">YEAR(Table1[[#This Row],[Today]])</f>
        <v>2026</v>
      </c>
      <c r="L254">
        <v>253</v>
      </c>
      <c r="M254">
        <f ca="1">DAY(Table1[[#This Row],[Today]])</f>
        <v>11</v>
      </c>
      <c r="N254" s="19">
        <f t="shared" ca="1" si="27"/>
        <v>46245.589795138891</v>
      </c>
      <c r="O254" s="2">
        <f t="shared" ca="1" si="22"/>
        <v>46245</v>
      </c>
      <c r="P254" s="17">
        <f ca="1">Table1[[#This Row],[Today]]-Table1[[#This Row],[Order_Date]]</f>
        <v>273</v>
      </c>
      <c r="Q254" s="2">
        <v>45910</v>
      </c>
      <c r="R254" s="2">
        <v>45972</v>
      </c>
      <c r="S254" s="6">
        <f t="shared" si="25"/>
        <v>2025</v>
      </c>
      <c r="T254" s="7" t="str">
        <f t="shared" si="26"/>
        <v>November</v>
      </c>
      <c r="U254" s="2">
        <f>WORKDAY(Table1[[#This Row],[Order_Date]],5)</f>
        <v>45979</v>
      </c>
      <c r="V254" s="7" t="str">
        <f>CONCATENATE(Table1[[#This Row],[Customer_ID]],Table1[[#This Row],[Customer_Name]])</f>
        <v>C1126Priya Verma</v>
      </c>
      <c r="W254" t="s">
        <v>568</v>
      </c>
      <c r="X254" t="s">
        <v>335</v>
      </c>
      <c r="Y254">
        <f>COUNTA(Table1[[#This Row],[Customer_Name]])</f>
        <v>1</v>
      </c>
      <c r="Z254" t="str">
        <f>SUBSTITUTE(Table1[[#This Row],[Customer_Name]]," ","_")</f>
        <v>Priya_Verma</v>
      </c>
      <c r="AA254" s="10">
        <f>IFERROR(SEARCH("a",Table1[[#This Row],[Customer_Name]]),"N/A")</f>
        <v>5</v>
      </c>
      <c r="AB254">
        <f>SEARCH(" ",Table1[[#This Row],[Customer_Name]])</f>
        <v>6</v>
      </c>
      <c r="AC254" s="11">
        <f>IFERROR(FIND("a",Table1[[#This Row],[Customer_Name]]),"N/A")</f>
        <v>5</v>
      </c>
      <c r="AD254">
        <f>FIND(" ",Table1[[#This Row],[Customer_Name]])</f>
        <v>6</v>
      </c>
      <c r="AE254" t="str">
        <f>TRIM(Table1[[#This Row],[Customer_Name]])</f>
        <v>Priya Verma</v>
      </c>
      <c r="AF254">
        <f>LEN(Table1[[#This Row],[Trimmed]])</f>
        <v>11</v>
      </c>
      <c r="AG254">
        <f>MAX(Table1[Length])</f>
        <v>15</v>
      </c>
      <c r="AH254" t="str">
        <f>PROPER(Table1[[#This Row],[Customer_Name]])</f>
        <v>Priya Verma</v>
      </c>
      <c r="AI254" t="str">
        <f>LOWER(Table1[[#This Row],[Customer_Name]])</f>
        <v>priya verma</v>
      </c>
      <c r="AJ254" t="str">
        <f>UPPER(Table1[[#This Row],[Customer_Name]])</f>
        <v>PRIYA VERMA</v>
      </c>
      <c r="AK254" t="str">
        <f>CONCATENATE(Table1[[#This Row],[Customer_ID]],Table1[[#This Row],[Customer_Name]])</f>
        <v>C1126Priya Verma</v>
      </c>
      <c r="AL254" t="s">
        <v>174</v>
      </c>
      <c r="AM254" t="s">
        <v>336</v>
      </c>
      <c r="AN254" t="s">
        <v>337</v>
      </c>
      <c r="AO254" t="s">
        <v>174</v>
      </c>
      <c r="AP254" t="s">
        <v>336</v>
      </c>
      <c r="AQ254" t="s">
        <v>423</v>
      </c>
      <c r="AR254" t="str">
        <f>TRIM(Table1[[#This Row],[City]])</f>
        <v>Ahmedabad</v>
      </c>
      <c r="AS254" t="str">
        <f>PROPER(Table1[[#This Row],[City]])</f>
        <v>Ahmedabad</v>
      </c>
      <c r="AT254" t="s">
        <v>424</v>
      </c>
      <c r="AU254" t="str">
        <f>CONCATENATE(Table1[[#This Row],[City]],Table1[[#This Row],[State]])</f>
        <v>AhmedabadGujarat</v>
      </c>
      <c r="AV254" t="s">
        <v>129</v>
      </c>
      <c r="AW254" t="s">
        <v>236</v>
      </c>
      <c r="AX254" t="str">
        <f>REPLACE(Table1[[#This Row],[Product_ID]],1,1,"s")</f>
        <v>s107</v>
      </c>
      <c r="AY254" t="s">
        <v>1202</v>
      </c>
      <c r="AZ254">
        <f>SEARCH("-",Table1[[#This Row],[Product ID]])</f>
        <v>2</v>
      </c>
      <c r="BA254">
        <f>FIND("-",Table1[[#This Row],[Product ID]])</f>
        <v>2</v>
      </c>
      <c r="BB254" t="str">
        <f>MID(Table1[[#This Row],[Product_ID]],2,3)</f>
        <v>107</v>
      </c>
      <c r="BC254" t="str">
        <f>RIGHT(Table1[[#This Row],[Product_ID]],3)</f>
        <v>107</v>
      </c>
      <c r="BD254" t="str">
        <f>LEFT(Table1[[#This Row],[Product_ID]],3)</f>
        <v>P10</v>
      </c>
      <c r="BE254" t="str">
        <f>_xlfn.XLOOKUP(Table1[[#This Row],[Product_ID]],AW:AW,BF:BF,,0)</f>
        <v>Casual Sneakers</v>
      </c>
      <c r="BF254" t="s">
        <v>238</v>
      </c>
      <c r="BG254">
        <f>LEN(Table1[[#This Row],[Product_Name]])</f>
        <v>15</v>
      </c>
      <c r="BH254" t="s">
        <v>224</v>
      </c>
      <c r="BI254">
        <f t="shared" si="28"/>
        <v>75</v>
      </c>
      <c r="BJ254" t="str">
        <f>SUBSTITUTE(Table1[[#This Row],[Category]],"Electronics","ELECTRONICS")</f>
        <v>Fashion</v>
      </c>
      <c r="BN254" t="s">
        <v>225</v>
      </c>
      <c r="BS254" s="14">
        <v>1</v>
      </c>
      <c r="BT254" s="3">
        <v>2799</v>
      </c>
      <c r="BU254" s="4">
        <v>10</v>
      </c>
      <c r="BV254" s="4" t="str">
        <f>IF(AND(Table1[[#This Row],[Quantity]]&gt;=3,Table1[[#This Row],[Discount_%]]&gt;=15%),"Bulk Discount","no")</f>
        <v>no</v>
      </c>
      <c r="BW254" s="4" t="str">
        <f>IF(AND(Table1[[#This Row],[Quantity]]&gt;3,Table1[[#This Row],[Discount_%]]&gt;15%),"Bulk Customer","Normal")</f>
        <v>Normal</v>
      </c>
      <c r="BX254" t="s">
        <v>187</v>
      </c>
      <c r="BY254" t="s">
        <v>156</v>
      </c>
      <c r="CC254" t="str">
        <f>IF(OR(Table1[[#This Row],[Order_Status]]="Returned",Table1[[#This Row],[Order_Status]]="Cancelled"),"Attention Required","Not")</f>
        <v>Attention Required</v>
      </c>
      <c r="CD254" t="str">
        <f>IF(OR(Table1[[#This Row],[Order_Status]]="Returned",Table1[[#This Row],[Order_Status]]="Cancelled"),"Review","no")</f>
        <v>Review</v>
      </c>
      <c r="CE254" t="str">
        <f>SUBSTITUTE(Table1[[#This Row],[Order_Status]],"Delivered","Completed")</f>
        <v>Cancelled</v>
      </c>
      <c r="CF254" s="2">
        <v>45976</v>
      </c>
      <c r="CG254" s="17">
        <f>NETWORKDAYS(Table1[[#This Row],[Order_Date]],Table1[[#This Row],[Delivery_Date]])</f>
        <v>4</v>
      </c>
      <c r="CH254" s="17">
        <f>Table1[[#This Row],[Delivery_Date]]-Table1[[#This Row],[Order_Date]]</f>
        <v>4</v>
      </c>
      <c r="CI254" t="s">
        <v>137</v>
      </c>
      <c r="CJ254" t="str">
        <f>IF(Table1[[#This Row],[Rating]]&gt;=4,"Good","Needs Improvement")</f>
        <v>Good</v>
      </c>
      <c r="CK254" t="str">
        <f>IF(OR(Table1[[#This Row],[Rating]]&lt;=2,Table1[[#This Row],[Profit]]&lt;0),"Review","NO")</f>
        <v>NO</v>
      </c>
      <c r="CL254" t="str" cm="1">
        <f t="array" ref="CL254">_xlfn.IFS(Table1[[#This Row],[Rating]]&gt;2,"Poor",Table1[[#This Row],[Rating]]=3,"Average",Table1[[#This Row],[Rating]]=4,"Good",CP254=5,"Excellent")</f>
        <v>Poor</v>
      </c>
      <c r="CM254">
        <f>COUNT(Table1[[#This Row],[Rating]])</f>
        <v>1</v>
      </c>
      <c r="CN254">
        <f>COUNTBLANK(Table1[[#This Row],[Rating]])</f>
        <v>0</v>
      </c>
      <c r="CQ254" s="14">
        <v>5</v>
      </c>
      <c r="CR254" t="s">
        <v>173</v>
      </c>
      <c r="CS254" t="s">
        <v>140</v>
      </c>
      <c r="CU254" s="3">
        <v>2519.1</v>
      </c>
      <c r="CV254" s="3">
        <f>ROUND(Table1[[#This Row],[Sales_Amount]],0)</f>
        <v>2519</v>
      </c>
      <c r="CW254" s="3"/>
      <c r="CX254" s="3"/>
      <c r="CY254" s="3" t="b">
        <f>IF(AND(Table1[[#This Row],[Sales_Amount]]&gt;=10000,Table1[[#This Row],[Profit]]&gt;0),"Good Order")</f>
        <v>0</v>
      </c>
      <c r="CZ254" s="3" t="str">
        <f>IF(Table1[[#This Row],[Sales_Amount]]&gt;=10000,"High","Normal")</f>
        <v>Normal</v>
      </c>
      <c r="DA254" s="3">
        <v>1019.1</v>
      </c>
      <c r="DB254" s="3">
        <f>ROUND(Table1[[#This Row],[Profit]],0)</f>
        <v>1019</v>
      </c>
      <c r="DC254" s="3">
        <f>ABS(Table1[[#This Row],[Profit]])</f>
        <v>1019.1</v>
      </c>
      <c r="DD254" s="3"/>
      <c r="DE254" s="3"/>
      <c r="DF254" s="3"/>
      <c r="DG254" s="3" t="str">
        <f>IF(Table1[[#This Row],[Profit]]&gt;0,"Profit","Loss")</f>
        <v>Profit</v>
      </c>
      <c r="DH254" s="3" t="str">
        <f>IF(AND(Table1[[#This Row],[Sales_Amount]]&gt;=10000,Table1[[#This Row],[Profit]]&gt;0),"Priority","Normal")</f>
        <v>Normal</v>
      </c>
      <c r="DI254" s="3">
        <f t="shared" ca="1" si="23"/>
        <v>0.36816694414558315</v>
      </c>
      <c r="DJ254" s="3">
        <f t="shared" ca="1" si="24"/>
        <v>69</v>
      </c>
      <c r="DK254" s="3"/>
      <c r="DL254" s="3"/>
      <c r="DM254" s="3"/>
      <c r="DN254" s="3"/>
      <c r="DO254" s="3"/>
      <c r="DP254" s="3"/>
    </row>
    <row r="255" spans="1:120">
      <c r="A255" t="s">
        <v>1203</v>
      </c>
      <c r="B255" t="str">
        <f>REPLACE(Table1[[#This Row],[Order_ID]],1,3,"YOO")</f>
        <v>YOO10254</v>
      </c>
      <c r="C255" t="str">
        <f>MID(Table1[[#This Row],[Order_ID]],4,4)</f>
        <v>1025</v>
      </c>
      <c r="D255" t="str">
        <f>LEFT(Table1[[#This Row],[Order_ID]],4)</f>
        <v>ORD1</v>
      </c>
      <c r="E255" t="str">
        <f>RIGHT(Table1[[#This Row],[Order_ID]],5)</f>
        <v>10254</v>
      </c>
      <c r="F255" t="s">
        <v>5</v>
      </c>
      <c r="G255">
        <v>10254</v>
      </c>
      <c r="H255" t="s">
        <v>1204</v>
      </c>
      <c r="I255" s="2">
        <f>EDATE(Table1[[#This Row],[Order_Date]],3)</f>
        <v>46282</v>
      </c>
      <c r="J255" s="2">
        <f>EDATE(Table1[[#This Row],[Order_Date]],6)</f>
        <v>46373</v>
      </c>
      <c r="K255">
        <f ca="1">YEAR(Table1[[#This Row],[Today]])</f>
        <v>2026</v>
      </c>
      <c r="L255">
        <v>254</v>
      </c>
      <c r="M255">
        <f ca="1">DAY(Table1[[#This Row],[Today]])</f>
        <v>11</v>
      </c>
      <c r="N255" s="19">
        <f t="shared" ca="1" si="27"/>
        <v>46245.589795370368</v>
      </c>
      <c r="O255" s="2">
        <f t="shared" ca="1" si="22"/>
        <v>46245</v>
      </c>
      <c r="P255" s="17">
        <f ca="1">Table1[[#This Row],[Today]]-Table1[[#This Row],[Order_Date]]</f>
        <v>55</v>
      </c>
      <c r="Q255" s="2">
        <v>45911</v>
      </c>
      <c r="R255" s="2">
        <v>46190</v>
      </c>
      <c r="S255" s="6">
        <f t="shared" si="25"/>
        <v>2026</v>
      </c>
      <c r="T255" s="7" t="str">
        <f t="shared" si="26"/>
        <v>June</v>
      </c>
      <c r="U255" s="2">
        <f>WORKDAY(Table1[[#This Row],[Order_Date]],5)</f>
        <v>46197</v>
      </c>
      <c r="V255" s="7" t="str">
        <f>CONCATENATE(Table1[[#This Row],[Customer_ID]],Table1[[#This Row],[Customer_Name]])</f>
        <v>C1130Rohan Mehta</v>
      </c>
      <c r="W255" t="s">
        <v>593</v>
      </c>
      <c r="X255" t="s">
        <v>388</v>
      </c>
      <c r="Y255">
        <f>COUNTA(Table1[[#This Row],[Customer_Name]])</f>
        <v>1</v>
      </c>
      <c r="Z255" t="str">
        <f>SUBSTITUTE(Table1[[#This Row],[Customer_Name]]," ","_")</f>
        <v>Rohan_Mehta</v>
      </c>
      <c r="AA255" s="10">
        <f>IFERROR(SEARCH("a",Table1[[#This Row],[Customer_Name]]),"N/A")</f>
        <v>4</v>
      </c>
      <c r="AB255">
        <f>SEARCH(" ",Table1[[#This Row],[Customer_Name]])</f>
        <v>6</v>
      </c>
      <c r="AC255" s="11">
        <f>IFERROR(FIND("a",Table1[[#This Row],[Customer_Name]]),"N/A")</f>
        <v>4</v>
      </c>
      <c r="AD255">
        <f>FIND(" ",Table1[[#This Row],[Customer_Name]])</f>
        <v>6</v>
      </c>
      <c r="AE255" t="str">
        <f>TRIM(Table1[[#This Row],[Customer_Name]])</f>
        <v>Rohan Mehta</v>
      </c>
      <c r="AF255">
        <f>LEN(Table1[[#This Row],[Trimmed]])</f>
        <v>11</v>
      </c>
      <c r="AG255">
        <f>MAX(Table1[Length])</f>
        <v>15</v>
      </c>
      <c r="AH255" t="str">
        <f>PROPER(Table1[[#This Row],[Customer_Name]])</f>
        <v>Rohan Mehta</v>
      </c>
      <c r="AI255" t="str">
        <f>LOWER(Table1[[#This Row],[Customer_Name]])</f>
        <v>rohan mehta</v>
      </c>
      <c r="AJ255" t="str">
        <f>UPPER(Table1[[#This Row],[Customer_Name]])</f>
        <v>ROHAN MEHTA</v>
      </c>
      <c r="AK255" t="str">
        <f>CONCATENATE(Table1[[#This Row],[Customer_ID]],Table1[[#This Row],[Customer_Name]])</f>
        <v>C1130Rohan Mehta</v>
      </c>
      <c r="AL255" t="s">
        <v>389</v>
      </c>
      <c r="AM255" t="s">
        <v>390</v>
      </c>
      <c r="AN255" t="s">
        <v>391</v>
      </c>
      <c r="AO255" t="s">
        <v>389</v>
      </c>
      <c r="AP255" t="s">
        <v>390</v>
      </c>
      <c r="AQ255" t="s">
        <v>148</v>
      </c>
      <c r="AR255" t="str">
        <f>TRIM(Table1[[#This Row],[City]])</f>
        <v>Jaipur</v>
      </c>
      <c r="AS255" t="str">
        <f>PROPER(Table1[[#This Row],[City]])</f>
        <v>Jaipur</v>
      </c>
      <c r="AT255" t="s">
        <v>149</v>
      </c>
      <c r="AU255" t="str">
        <f>CONCATENATE(Table1[[#This Row],[City]],Table1[[#This Row],[State]])</f>
        <v>JaipurRajasthan</v>
      </c>
      <c r="AV255" t="s">
        <v>150</v>
      </c>
      <c r="AW255" t="s">
        <v>275</v>
      </c>
      <c r="AX255" t="str">
        <f>REPLACE(Table1[[#This Row],[Product_ID]],1,1,"s")</f>
        <v>s101</v>
      </c>
      <c r="AY255" t="s">
        <v>1205</v>
      </c>
      <c r="AZ255">
        <f>SEARCH("-",Table1[[#This Row],[Product ID]])</f>
        <v>2</v>
      </c>
      <c r="BA255">
        <f>FIND("-",Table1[[#This Row],[Product ID]])</f>
        <v>2</v>
      </c>
      <c r="BB255" t="str">
        <f>MID(Table1[[#This Row],[Product_ID]],2,3)</f>
        <v>101</v>
      </c>
      <c r="BC255" t="str">
        <f>RIGHT(Table1[[#This Row],[Product_ID]],3)</f>
        <v>101</v>
      </c>
      <c r="BD255" t="str">
        <f>LEFT(Table1[[#This Row],[Product_ID]],3)</f>
        <v>P10</v>
      </c>
      <c r="BE255" t="str">
        <f>_xlfn.XLOOKUP(Table1[[#This Row],[Product_ID]],AW:AW,BF:BF,,0)</f>
        <v>Wireless Mouse</v>
      </c>
      <c r="BF255" t="s">
        <v>277</v>
      </c>
      <c r="BG255">
        <f>LEN(Table1[[#This Row],[Product_Name]])</f>
        <v>14</v>
      </c>
      <c r="BH255" t="s">
        <v>154</v>
      </c>
      <c r="BI255">
        <f t="shared" si="28"/>
        <v>75</v>
      </c>
      <c r="BJ255" t="str">
        <f>SUBSTITUTE(Table1[[#This Row],[Category]],"Electronics","ELECTRONICS")</f>
        <v>ELECTRONICS</v>
      </c>
      <c r="BN255" t="s">
        <v>155</v>
      </c>
      <c r="BS255" s="14">
        <v>4</v>
      </c>
      <c r="BT255" s="3">
        <v>799</v>
      </c>
      <c r="BU255" s="4">
        <v>15</v>
      </c>
      <c r="BV255" s="4" t="str">
        <f>IF(AND(Table1[[#This Row],[Quantity]]&gt;=3,Table1[[#This Row],[Discount_%]]&gt;=15%),"Bulk Discount","no")</f>
        <v>Bulk Discount</v>
      </c>
      <c r="BW255" s="4" t="str">
        <f>IF(AND(Table1[[#This Row],[Quantity]]&gt;3,Table1[[#This Row],[Discount_%]]&gt;15%),"Bulk Customer","Normal")</f>
        <v>Bulk Customer</v>
      </c>
      <c r="BX255" t="s">
        <v>330</v>
      </c>
      <c r="BY255" t="s">
        <v>136</v>
      </c>
      <c r="CC255" t="str">
        <f>IF(OR(Table1[[#This Row],[Order_Status]]="Returned",Table1[[#This Row],[Order_Status]]="Cancelled"),"Attention Required","Not")</f>
        <v>Not</v>
      </c>
      <c r="CD255" t="str">
        <f>IF(OR(Table1[[#This Row],[Order_Status]]="Returned",Table1[[#This Row],[Order_Status]]="Cancelled"),"Review","no")</f>
        <v>no</v>
      </c>
      <c r="CE255" t="str">
        <f>SUBSTITUTE(Table1[[#This Row],[Order_Status]],"Delivered","Completed")</f>
        <v>Completed</v>
      </c>
      <c r="CF255" s="2">
        <v>46192</v>
      </c>
      <c r="CG255" s="17">
        <f>NETWORKDAYS(Table1[[#This Row],[Order_Date]],Table1[[#This Row],[Delivery_Date]])</f>
        <v>3</v>
      </c>
      <c r="CH255" s="17">
        <f>Table1[[#This Row],[Delivery_Date]]-Table1[[#This Row],[Order_Date]]</f>
        <v>2</v>
      </c>
      <c r="CI255" t="s">
        <v>137</v>
      </c>
      <c r="CJ255" t="str">
        <f>IF(Table1[[#This Row],[Rating]]&gt;=4,"Good","Needs Improvement")</f>
        <v>Needs Improvement</v>
      </c>
      <c r="CK255" t="str">
        <f>IF(OR(Table1[[#This Row],[Rating]]&lt;=2,Table1[[#This Row],[Profit]]&lt;0),"Review","NO")</f>
        <v>Review</v>
      </c>
      <c r="CL255" t="e" cm="1">
        <f t="array" ref="CL255">_xlfn.IFS(Table1[[#This Row],[Rating]]&gt;2,"Poor",Table1[[#This Row],[Rating]]=3,"Average",Table1[[#This Row],[Rating]]=4,"Good",CP255=5,"Excellent")</f>
        <v>#N/A</v>
      </c>
      <c r="CM255">
        <f>COUNT(Table1[[#This Row],[Rating]])</f>
        <v>1</v>
      </c>
      <c r="CN255">
        <f>COUNTBLANK(Table1[[#This Row],[Rating]])</f>
        <v>0</v>
      </c>
      <c r="CP255" t="s">
        <v>331</v>
      </c>
      <c r="CQ255" s="14">
        <v>2</v>
      </c>
      <c r="CR255" t="s">
        <v>204</v>
      </c>
      <c r="CS255" t="s">
        <v>174</v>
      </c>
      <c r="CU255" s="3">
        <v>2716.6</v>
      </c>
      <c r="CV255" s="3">
        <f>ROUND(Table1[[#This Row],[Sales_Amount]],0)</f>
        <v>2717</v>
      </c>
      <c r="CW255" s="3"/>
      <c r="CX255" s="3"/>
      <c r="CY255" s="3" t="b">
        <f>IF(AND(Table1[[#This Row],[Sales_Amount]]&gt;=10000,Table1[[#This Row],[Profit]]&gt;0),"Good Order")</f>
        <v>0</v>
      </c>
      <c r="CZ255" s="3" t="str">
        <f>IF(Table1[[#This Row],[Sales_Amount]]&gt;=10000,"High","Normal")</f>
        <v>Normal</v>
      </c>
      <c r="DA255" s="3">
        <v>1036.5999999999999</v>
      </c>
      <c r="DB255" s="3">
        <f>ROUND(Table1[[#This Row],[Profit]],0)</f>
        <v>1037</v>
      </c>
      <c r="DC255" s="3">
        <f>ABS(Table1[[#This Row],[Profit]])</f>
        <v>1036.5999999999999</v>
      </c>
      <c r="DD255" s="3"/>
      <c r="DE255" s="3"/>
      <c r="DF255" s="3"/>
      <c r="DG255" s="3" t="str">
        <f>IF(Table1[[#This Row],[Profit]]&gt;0,"Profit","Loss")</f>
        <v>Profit</v>
      </c>
      <c r="DH255" s="3" t="str">
        <f>IF(AND(Table1[[#This Row],[Sales_Amount]]&gt;=10000,Table1[[#This Row],[Profit]]&gt;0),"Priority","Normal")</f>
        <v>Normal</v>
      </c>
      <c r="DI255" s="3">
        <f t="shared" ca="1" si="23"/>
        <v>0.34350397268062682</v>
      </c>
      <c r="DJ255" s="3">
        <f t="shared" ca="1" si="24"/>
        <v>55</v>
      </c>
      <c r="DK255" s="3"/>
      <c r="DL255" s="3"/>
      <c r="DM255" s="3"/>
      <c r="DN255" s="3"/>
      <c r="DO255" s="3"/>
      <c r="DP255" s="3"/>
    </row>
    <row r="256" spans="1:120">
      <c r="A256" t="s">
        <v>1206</v>
      </c>
      <c r="B256" t="str">
        <f>REPLACE(Table1[[#This Row],[Order_ID]],1,3,"YOO")</f>
        <v>YOO10255</v>
      </c>
      <c r="C256" t="str">
        <f>MID(Table1[[#This Row],[Order_ID]],4,4)</f>
        <v>1025</v>
      </c>
      <c r="D256" t="str">
        <f>LEFT(Table1[[#This Row],[Order_ID]],4)</f>
        <v>ORD1</v>
      </c>
      <c r="E256" t="str">
        <f>RIGHT(Table1[[#This Row],[Order_ID]],5)</f>
        <v>10255</v>
      </c>
      <c r="F256" t="s">
        <v>5</v>
      </c>
      <c r="G256">
        <v>10255</v>
      </c>
      <c r="H256" t="s">
        <v>1207</v>
      </c>
      <c r="I256" s="2">
        <f>EDATE(Table1[[#This Row],[Order_Date]],3)</f>
        <v>45883</v>
      </c>
      <c r="J256" s="2">
        <f>EDATE(Table1[[#This Row],[Order_Date]],6)</f>
        <v>45975</v>
      </c>
      <c r="K256">
        <f ca="1">YEAR(Table1[[#This Row],[Today]])</f>
        <v>2026</v>
      </c>
      <c r="L256">
        <v>255</v>
      </c>
      <c r="M256">
        <f ca="1">DAY(Table1[[#This Row],[Today]])</f>
        <v>11</v>
      </c>
      <c r="N256" s="19">
        <f t="shared" ca="1" si="27"/>
        <v>46245.589795370368</v>
      </c>
      <c r="O256" s="2">
        <f t="shared" ca="1" si="22"/>
        <v>46245</v>
      </c>
      <c r="P256" s="17">
        <f ca="1">Table1[[#This Row],[Today]]-Table1[[#This Row],[Order_Date]]</f>
        <v>454</v>
      </c>
      <c r="Q256" s="2">
        <v>45912</v>
      </c>
      <c r="R256" s="2">
        <v>45791</v>
      </c>
      <c r="S256" s="6">
        <f t="shared" si="25"/>
        <v>2025</v>
      </c>
      <c r="T256" s="7" t="str">
        <f t="shared" si="26"/>
        <v>May</v>
      </c>
      <c r="U256" s="2">
        <f>WORKDAY(Table1[[#This Row],[Order_Date]],5)</f>
        <v>45798</v>
      </c>
      <c r="V256" s="7" t="str">
        <f>CONCATENATE(Table1[[#This Row],[Customer_ID]],Table1[[#This Row],[Customer_Name]])</f>
        <v>C1084Arjun Rao</v>
      </c>
      <c r="W256" t="s">
        <v>944</v>
      </c>
      <c r="X256" t="s">
        <v>355</v>
      </c>
      <c r="Y256">
        <f>COUNTA(Table1[[#This Row],[Customer_Name]])</f>
        <v>1</v>
      </c>
      <c r="Z256" t="str">
        <f>SUBSTITUTE(Table1[[#This Row],[Customer_Name]]," ","_")</f>
        <v>Arjun_Rao</v>
      </c>
      <c r="AA256" s="10">
        <f>IFERROR(SEARCH("a",Table1[[#This Row],[Customer_Name]]),"N/A")</f>
        <v>1</v>
      </c>
      <c r="AB256">
        <f>SEARCH(" ",Table1[[#This Row],[Customer_Name]])</f>
        <v>6</v>
      </c>
      <c r="AC256" s="11">
        <f>IFERROR(FIND("a",Table1[[#This Row],[Customer_Name]]),"N/A")</f>
        <v>8</v>
      </c>
      <c r="AD256">
        <f>FIND(" ",Table1[[#This Row],[Customer_Name]])</f>
        <v>6</v>
      </c>
      <c r="AE256" t="str">
        <f>TRIM(Table1[[#This Row],[Customer_Name]])</f>
        <v>Arjun Rao</v>
      </c>
      <c r="AF256">
        <f>LEN(Table1[[#This Row],[Trimmed]])</f>
        <v>9</v>
      </c>
      <c r="AG256">
        <f>MAX(Table1[Length])</f>
        <v>15</v>
      </c>
      <c r="AH256" t="str">
        <f>PROPER(Table1[[#This Row],[Customer_Name]])</f>
        <v>Arjun Rao</v>
      </c>
      <c r="AI256" t="str">
        <f>LOWER(Table1[[#This Row],[Customer_Name]])</f>
        <v>arjun rao</v>
      </c>
      <c r="AJ256" t="str">
        <f>UPPER(Table1[[#This Row],[Customer_Name]])</f>
        <v>ARJUN RAO</v>
      </c>
      <c r="AK256" t="str">
        <f>CONCATENATE(Table1[[#This Row],[Customer_ID]],Table1[[#This Row],[Customer_Name]])</f>
        <v>C1084Arjun Rao</v>
      </c>
      <c r="AL256" t="s">
        <v>356</v>
      </c>
      <c r="AM256" t="s">
        <v>357</v>
      </c>
      <c r="AN256" t="s">
        <v>358</v>
      </c>
      <c r="AO256" t="s">
        <v>356</v>
      </c>
      <c r="AP256" t="s">
        <v>357</v>
      </c>
      <c r="AQ256" t="s">
        <v>166</v>
      </c>
      <c r="AR256" t="str">
        <f>TRIM(Table1[[#This Row],[City]])</f>
        <v>Bengaluru</v>
      </c>
      <c r="AS256" t="str">
        <f>PROPER(Table1[[#This Row],[City]])</f>
        <v>Bengaluru</v>
      </c>
      <c r="AT256" t="s">
        <v>167</v>
      </c>
      <c r="AU256" t="str">
        <f>CONCATENATE(Table1[[#This Row],[City]],Table1[[#This Row],[State]])</f>
        <v>BengaluruKarnataka</v>
      </c>
      <c r="AV256" t="s">
        <v>168</v>
      </c>
      <c r="AW256" t="s">
        <v>275</v>
      </c>
      <c r="AX256" t="str">
        <f>REPLACE(Table1[[#This Row],[Product_ID]],1,1,"s")</f>
        <v>s101</v>
      </c>
      <c r="AY256" t="s">
        <v>1208</v>
      </c>
      <c r="AZ256">
        <f>SEARCH("-",Table1[[#This Row],[Product ID]])</f>
        <v>2</v>
      </c>
      <c r="BA256">
        <f>FIND("-",Table1[[#This Row],[Product ID]])</f>
        <v>2</v>
      </c>
      <c r="BB256" t="str">
        <f>MID(Table1[[#This Row],[Product_ID]],2,3)</f>
        <v>101</v>
      </c>
      <c r="BC256" t="str">
        <f>RIGHT(Table1[[#This Row],[Product_ID]],3)</f>
        <v>101</v>
      </c>
      <c r="BD256" t="str">
        <f>LEFT(Table1[[#This Row],[Product_ID]],3)</f>
        <v>P10</v>
      </c>
      <c r="BE256" t="str">
        <f>_xlfn.XLOOKUP(Table1[[#This Row],[Product_ID]],AW:AW,BF:BF,,0)</f>
        <v>Wireless Mouse</v>
      </c>
      <c r="BF256" t="s">
        <v>277</v>
      </c>
      <c r="BG256">
        <f>LEN(Table1[[#This Row],[Product_Name]])</f>
        <v>14</v>
      </c>
      <c r="BH256" t="s">
        <v>154</v>
      </c>
      <c r="BI256">
        <f t="shared" si="28"/>
        <v>75</v>
      </c>
      <c r="BJ256" t="str">
        <f>SUBSTITUTE(Table1[[#This Row],[Category]],"Electronics","ELECTRONICS")</f>
        <v>ELECTRONICS</v>
      </c>
      <c r="BN256" t="s">
        <v>155</v>
      </c>
      <c r="BS256" s="14">
        <v>2</v>
      </c>
      <c r="BT256" s="3">
        <v>799</v>
      </c>
      <c r="BU256" s="4">
        <v>10</v>
      </c>
      <c r="BV256" s="4" t="str">
        <f>IF(AND(Table1[[#This Row],[Quantity]]&gt;=3,Table1[[#This Row],[Discount_%]]&gt;=15%),"Bulk Discount","no")</f>
        <v>no</v>
      </c>
      <c r="BW256" s="4" t="str">
        <f>IF(AND(Table1[[#This Row],[Quantity]]&gt;3,Table1[[#This Row],[Discount_%]]&gt;15%),"Bulk Customer","Normal")</f>
        <v>Normal</v>
      </c>
      <c r="BX256" t="s">
        <v>330</v>
      </c>
      <c r="BY256" t="s">
        <v>136</v>
      </c>
      <c r="CC256" t="str">
        <f>IF(OR(Table1[[#This Row],[Order_Status]]="Returned",Table1[[#This Row],[Order_Status]]="Cancelled"),"Attention Required","Not")</f>
        <v>Not</v>
      </c>
      <c r="CD256" t="str">
        <f>IF(OR(Table1[[#This Row],[Order_Status]]="Returned",Table1[[#This Row],[Order_Status]]="Cancelled"),"Review","no")</f>
        <v>no</v>
      </c>
      <c r="CE256" t="str">
        <f>SUBSTITUTE(Table1[[#This Row],[Order_Status]],"Delivered","Completed")</f>
        <v>Completed</v>
      </c>
      <c r="CF256" s="2">
        <v>45797</v>
      </c>
      <c r="CG256" s="17">
        <f>NETWORKDAYS(Table1[[#This Row],[Order_Date]],Table1[[#This Row],[Delivery_Date]])</f>
        <v>5</v>
      </c>
      <c r="CH256" s="17">
        <f>Table1[[#This Row],[Delivery_Date]]-Table1[[#This Row],[Order_Date]]</f>
        <v>6</v>
      </c>
      <c r="CI256" t="s">
        <v>137</v>
      </c>
      <c r="CJ256" t="str">
        <f>IF(Table1[[#This Row],[Rating]]&gt;=4,"Good","Needs Improvement")</f>
        <v>Good</v>
      </c>
      <c r="CK256" t="str">
        <f>IF(OR(Table1[[#This Row],[Rating]]&lt;=2,Table1[[#This Row],[Profit]]&lt;0),"Review","NO")</f>
        <v>NO</v>
      </c>
      <c r="CL256" t="str" cm="1">
        <f t="array" ref="CL256">_xlfn.IFS(Table1[[#This Row],[Rating]]&gt;2,"Poor",Table1[[#This Row],[Rating]]=3,"Average",Table1[[#This Row],[Rating]]=4,"Good",CP256=5,"Excellent")</f>
        <v>Poor</v>
      </c>
      <c r="CM256">
        <f>COUNT(Table1[[#This Row],[Rating]])</f>
        <v>1</v>
      </c>
      <c r="CN256">
        <f>COUNTBLANK(Table1[[#This Row],[Rating]])</f>
        <v>0</v>
      </c>
      <c r="CP256" t="s">
        <v>157</v>
      </c>
      <c r="CQ256" s="14">
        <v>5</v>
      </c>
      <c r="CR256" t="s">
        <v>139</v>
      </c>
      <c r="CS256" t="s">
        <v>140</v>
      </c>
      <c r="CU256" s="3">
        <v>1438.2</v>
      </c>
      <c r="CV256" s="3">
        <f>ROUND(Table1[[#This Row],[Sales_Amount]],0)</f>
        <v>1438</v>
      </c>
      <c r="CW256" s="3"/>
      <c r="CX256" s="3"/>
      <c r="CY256" s="3" t="b">
        <f>IF(AND(Table1[[#This Row],[Sales_Amount]]&gt;=10000,Table1[[#This Row],[Profit]]&gt;0),"Good Order")</f>
        <v>0</v>
      </c>
      <c r="CZ256" s="3" t="str">
        <f>IF(Table1[[#This Row],[Sales_Amount]]&gt;=10000,"High","Normal")</f>
        <v>Normal</v>
      </c>
      <c r="DA256" s="3">
        <v>598.20000000000005</v>
      </c>
      <c r="DB256" s="3">
        <f>ROUND(Table1[[#This Row],[Profit]],0)</f>
        <v>598</v>
      </c>
      <c r="DC256" s="3">
        <f>ABS(Table1[[#This Row],[Profit]])</f>
        <v>598.20000000000005</v>
      </c>
      <c r="DD256" s="3"/>
      <c r="DE256" s="3"/>
      <c r="DF256" s="3"/>
      <c r="DG256" s="3" t="str">
        <f>IF(Table1[[#This Row],[Profit]]&gt;0,"Profit","Loss")</f>
        <v>Profit</v>
      </c>
      <c r="DH256" s="3" t="str">
        <f>IF(AND(Table1[[#This Row],[Sales_Amount]]&gt;=10000,Table1[[#This Row],[Profit]]&gt;0),"Priority","Normal")</f>
        <v>Normal</v>
      </c>
      <c r="DI256" s="3">
        <f t="shared" ca="1" si="23"/>
        <v>0.17069928292496728</v>
      </c>
      <c r="DJ256" s="3">
        <f t="shared" ca="1" si="24"/>
        <v>98</v>
      </c>
      <c r="DK256" s="3"/>
      <c r="DL256" s="3"/>
      <c r="DM256" s="3"/>
      <c r="DN256" s="3"/>
      <c r="DO256" s="3"/>
      <c r="DP256" s="3"/>
    </row>
    <row r="257" spans="1:120">
      <c r="A257" t="s">
        <v>1209</v>
      </c>
      <c r="B257" t="str">
        <f>REPLACE(Table1[[#This Row],[Order_ID]],1,3,"YOO")</f>
        <v>YOO10256</v>
      </c>
      <c r="C257" t="str">
        <f>MID(Table1[[#This Row],[Order_ID]],4,4)</f>
        <v>1025</v>
      </c>
      <c r="D257" t="str">
        <f>LEFT(Table1[[#This Row],[Order_ID]],4)</f>
        <v>ORD1</v>
      </c>
      <c r="E257" t="str">
        <f>RIGHT(Table1[[#This Row],[Order_ID]],5)</f>
        <v>10256</v>
      </c>
      <c r="F257" t="s">
        <v>5</v>
      </c>
      <c r="G257">
        <v>10256</v>
      </c>
      <c r="H257" t="s">
        <v>1210</v>
      </c>
      <c r="I257" s="2">
        <f>EDATE(Table1[[#This Row],[Order_Date]],3)</f>
        <v>45860</v>
      </c>
      <c r="J257" s="2">
        <f>EDATE(Table1[[#This Row],[Order_Date]],6)</f>
        <v>45952</v>
      </c>
      <c r="K257">
        <f ca="1">YEAR(Table1[[#This Row],[Today]])</f>
        <v>2026</v>
      </c>
      <c r="L257">
        <v>256</v>
      </c>
      <c r="M257">
        <f ca="1">DAY(Table1[[#This Row],[Today]])</f>
        <v>11</v>
      </c>
      <c r="N257" s="19">
        <f t="shared" ca="1" si="27"/>
        <v>46245.589795138891</v>
      </c>
      <c r="O257" s="2">
        <f t="shared" ca="1" si="22"/>
        <v>46245</v>
      </c>
      <c r="P257" s="17">
        <f ca="1">Table1[[#This Row],[Today]]-Table1[[#This Row],[Order_Date]]</f>
        <v>476</v>
      </c>
      <c r="Q257" s="2">
        <v>45913</v>
      </c>
      <c r="R257" s="2">
        <v>45769</v>
      </c>
      <c r="S257" s="6">
        <f t="shared" si="25"/>
        <v>2025</v>
      </c>
      <c r="T257" s="7" t="str">
        <f t="shared" si="26"/>
        <v>April</v>
      </c>
      <c r="U257" s="2">
        <f>WORKDAY(Table1[[#This Row],[Order_Date]],5)</f>
        <v>45776</v>
      </c>
      <c r="V257" s="7" t="str">
        <f>CONCATENATE(Table1[[#This Row],[Customer_ID]],Table1[[#This Row],[Customer_Name]])</f>
        <v>C1081Isha Kapoor</v>
      </c>
      <c r="W257" t="s">
        <v>741</v>
      </c>
      <c r="X257" t="s">
        <v>411</v>
      </c>
      <c r="Y257">
        <f>COUNTA(Table1[[#This Row],[Customer_Name]])</f>
        <v>1</v>
      </c>
      <c r="Z257" t="str">
        <f>SUBSTITUTE(Table1[[#This Row],[Customer_Name]]," ","_")</f>
        <v>Isha_Kapoor</v>
      </c>
      <c r="AA257" s="10">
        <f>IFERROR(SEARCH("a",Table1[[#This Row],[Customer_Name]]),"N/A")</f>
        <v>4</v>
      </c>
      <c r="AB257">
        <f>SEARCH(" ",Table1[[#This Row],[Customer_Name]])</f>
        <v>5</v>
      </c>
      <c r="AC257" s="11">
        <f>IFERROR(FIND("a",Table1[[#This Row],[Customer_Name]]),"N/A")</f>
        <v>4</v>
      </c>
      <c r="AD257">
        <f>FIND(" ",Table1[[#This Row],[Customer_Name]])</f>
        <v>5</v>
      </c>
      <c r="AE257" t="str">
        <f>TRIM(Table1[[#This Row],[Customer_Name]])</f>
        <v>Isha Kapoor</v>
      </c>
      <c r="AF257">
        <f>LEN(Table1[[#This Row],[Trimmed]])</f>
        <v>11</v>
      </c>
      <c r="AG257">
        <f>MAX(Table1[Length])</f>
        <v>15</v>
      </c>
      <c r="AH257" t="str">
        <f>PROPER(Table1[[#This Row],[Customer_Name]])</f>
        <v>Isha Kapoor</v>
      </c>
      <c r="AI257" t="str">
        <f>LOWER(Table1[[#This Row],[Customer_Name]])</f>
        <v>isha kapoor</v>
      </c>
      <c r="AJ257" t="str">
        <f>UPPER(Table1[[#This Row],[Customer_Name]])</f>
        <v>ISHA KAPOOR</v>
      </c>
      <c r="AK257" t="str">
        <f>CONCATENATE(Table1[[#This Row],[Customer_ID]],Table1[[#This Row],[Customer_Name]])</f>
        <v>C1081Isha Kapoor</v>
      </c>
      <c r="AL257" t="s">
        <v>412</v>
      </c>
      <c r="AM257" t="s">
        <v>413</v>
      </c>
      <c r="AN257" t="s">
        <v>414</v>
      </c>
      <c r="AO257" t="s">
        <v>412</v>
      </c>
      <c r="AP257" t="s">
        <v>413</v>
      </c>
      <c r="AQ257" t="s">
        <v>569</v>
      </c>
      <c r="AR257" t="str">
        <f>TRIM(Table1[[#This Row],[City]])</f>
        <v>Delhi</v>
      </c>
      <c r="AS257" t="str">
        <f>PROPER(Table1[[#This Row],[City]])</f>
        <v>Delhi</v>
      </c>
      <c r="AT257" t="s">
        <v>569</v>
      </c>
      <c r="AU257" t="str">
        <f>CONCATENATE(Table1[[#This Row],[City]],Table1[[#This Row],[State]])</f>
        <v>DelhiDelhi</v>
      </c>
      <c r="AV257" t="s">
        <v>150</v>
      </c>
      <c r="AW257" t="s">
        <v>201</v>
      </c>
      <c r="AX257" t="str">
        <f>REPLACE(Table1[[#This Row],[Product_ID]],1,1,"s")</f>
        <v>s104</v>
      </c>
      <c r="AY257" t="s">
        <v>1211</v>
      </c>
      <c r="AZ257">
        <f>SEARCH("-",Table1[[#This Row],[Product ID]])</f>
        <v>2</v>
      </c>
      <c r="BA257">
        <f>FIND("-",Table1[[#This Row],[Product ID]])</f>
        <v>2</v>
      </c>
      <c r="BB257" t="str">
        <f>MID(Table1[[#This Row],[Product_ID]],2,3)</f>
        <v>104</v>
      </c>
      <c r="BC257" t="str">
        <f>RIGHT(Table1[[#This Row],[Product_ID]],3)</f>
        <v>104</v>
      </c>
      <c r="BD257" t="str">
        <f>LEFT(Table1[[#This Row],[Product_ID]],3)</f>
        <v>P10</v>
      </c>
      <c r="BE257" t="str">
        <f>_xlfn.XLOOKUP(Table1[[#This Row],[Product_ID]],AW:AW,BF:BF,,0)</f>
        <v>USB-C Hub</v>
      </c>
      <c r="BF257" t="s">
        <v>203</v>
      </c>
      <c r="BG257">
        <f>LEN(Table1[[#This Row],[Product_Name]])</f>
        <v>9</v>
      </c>
      <c r="BH257" t="s">
        <v>154</v>
      </c>
      <c r="BI257">
        <f t="shared" si="28"/>
        <v>75</v>
      </c>
      <c r="BJ257" t="str">
        <f>SUBSTITUTE(Table1[[#This Row],[Category]],"Electronics","ELECTRONICS")</f>
        <v>ELECTRONICS</v>
      </c>
      <c r="BN257" t="s">
        <v>155</v>
      </c>
      <c r="BS257" s="14">
        <v>2</v>
      </c>
      <c r="BT257" s="3">
        <v>1899</v>
      </c>
      <c r="BU257" s="4">
        <v>0</v>
      </c>
      <c r="BV257" s="4" t="str">
        <f>IF(AND(Table1[[#This Row],[Quantity]]&gt;=3,Table1[[#This Row],[Discount_%]]&gt;=15%),"Bulk Discount","no")</f>
        <v>no</v>
      </c>
      <c r="BW257" s="4" t="str">
        <f>IF(AND(Table1[[#This Row],[Quantity]]&gt;3,Table1[[#This Row],[Discount_%]]&gt;15%),"Bulk Customer","Normal")</f>
        <v>Normal</v>
      </c>
      <c r="BX257" t="s">
        <v>172</v>
      </c>
      <c r="BY257" t="s">
        <v>136</v>
      </c>
      <c r="CC257" t="str">
        <f>IF(OR(Table1[[#This Row],[Order_Status]]="Returned",Table1[[#This Row],[Order_Status]]="Cancelled"),"Attention Required","Not")</f>
        <v>Not</v>
      </c>
      <c r="CD257" t="str">
        <f>IF(OR(Table1[[#This Row],[Order_Status]]="Returned",Table1[[#This Row],[Order_Status]]="Cancelled"),"Review","no")</f>
        <v>no</v>
      </c>
      <c r="CE257" t="str">
        <f>SUBSTITUTE(Table1[[#This Row],[Order_Status]],"Delivered","Completed")</f>
        <v>Completed</v>
      </c>
      <c r="CF257" s="2">
        <v>45777</v>
      </c>
      <c r="CG257" s="17">
        <f>NETWORKDAYS(Table1[[#This Row],[Order_Date]],Table1[[#This Row],[Delivery_Date]])</f>
        <v>7</v>
      </c>
      <c r="CH257" s="17">
        <f>Table1[[#This Row],[Delivery_Date]]-Table1[[#This Row],[Order_Date]]</f>
        <v>8</v>
      </c>
      <c r="CI257" t="s">
        <v>137</v>
      </c>
      <c r="CJ257" t="str">
        <f>IF(Table1[[#This Row],[Rating]]&gt;=4,"Good","Needs Improvement")</f>
        <v>Needs Improvement</v>
      </c>
      <c r="CK257" t="str">
        <f>IF(OR(Table1[[#This Row],[Rating]]&lt;=2,Table1[[#This Row],[Profit]]&lt;0),"Review","NO")</f>
        <v>Review</v>
      </c>
      <c r="CL257" t="e" cm="1">
        <f t="array" ref="CL257">_xlfn.IFS(Table1[[#This Row],[Rating]]&gt;2,"Poor",Table1[[#This Row],[Rating]]=3,"Average",Table1[[#This Row],[Rating]]=4,"Good",CP257=5,"Excellent")</f>
        <v>#N/A</v>
      </c>
      <c r="CM257">
        <f>COUNT(Table1[[#This Row],[Rating]])</f>
        <v>0</v>
      </c>
      <c r="CN257">
        <f>COUNTBLANK(Table1[[#This Row],[Rating]])</f>
        <v>1</v>
      </c>
      <c r="CP257" t="s">
        <v>266</v>
      </c>
      <c r="CR257" t="s">
        <v>173</v>
      </c>
      <c r="CS257" t="s">
        <v>158</v>
      </c>
      <c r="CU257" s="3">
        <v>3798</v>
      </c>
      <c r="CV257" s="3">
        <f>ROUND(Table1[[#This Row],[Sales_Amount]],0)</f>
        <v>3798</v>
      </c>
      <c r="CW257" s="3"/>
      <c r="CX257" s="3"/>
      <c r="CY257" s="3" t="b">
        <f>IF(AND(Table1[[#This Row],[Sales_Amount]]&gt;=10000,Table1[[#This Row],[Profit]]&gt;0),"Good Order")</f>
        <v>0</v>
      </c>
      <c r="CZ257" s="3" t="str">
        <f>IF(Table1[[#This Row],[Sales_Amount]]&gt;=10000,"High","Normal")</f>
        <v>Normal</v>
      </c>
      <c r="DA257" s="3">
        <v>1598</v>
      </c>
      <c r="DB257" s="3">
        <f>ROUND(Table1[[#This Row],[Profit]],0)</f>
        <v>1598</v>
      </c>
      <c r="DC257" s="3">
        <f>ABS(Table1[[#This Row],[Profit]])</f>
        <v>1598</v>
      </c>
      <c r="DD257" s="3"/>
      <c r="DE257" s="3"/>
      <c r="DF257" s="3"/>
      <c r="DG257" s="3" t="str">
        <f>IF(Table1[[#This Row],[Profit]]&gt;0,"Profit","Loss")</f>
        <v>Profit</v>
      </c>
      <c r="DH257" s="3" t="str">
        <f>IF(AND(Table1[[#This Row],[Sales_Amount]]&gt;=10000,Table1[[#This Row],[Profit]]&gt;0),"Priority","Normal")</f>
        <v>Normal</v>
      </c>
      <c r="DI257" s="3">
        <f t="shared" ca="1" si="23"/>
        <v>0.43891992206766417</v>
      </c>
      <c r="DJ257" s="3">
        <f t="shared" ca="1" si="24"/>
        <v>74</v>
      </c>
      <c r="DK257" s="3"/>
      <c r="DL257" s="3"/>
      <c r="DM257" s="3"/>
      <c r="DN257" s="3"/>
      <c r="DO257" s="3"/>
      <c r="DP257" s="3"/>
    </row>
    <row r="258" spans="1:120">
      <c r="A258" t="s">
        <v>1212</v>
      </c>
      <c r="B258" t="str">
        <f>REPLACE(Table1[[#This Row],[Order_ID]],1,3,"YOO")</f>
        <v>YOO10257</v>
      </c>
      <c r="C258" t="str">
        <f>MID(Table1[[#This Row],[Order_ID]],4,4)</f>
        <v>1025</v>
      </c>
      <c r="D258" t="str">
        <f>LEFT(Table1[[#This Row],[Order_ID]],4)</f>
        <v>ORD1</v>
      </c>
      <c r="E258" t="str">
        <f>RIGHT(Table1[[#This Row],[Order_ID]],5)</f>
        <v>10257</v>
      </c>
      <c r="F258" t="s">
        <v>5</v>
      </c>
      <c r="G258">
        <v>10257</v>
      </c>
      <c r="H258" t="s">
        <v>1213</v>
      </c>
      <c r="I258" s="2">
        <f>EDATE(Table1[[#This Row],[Order_Date]],3)</f>
        <v>46223</v>
      </c>
      <c r="J258" s="2">
        <f>EDATE(Table1[[#This Row],[Order_Date]],6)</f>
        <v>46315</v>
      </c>
      <c r="K258">
        <f ca="1">YEAR(Table1[[#This Row],[Today]])</f>
        <v>2026</v>
      </c>
      <c r="L258">
        <v>257</v>
      </c>
      <c r="M258">
        <f ca="1">DAY(Table1[[#This Row],[Today]])</f>
        <v>11</v>
      </c>
      <c r="N258" s="19">
        <f t="shared" ca="1" si="27"/>
        <v>46245.589795370368</v>
      </c>
      <c r="O258" s="2">
        <f t="shared" ref="O258:O321" ca="1" si="29">TODAY()</f>
        <v>46245</v>
      </c>
      <c r="P258" s="17">
        <f ca="1">Table1[[#This Row],[Today]]-Table1[[#This Row],[Order_Date]]</f>
        <v>113</v>
      </c>
      <c r="Q258" s="2">
        <v>45914</v>
      </c>
      <c r="R258" s="2">
        <v>46132</v>
      </c>
      <c r="S258" s="6">
        <f t="shared" si="25"/>
        <v>2026</v>
      </c>
      <c r="T258" s="7" t="str">
        <f t="shared" si="26"/>
        <v>April</v>
      </c>
      <c r="U258" s="2">
        <f>WORKDAY(Table1[[#This Row],[Order_Date]],5)</f>
        <v>46139</v>
      </c>
      <c r="V258" s="7" t="str">
        <f>CONCATENATE(Table1[[#This Row],[Customer_ID]],Table1[[#This Row],[Customer_Name]])</f>
        <v>C1011Karan Patel</v>
      </c>
      <c r="W258" t="s">
        <v>491</v>
      </c>
      <c r="X258" t="s">
        <v>280</v>
      </c>
      <c r="Y258">
        <f>COUNTA(Table1[[#This Row],[Customer_Name]])</f>
        <v>1</v>
      </c>
      <c r="Z258" t="str">
        <f>SUBSTITUTE(Table1[[#This Row],[Customer_Name]]," ","_")</f>
        <v>Karan_Patel</v>
      </c>
      <c r="AA258" s="10">
        <f>IFERROR(SEARCH("a",Table1[[#This Row],[Customer_Name]]),"N/A")</f>
        <v>2</v>
      </c>
      <c r="AB258">
        <f>SEARCH(" ",Table1[[#This Row],[Customer_Name]])</f>
        <v>6</v>
      </c>
      <c r="AC258" s="11">
        <f>IFERROR(FIND("a",Table1[[#This Row],[Customer_Name]]),"N/A")</f>
        <v>2</v>
      </c>
      <c r="AD258">
        <f>FIND(" ",Table1[[#This Row],[Customer_Name]])</f>
        <v>6</v>
      </c>
      <c r="AE258" t="str">
        <f>TRIM(Table1[[#This Row],[Customer_Name]])</f>
        <v>Karan Patel</v>
      </c>
      <c r="AF258">
        <f>LEN(Table1[[#This Row],[Trimmed]])</f>
        <v>11</v>
      </c>
      <c r="AG258">
        <f>MAX(Table1[Length])</f>
        <v>15</v>
      </c>
      <c r="AH258" t="str">
        <f>PROPER(Table1[[#This Row],[Customer_Name]])</f>
        <v>Karan Patel</v>
      </c>
      <c r="AI258" t="str">
        <f>LOWER(Table1[[#This Row],[Customer_Name]])</f>
        <v>karan patel</v>
      </c>
      <c r="AJ258" t="str">
        <f>UPPER(Table1[[#This Row],[Customer_Name]])</f>
        <v>KARAN PATEL</v>
      </c>
      <c r="AK258" t="str">
        <f>CONCATENATE(Table1[[#This Row],[Customer_ID]],Table1[[#This Row],[Customer_Name]])</f>
        <v>C1011Karan Patel</v>
      </c>
      <c r="AL258" t="s">
        <v>281</v>
      </c>
      <c r="AM258" t="s">
        <v>282</v>
      </c>
      <c r="AN258" t="s">
        <v>283</v>
      </c>
      <c r="AO258" t="s">
        <v>281</v>
      </c>
      <c r="AP258" t="s">
        <v>282</v>
      </c>
      <c r="AQ258" t="s">
        <v>379</v>
      </c>
      <c r="AR258" t="str">
        <f>TRIM(Table1[[#This Row],[City]])</f>
        <v>Indore</v>
      </c>
      <c r="AS258" t="str">
        <f>PROPER(Table1[[#This Row],[City]])</f>
        <v>Indore</v>
      </c>
      <c r="AT258" t="s">
        <v>345</v>
      </c>
      <c r="AU258" t="str">
        <f>CONCATENATE(Table1[[#This Row],[City]],Table1[[#This Row],[State]])</f>
        <v>IndoreMadhya Pradesh</v>
      </c>
      <c r="AV258" t="s">
        <v>346</v>
      </c>
      <c r="AW258" t="s">
        <v>370</v>
      </c>
      <c r="AX258" t="str">
        <f>REPLACE(Table1[[#This Row],[Product_ID]],1,1,"s")</f>
        <v>s108</v>
      </c>
      <c r="AY258" t="s">
        <v>1214</v>
      </c>
      <c r="AZ258">
        <f>SEARCH("-",Table1[[#This Row],[Product ID]])</f>
        <v>2</v>
      </c>
      <c r="BA258">
        <f>FIND("-",Table1[[#This Row],[Product ID]])</f>
        <v>2</v>
      </c>
      <c r="BB258" t="str">
        <f>MID(Table1[[#This Row],[Product_ID]],2,3)</f>
        <v>108</v>
      </c>
      <c r="BC258" t="str">
        <f>RIGHT(Table1[[#This Row],[Product_ID]],3)</f>
        <v>108</v>
      </c>
      <c r="BD258" t="str">
        <f>LEFT(Table1[[#This Row],[Product_ID]],3)</f>
        <v>P10</v>
      </c>
      <c r="BE258" t="str">
        <f>_xlfn.XLOOKUP(Table1[[#This Row],[Product_ID]],AW:AW,BF:BF,,0)</f>
        <v>Hoodie</v>
      </c>
      <c r="BF258" t="s">
        <v>372</v>
      </c>
      <c r="BG258">
        <f>LEN(Table1[[#This Row],[Product_Name]])</f>
        <v>6</v>
      </c>
      <c r="BH258" t="s">
        <v>224</v>
      </c>
      <c r="BI258">
        <f t="shared" si="28"/>
        <v>75</v>
      </c>
      <c r="BJ258" t="str">
        <f>SUBSTITUTE(Table1[[#This Row],[Category]],"Electronics","ELECTRONICS")</f>
        <v>Fashion</v>
      </c>
      <c r="BN258" t="s">
        <v>373</v>
      </c>
      <c r="BS258" s="14">
        <v>3</v>
      </c>
      <c r="BT258" s="3">
        <v>1999</v>
      </c>
      <c r="BU258" s="4">
        <v>0</v>
      </c>
      <c r="BV258" s="4" t="str">
        <f>IF(AND(Table1[[#This Row],[Quantity]]&gt;=3,Table1[[#This Row],[Discount_%]]&gt;=15%),"Bulk Discount","no")</f>
        <v>no</v>
      </c>
      <c r="BW258" s="4" t="str">
        <f>IF(AND(Table1[[#This Row],[Quantity]]&gt;3,Table1[[#This Row],[Discount_%]]&gt;15%),"Bulk Customer","Normal")</f>
        <v>Normal</v>
      </c>
      <c r="BX258" t="s">
        <v>192</v>
      </c>
      <c r="BY258" t="s">
        <v>136</v>
      </c>
      <c r="CC258" t="str">
        <f>IF(OR(Table1[[#This Row],[Order_Status]]="Returned",Table1[[#This Row],[Order_Status]]="Cancelled"),"Attention Required","Not")</f>
        <v>Not</v>
      </c>
      <c r="CD258" t="str">
        <f>IF(OR(Table1[[#This Row],[Order_Status]]="Returned",Table1[[#This Row],[Order_Status]]="Cancelled"),"Review","no")</f>
        <v>no</v>
      </c>
      <c r="CE258" t="str">
        <f>SUBSTITUTE(Table1[[#This Row],[Order_Status]],"Delivered","Completed")</f>
        <v>Completed</v>
      </c>
      <c r="CF258" s="2">
        <v>46135</v>
      </c>
      <c r="CG258" s="17">
        <f>NETWORKDAYS(Table1[[#This Row],[Order_Date]],Table1[[#This Row],[Delivery_Date]])</f>
        <v>4</v>
      </c>
      <c r="CH258" s="17">
        <f>Table1[[#This Row],[Delivery_Date]]-Table1[[#This Row],[Order_Date]]</f>
        <v>3</v>
      </c>
      <c r="CI258" t="s">
        <v>137</v>
      </c>
      <c r="CJ258" t="str">
        <f>IF(Table1[[#This Row],[Rating]]&gt;=4,"Good","Needs Improvement")</f>
        <v>Needs Improvement</v>
      </c>
      <c r="CK258" t="str">
        <f>IF(OR(Table1[[#This Row],[Rating]]&lt;=2,Table1[[#This Row],[Profit]]&lt;0),"Review","NO")</f>
        <v>Review</v>
      </c>
      <c r="CL258" t="e" cm="1">
        <f t="array" ref="CL258">_xlfn.IFS(Table1[[#This Row],[Rating]]&gt;2,"Poor",Table1[[#This Row],[Rating]]=3,"Average",Table1[[#This Row],[Rating]]=4,"Good",CP258=5,"Excellent")</f>
        <v>#N/A</v>
      </c>
      <c r="CM258">
        <f>COUNT(Table1[[#This Row],[Rating]])</f>
        <v>0</v>
      </c>
      <c r="CN258">
        <f>COUNTBLANK(Table1[[#This Row],[Rating]])</f>
        <v>1</v>
      </c>
      <c r="CP258" t="s">
        <v>194</v>
      </c>
      <c r="CR258" t="s">
        <v>139</v>
      </c>
      <c r="CS258" t="s">
        <v>213</v>
      </c>
      <c r="CU258" s="3">
        <v>5997</v>
      </c>
      <c r="CV258" s="3">
        <f>ROUND(Table1[[#This Row],[Sales_Amount]],0)</f>
        <v>5997</v>
      </c>
      <c r="CW258" s="3"/>
      <c r="CX258" s="3"/>
      <c r="CY258" s="3" t="b">
        <f>IF(AND(Table1[[#This Row],[Sales_Amount]]&gt;=10000,Table1[[#This Row],[Profit]]&gt;0),"Good Order")</f>
        <v>0</v>
      </c>
      <c r="CZ258" s="3" t="str">
        <f>IF(Table1[[#This Row],[Sales_Amount]]&gt;=10000,"High","Normal")</f>
        <v>Normal</v>
      </c>
      <c r="DA258" s="3">
        <v>2847</v>
      </c>
      <c r="DB258" s="3">
        <f>ROUND(Table1[[#This Row],[Profit]],0)</f>
        <v>2847</v>
      </c>
      <c r="DC258" s="3">
        <f>ABS(Table1[[#This Row],[Profit]])</f>
        <v>2847</v>
      </c>
      <c r="DD258" s="3"/>
      <c r="DE258" s="3"/>
      <c r="DF258" s="3"/>
      <c r="DG258" s="3" t="str">
        <f>IF(Table1[[#This Row],[Profit]]&gt;0,"Profit","Loss")</f>
        <v>Profit</v>
      </c>
      <c r="DH258" s="3" t="str">
        <f>IF(AND(Table1[[#This Row],[Sales_Amount]]&gt;=10000,Table1[[#This Row],[Profit]]&gt;0),"Priority","Normal")</f>
        <v>Normal</v>
      </c>
      <c r="DI258" s="3">
        <f t="shared" ref="DI258:DI321" ca="1" si="30">RAND()</f>
        <v>0.91026858849390624</v>
      </c>
      <c r="DJ258" s="3">
        <f t="shared" ref="DJ258:DJ321" ca="1" si="31">RANDBETWEEN(1,100)</f>
        <v>33</v>
      </c>
      <c r="DK258" s="3"/>
      <c r="DL258" s="3"/>
      <c r="DM258" s="3"/>
      <c r="DN258" s="3"/>
      <c r="DO258" s="3"/>
      <c r="DP258" s="3"/>
    </row>
    <row r="259" spans="1:120">
      <c r="A259" t="s">
        <v>1215</v>
      </c>
      <c r="B259" t="str">
        <f>REPLACE(Table1[[#This Row],[Order_ID]],1,3,"YOO")</f>
        <v>YOO10258</v>
      </c>
      <c r="C259" t="str">
        <f>MID(Table1[[#This Row],[Order_ID]],4,4)</f>
        <v>1025</v>
      </c>
      <c r="D259" t="str">
        <f>LEFT(Table1[[#This Row],[Order_ID]],4)</f>
        <v>ORD1</v>
      </c>
      <c r="E259" t="str">
        <f>RIGHT(Table1[[#This Row],[Order_ID]],5)</f>
        <v>10258</v>
      </c>
      <c r="F259" t="s">
        <v>5</v>
      </c>
      <c r="G259">
        <v>10258</v>
      </c>
      <c r="H259" t="s">
        <v>1216</v>
      </c>
      <c r="I259" s="2">
        <f>EDATE(Table1[[#This Row],[Order_Date]],3)</f>
        <v>46152</v>
      </c>
      <c r="J259" s="2">
        <f>EDATE(Table1[[#This Row],[Order_Date]],6)</f>
        <v>46244</v>
      </c>
      <c r="K259">
        <f ca="1">YEAR(Table1[[#This Row],[Today]])</f>
        <v>2026</v>
      </c>
      <c r="L259">
        <v>258</v>
      </c>
      <c r="M259">
        <f ca="1">DAY(Table1[[#This Row],[Today]])</f>
        <v>11</v>
      </c>
      <c r="N259" s="19">
        <f t="shared" ca="1" si="27"/>
        <v>46245.589795370368</v>
      </c>
      <c r="O259" s="2">
        <f t="shared" ca="1" si="29"/>
        <v>46245</v>
      </c>
      <c r="P259" s="17">
        <f ca="1">Table1[[#This Row],[Today]]-Table1[[#This Row],[Order_Date]]</f>
        <v>182</v>
      </c>
      <c r="Q259" s="2">
        <v>45915</v>
      </c>
      <c r="R259" s="2">
        <v>46063</v>
      </c>
      <c r="S259" s="6">
        <f t="shared" ref="S259:S322" si="32">YEAR(R259)</f>
        <v>2026</v>
      </c>
      <c r="T259" s="7" t="str">
        <f t="shared" ref="T259:T322" si="33">TEXT(R259,"mmmm")</f>
        <v>February</v>
      </c>
      <c r="U259" s="2">
        <f>WORKDAY(Table1[[#This Row],[Order_Date]],5)</f>
        <v>46070</v>
      </c>
      <c r="V259" s="7" t="str">
        <f>CONCATENATE(Table1[[#This Row],[Customer_ID]],Table1[[#This Row],[Customer_Name]])</f>
        <v>C1045Rahul Sharma</v>
      </c>
      <c r="W259" t="s">
        <v>428</v>
      </c>
      <c r="X259" t="s">
        <v>290</v>
      </c>
      <c r="Y259">
        <f>COUNTA(Table1[[#This Row],[Customer_Name]])</f>
        <v>1</v>
      </c>
      <c r="Z259" t="str">
        <f>SUBSTITUTE(Table1[[#This Row],[Customer_Name]]," ","_")</f>
        <v>Rahul_Sharma</v>
      </c>
      <c r="AA259" s="10">
        <f>IFERROR(SEARCH("a",Table1[[#This Row],[Customer_Name]]),"N/A")</f>
        <v>2</v>
      </c>
      <c r="AB259">
        <f>SEARCH(" ",Table1[[#This Row],[Customer_Name]])</f>
        <v>6</v>
      </c>
      <c r="AC259" s="11">
        <f>IFERROR(FIND("a",Table1[[#This Row],[Customer_Name]]),"N/A")</f>
        <v>2</v>
      </c>
      <c r="AD259">
        <f>FIND(" ",Table1[[#This Row],[Customer_Name]])</f>
        <v>6</v>
      </c>
      <c r="AE259" t="str">
        <f>TRIM(Table1[[#This Row],[Customer_Name]])</f>
        <v>Rahul Sharma</v>
      </c>
      <c r="AF259">
        <f>LEN(Table1[[#This Row],[Trimmed]])</f>
        <v>12</v>
      </c>
      <c r="AG259">
        <f>MAX(Table1[Length])</f>
        <v>15</v>
      </c>
      <c r="AH259" t="str">
        <f>PROPER(Table1[[#This Row],[Customer_Name]])</f>
        <v>Rahul Sharma</v>
      </c>
      <c r="AI259" t="str">
        <f>LOWER(Table1[[#This Row],[Customer_Name]])</f>
        <v>rahul sharma</v>
      </c>
      <c r="AJ259" t="str">
        <f>UPPER(Table1[[#This Row],[Customer_Name]])</f>
        <v>RAHUL SHARMA</v>
      </c>
      <c r="AK259" t="str">
        <f>CONCATENATE(Table1[[#This Row],[Customer_ID]],Table1[[#This Row],[Customer_Name]])</f>
        <v>C1045Rahul Sharma</v>
      </c>
      <c r="AL259" t="s">
        <v>291</v>
      </c>
      <c r="AM259" t="s">
        <v>292</v>
      </c>
      <c r="AN259" t="s">
        <v>245</v>
      </c>
      <c r="AO259" t="s">
        <v>291</v>
      </c>
      <c r="AP259" t="s">
        <v>292</v>
      </c>
      <c r="AQ259" t="s">
        <v>344</v>
      </c>
      <c r="AR259" t="str">
        <f>TRIM(Table1[[#This Row],[City]])</f>
        <v>Bhopal</v>
      </c>
      <c r="AS259" t="str">
        <f>PROPER(Table1[[#This Row],[City]])</f>
        <v>Bhopal</v>
      </c>
      <c r="AT259" t="s">
        <v>345</v>
      </c>
      <c r="AU259" t="str">
        <f>CONCATENATE(Table1[[#This Row],[City]],Table1[[#This Row],[State]])</f>
        <v>BhopalMadhya Pradesh</v>
      </c>
      <c r="AV259" t="s">
        <v>346</v>
      </c>
      <c r="AW259" t="s">
        <v>201</v>
      </c>
      <c r="AX259" t="str">
        <f>REPLACE(Table1[[#This Row],[Product_ID]],1,1,"s")</f>
        <v>s104</v>
      </c>
      <c r="AY259" t="s">
        <v>1217</v>
      </c>
      <c r="AZ259">
        <f>SEARCH("-",Table1[[#This Row],[Product ID]])</f>
        <v>2</v>
      </c>
      <c r="BA259">
        <f>FIND("-",Table1[[#This Row],[Product ID]])</f>
        <v>2</v>
      </c>
      <c r="BB259" t="str">
        <f>MID(Table1[[#This Row],[Product_ID]],2,3)</f>
        <v>104</v>
      </c>
      <c r="BC259" t="str">
        <f>RIGHT(Table1[[#This Row],[Product_ID]],3)</f>
        <v>104</v>
      </c>
      <c r="BD259" t="str">
        <f>LEFT(Table1[[#This Row],[Product_ID]],3)</f>
        <v>P10</v>
      </c>
      <c r="BE259" t="str">
        <f>_xlfn.XLOOKUP(Table1[[#This Row],[Product_ID]],AW:AW,BF:BF,,0)</f>
        <v>USB-C Hub</v>
      </c>
      <c r="BF259" t="s">
        <v>203</v>
      </c>
      <c r="BG259">
        <f>LEN(Table1[[#This Row],[Product_Name]])</f>
        <v>9</v>
      </c>
      <c r="BH259" t="s">
        <v>154</v>
      </c>
      <c r="BI259">
        <f t="shared" si="28"/>
        <v>75</v>
      </c>
      <c r="BJ259" t="str">
        <f>SUBSTITUTE(Table1[[#This Row],[Category]],"Electronics","ELECTRONICS")</f>
        <v>ELECTRONICS</v>
      </c>
      <c r="BN259" t="s">
        <v>155</v>
      </c>
      <c r="BS259" s="14">
        <v>5</v>
      </c>
      <c r="BT259" s="3">
        <v>1899</v>
      </c>
      <c r="BU259" s="4">
        <v>0</v>
      </c>
      <c r="BV259" s="4" t="str">
        <f>IF(AND(Table1[[#This Row],[Quantity]]&gt;=3,Table1[[#This Row],[Discount_%]]&gt;=15%),"Bulk Discount","no")</f>
        <v>no</v>
      </c>
      <c r="BW259" s="4" t="str">
        <f>IF(AND(Table1[[#This Row],[Quantity]]&gt;3,Table1[[#This Row],[Discount_%]]&gt;15%),"Bulk Customer","Normal")</f>
        <v>Normal</v>
      </c>
      <c r="BX259" t="s">
        <v>330</v>
      </c>
      <c r="BY259" t="s">
        <v>374</v>
      </c>
      <c r="CC259" t="str">
        <f>IF(OR(Table1[[#This Row],[Order_Status]]="Returned",Table1[[#This Row],[Order_Status]]="Cancelled"),"Attention Required","Not")</f>
        <v>Attention Required</v>
      </c>
      <c r="CD259" t="str">
        <f>IF(OR(Table1[[#This Row],[Order_Status]]="Returned",Table1[[#This Row],[Order_Status]]="Cancelled"),"Review","no")</f>
        <v>Review</v>
      </c>
      <c r="CE259" t="str">
        <f>SUBSTITUTE(Table1[[#This Row],[Order_Status]],"Delivered","Completed")</f>
        <v>Returned</v>
      </c>
      <c r="CF259" s="2">
        <v>46068</v>
      </c>
      <c r="CG259" s="17">
        <f>NETWORKDAYS(Table1[[#This Row],[Order_Date]],Table1[[#This Row],[Delivery_Date]])</f>
        <v>4</v>
      </c>
      <c r="CH259" s="17">
        <f>Table1[[#This Row],[Delivery_Date]]-Table1[[#This Row],[Order_Date]]</f>
        <v>5</v>
      </c>
      <c r="CI259" t="s">
        <v>375</v>
      </c>
      <c r="CJ259" t="str">
        <f>IF(Table1[[#This Row],[Rating]]&gt;=4,"Good","Needs Improvement")</f>
        <v>Good</v>
      </c>
      <c r="CK259" t="str">
        <f>IF(OR(Table1[[#This Row],[Rating]]&lt;=2,Table1[[#This Row],[Profit]]&lt;0),"Review","NO")</f>
        <v>NO</v>
      </c>
      <c r="CL259" t="str" cm="1">
        <f t="array" ref="CL259">_xlfn.IFS(Table1[[#This Row],[Rating]]&gt;2,"Poor",Table1[[#This Row],[Rating]]=3,"Average",Table1[[#This Row],[Rating]]=4,"Good",CP259=5,"Excellent")</f>
        <v>Poor</v>
      </c>
      <c r="CM259">
        <f>COUNT(Table1[[#This Row],[Rating]])</f>
        <v>1</v>
      </c>
      <c r="CN259">
        <f>COUNTBLANK(Table1[[#This Row],[Rating]])</f>
        <v>0</v>
      </c>
      <c r="CP259" t="s">
        <v>138</v>
      </c>
      <c r="CQ259" s="14">
        <v>4</v>
      </c>
      <c r="CR259" t="s">
        <v>204</v>
      </c>
      <c r="CS259" t="s">
        <v>213</v>
      </c>
      <c r="CU259" s="3">
        <v>9495</v>
      </c>
      <c r="CV259" s="3">
        <f>ROUND(Table1[[#This Row],[Sales_Amount]],0)</f>
        <v>9495</v>
      </c>
      <c r="CW259" s="3"/>
      <c r="CX259" s="3"/>
      <c r="CY259" s="3" t="b">
        <f>IF(AND(Table1[[#This Row],[Sales_Amount]]&gt;=10000,Table1[[#This Row],[Profit]]&gt;0),"Good Order")</f>
        <v>0</v>
      </c>
      <c r="CZ259" s="3" t="str">
        <f>IF(Table1[[#This Row],[Sales_Amount]]&gt;=10000,"High","Normal")</f>
        <v>Normal</v>
      </c>
      <c r="DA259" s="3">
        <v>3995</v>
      </c>
      <c r="DB259" s="3">
        <f>ROUND(Table1[[#This Row],[Profit]],0)</f>
        <v>3995</v>
      </c>
      <c r="DC259" s="3">
        <f>ABS(Table1[[#This Row],[Profit]])</f>
        <v>3995</v>
      </c>
      <c r="DD259" s="3"/>
      <c r="DE259" s="3"/>
      <c r="DF259" s="3"/>
      <c r="DG259" s="3" t="str">
        <f>IF(Table1[[#This Row],[Profit]]&gt;0,"Profit","Loss")</f>
        <v>Profit</v>
      </c>
      <c r="DH259" s="3" t="str">
        <f>IF(AND(Table1[[#This Row],[Sales_Amount]]&gt;=10000,Table1[[#This Row],[Profit]]&gt;0),"Priority","Normal")</f>
        <v>Normal</v>
      </c>
      <c r="DI259" s="3">
        <f t="shared" ca="1" si="30"/>
        <v>0.40195472778078445</v>
      </c>
      <c r="DJ259" s="3">
        <f t="shared" ca="1" si="31"/>
        <v>84</v>
      </c>
      <c r="DK259" s="3"/>
      <c r="DL259" s="3"/>
      <c r="DM259" s="3"/>
      <c r="DN259" s="3"/>
      <c r="DO259" s="3"/>
      <c r="DP259" s="3"/>
    </row>
    <row r="260" spans="1:120">
      <c r="A260" t="s">
        <v>1218</v>
      </c>
      <c r="B260" t="str">
        <f>REPLACE(Table1[[#This Row],[Order_ID]],1,3,"YOO")</f>
        <v>YOO10259</v>
      </c>
      <c r="C260" t="str">
        <f>MID(Table1[[#This Row],[Order_ID]],4,4)</f>
        <v>1025</v>
      </c>
      <c r="D260" t="str">
        <f>LEFT(Table1[[#This Row],[Order_ID]],4)</f>
        <v>ORD1</v>
      </c>
      <c r="E260" t="str">
        <f>RIGHT(Table1[[#This Row],[Order_ID]],5)</f>
        <v>10259</v>
      </c>
      <c r="F260" t="s">
        <v>5</v>
      </c>
      <c r="G260">
        <v>10259</v>
      </c>
      <c r="H260" t="s">
        <v>1219</v>
      </c>
      <c r="I260" s="2">
        <f>EDATE(Table1[[#This Row],[Order_Date]],3)</f>
        <v>45845</v>
      </c>
      <c r="J260" s="2">
        <f>EDATE(Table1[[#This Row],[Order_Date]],6)</f>
        <v>45937</v>
      </c>
      <c r="K260">
        <f ca="1">YEAR(Table1[[#This Row],[Today]])</f>
        <v>2026</v>
      </c>
      <c r="L260">
        <v>259</v>
      </c>
      <c r="M260">
        <f ca="1">DAY(Table1[[#This Row],[Today]])</f>
        <v>11</v>
      </c>
      <c r="N260" s="19">
        <f t="shared" ref="N260:N323" ca="1" si="34">NOW()</f>
        <v>46245.589795138891</v>
      </c>
      <c r="O260" s="2">
        <f t="shared" ca="1" si="29"/>
        <v>46245</v>
      </c>
      <c r="P260" s="17">
        <f ca="1">Table1[[#This Row],[Today]]-Table1[[#This Row],[Order_Date]]</f>
        <v>491</v>
      </c>
      <c r="Q260" s="2">
        <v>45916</v>
      </c>
      <c r="R260" s="2">
        <v>45754</v>
      </c>
      <c r="S260" s="6">
        <f t="shared" si="32"/>
        <v>2025</v>
      </c>
      <c r="T260" s="7" t="str">
        <f t="shared" si="33"/>
        <v>April</v>
      </c>
      <c r="U260" s="2">
        <f>WORKDAY(Table1[[#This Row],[Order_Date]],5)</f>
        <v>45761</v>
      </c>
      <c r="V260" s="7" t="str">
        <f>CONCATENATE(Table1[[#This Row],[Customer_ID]],Table1[[#This Row],[Customer_Name]])</f>
        <v>C1004Priya Verma</v>
      </c>
      <c r="W260" t="s">
        <v>1220</v>
      </c>
      <c r="X260" t="s">
        <v>335</v>
      </c>
      <c r="Y260">
        <f>COUNTA(Table1[[#This Row],[Customer_Name]])</f>
        <v>1</v>
      </c>
      <c r="Z260" t="str">
        <f>SUBSTITUTE(Table1[[#This Row],[Customer_Name]]," ","_")</f>
        <v>Priya_Verma</v>
      </c>
      <c r="AA260" s="10">
        <f>IFERROR(SEARCH("a",Table1[[#This Row],[Customer_Name]]),"N/A")</f>
        <v>5</v>
      </c>
      <c r="AB260">
        <f>SEARCH(" ",Table1[[#This Row],[Customer_Name]])</f>
        <v>6</v>
      </c>
      <c r="AC260" s="11">
        <f>IFERROR(FIND("a",Table1[[#This Row],[Customer_Name]]),"N/A")</f>
        <v>5</v>
      </c>
      <c r="AD260">
        <f>FIND(" ",Table1[[#This Row],[Customer_Name]])</f>
        <v>6</v>
      </c>
      <c r="AE260" t="str">
        <f>TRIM(Table1[[#This Row],[Customer_Name]])</f>
        <v>Priya Verma</v>
      </c>
      <c r="AF260">
        <f>LEN(Table1[[#This Row],[Trimmed]])</f>
        <v>11</v>
      </c>
      <c r="AG260">
        <f>MAX(Table1[Length])</f>
        <v>15</v>
      </c>
      <c r="AH260" t="str">
        <f>PROPER(Table1[[#This Row],[Customer_Name]])</f>
        <v>Priya Verma</v>
      </c>
      <c r="AI260" t="str">
        <f>LOWER(Table1[[#This Row],[Customer_Name]])</f>
        <v>priya verma</v>
      </c>
      <c r="AJ260" t="str">
        <f>UPPER(Table1[[#This Row],[Customer_Name]])</f>
        <v>PRIYA VERMA</v>
      </c>
      <c r="AK260" t="str">
        <f>CONCATENATE(Table1[[#This Row],[Customer_ID]],Table1[[#This Row],[Customer_Name]])</f>
        <v>C1004Priya Verma</v>
      </c>
      <c r="AL260" t="s">
        <v>174</v>
      </c>
      <c r="AM260" t="s">
        <v>336</v>
      </c>
      <c r="AN260" t="s">
        <v>337</v>
      </c>
      <c r="AO260" t="s">
        <v>174</v>
      </c>
      <c r="AP260" t="s">
        <v>336</v>
      </c>
      <c r="AQ260" t="s">
        <v>148</v>
      </c>
      <c r="AR260" t="str">
        <f>TRIM(Table1[[#This Row],[City]])</f>
        <v>Jaipur</v>
      </c>
      <c r="AS260" t="str">
        <f>PROPER(Table1[[#This Row],[City]])</f>
        <v>Jaipur</v>
      </c>
      <c r="AT260" t="s">
        <v>149</v>
      </c>
      <c r="AU260" t="str">
        <f>CONCATENATE(Table1[[#This Row],[City]],Table1[[#This Row],[State]])</f>
        <v>JaipurRajasthan</v>
      </c>
      <c r="AV260" t="s">
        <v>150</v>
      </c>
      <c r="AW260" t="s">
        <v>477</v>
      </c>
      <c r="AX260" t="str">
        <f>REPLACE(Table1[[#This Row],[Product_ID]],1,1,"s")</f>
        <v>s109</v>
      </c>
      <c r="AY260" t="s">
        <v>1221</v>
      </c>
      <c r="AZ260">
        <f>SEARCH("-",Table1[[#This Row],[Product ID]])</f>
        <v>2</v>
      </c>
      <c r="BA260">
        <f>FIND("-",Table1[[#This Row],[Product ID]])</f>
        <v>2</v>
      </c>
      <c r="BB260" t="str">
        <f>MID(Table1[[#This Row],[Product_ID]],2,3)</f>
        <v>109</v>
      </c>
      <c r="BC260" t="str">
        <f>RIGHT(Table1[[#This Row],[Product_ID]],3)</f>
        <v>109</v>
      </c>
      <c r="BD260" t="str">
        <f>LEFT(Table1[[#This Row],[Product_ID]],3)</f>
        <v>P10</v>
      </c>
      <c r="BE260" t="str">
        <f>_xlfn.XLOOKUP(Table1[[#This Row],[Product_ID]],AW:AW,BF:BF,,0)</f>
        <v>Backpack</v>
      </c>
      <c r="BF260" t="s">
        <v>479</v>
      </c>
      <c r="BG260">
        <f>LEN(Table1[[#This Row],[Product_Name]])</f>
        <v>8</v>
      </c>
      <c r="BH260" t="s">
        <v>224</v>
      </c>
      <c r="BI260">
        <f t="shared" si="28"/>
        <v>75</v>
      </c>
      <c r="BJ260" t="str">
        <f>SUBSTITUTE(Table1[[#This Row],[Category]],"Electronics","ELECTRONICS")</f>
        <v>Fashion</v>
      </c>
      <c r="BN260" t="s">
        <v>480</v>
      </c>
      <c r="BS260" s="14">
        <v>4</v>
      </c>
      <c r="BT260" s="3">
        <v>2299</v>
      </c>
      <c r="BU260" s="4">
        <v>0</v>
      </c>
      <c r="BV260" s="4" t="str">
        <f>IF(AND(Table1[[#This Row],[Quantity]]&gt;=3,Table1[[#This Row],[Discount_%]]&gt;=15%),"Bulk Discount","no")</f>
        <v>no</v>
      </c>
      <c r="BW260" s="4" t="str">
        <f>IF(AND(Table1[[#This Row],[Quantity]]&gt;3,Table1[[#This Row],[Discount_%]]&gt;15%),"Bulk Customer","Normal")</f>
        <v>Normal</v>
      </c>
      <c r="BX260" t="s">
        <v>187</v>
      </c>
      <c r="BY260" t="s">
        <v>193</v>
      </c>
      <c r="CC260" t="str">
        <f>IF(OR(Table1[[#This Row],[Order_Status]]="Returned",Table1[[#This Row],[Order_Status]]="Cancelled"),"Attention Required","Not")</f>
        <v>Not</v>
      </c>
      <c r="CD260" t="str">
        <f>IF(OR(Table1[[#This Row],[Order_Status]]="Returned",Table1[[#This Row],[Order_Status]]="Cancelled"),"Review","no")</f>
        <v>no</v>
      </c>
      <c r="CE260" t="str">
        <f>SUBSTITUTE(Table1[[#This Row],[Order_Status]],"Delivered","Completed")</f>
        <v>Shipped</v>
      </c>
      <c r="CF260" s="2">
        <v>45757</v>
      </c>
      <c r="CG260" s="17">
        <f>NETWORKDAYS(Table1[[#This Row],[Order_Date]],Table1[[#This Row],[Delivery_Date]])</f>
        <v>4</v>
      </c>
      <c r="CH260" s="17">
        <f>Table1[[#This Row],[Delivery_Date]]-Table1[[#This Row],[Order_Date]]</f>
        <v>3</v>
      </c>
      <c r="CI260" t="s">
        <v>137</v>
      </c>
      <c r="CJ260" t="str">
        <f>IF(Table1[[#This Row],[Rating]]&gt;=4,"Good","Needs Improvement")</f>
        <v>Needs Improvement</v>
      </c>
      <c r="CK260" t="str">
        <f>IF(OR(Table1[[#This Row],[Rating]]&lt;=2,Table1[[#This Row],[Profit]]&lt;0),"Review","NO")</f>
        <v>Review</v>
      </c>
      <c r="CL260" t="e" cm="1">
        <f t="array" ref="CL260">_xlfn.IFS(Table1[[#This Row],[Rating]]&gt;2,"Poor",Table1[[#This Row],[Rating]]=3,"Average",Table1[[#This Row],[Rating]]=4,"Good",CP260=5,"Excellent")</f>
        <v>#N/A</v>
      </c>
      <c r="CM260">
        <f>COUNT(Table1[[#This Row],[Rating]])</f>
        <v>1</v>
      </c>
      <c r="CN260">
        <f>COUNTBLANK(Table1[[#This Row],[Rating]])</f>
        <v>0</v>
      </c>
      <c r="CP260" t="s">
        <v>194</v>
      </c>
      <c r="CQ260" s="14">
        <v>2</v>
      </c>
      <c r="CR260" t="s">
        <v>139</v>
      </c>
      <c r="CS260" t="s">
        <v>267</v>
      </c>
      <c r="CU260" s="3">
        <v>9196</v>
      </c>
      <c r="CV260" s="3">
        <f>ROUND(Table1[[#This Row],[Sales_Amount]],0)</f>
        <v>9196</v>
      </c>
      <c r="CW260" s="3"/>
      <c r="CX260" s="3"/>
      <c r="CY260" s="3" t="b">
        <f>IF(AND(Table1[[#This Row],[Sales_Amount]]&gt;=10000,Table1[[#This Row],[Profit]]&gt;0),"Good Order")</f>
        <v>0</v>
      </c>
      <c r="CZ260" s="3" t="str">
        <f>IF(Table1[[#This Row],[Sales_Amount]]&gt;=10000,"High","Normal")</f>
        <v>Normal</v>
      </c>
      <c r="DA260" s="3">
        <v>4196</v>
      </c>
      <c r="DB260" s="3">
        <f>ROUND(Table1[[#This Row],[Profit]],0)</f>
        <v>4196</v>
      </c>
      <c r="DC260" s="3">
        <f>ABS(Table1[[#This Row],[Profit]])</f>
        <v>4196</v>
      </c>
      <c r="DD260" s="3"/>
      <c r="DE260" s="3"/>
      <c r="DF260" s="3"/>
      <c r="DG260" s="3" t="str">
        <f>IF(Table1[[#This Row],[Profit]]&gt;0,"Profit","Loss")</f>
        <v>Profit</v>
      </c>
      <c r="DH260" s="3" t="str">
        <f>IF(AND(Table1[[#This Row],[Sales_Amount]]&gt;=10000,Table1[[#This Row],[Profit]]&gt;0),"Priority","Normal")</f>
        <v>Normal</v>
      </c>
      <c r="DI260" s="3">
        <f t="shared" ca="1" si="30"/>
        <v>0.79029408479191565</v>
      </c>
      <c r="DJ260" s="3">
        <f t="shared" ca="1" si="31"/>
        <v>47</v>
      </c>
      <c r="DK260" s="3"/>
      <c r="DL260" s="3"/>
      <c r="DM260" s="3"/>
      <c r="DN260" s="3"/>
      <c r="DO260" s="3"/>
      <c r="DP260" s="3"/>
    </row>
    <row r="261" spans="1:120">
      <c r="A261" t="s">
        <v>1222</v>
      </c>
      <c r="B261" t="str">
        <f>REPLACE(Table1[[#This Row],[Order_ID]],1,3,"YOO")</f>
        <v>YOO10260</v>
      </c>
      <c r="C261" t="str">
        <f>MID(Table1[[#This Row],[Order_ID]],4,4)</f>
        <v>1026</v>
      </c>
      <c r="D261" t="str">
        <f>LEFT(Table1[[#This Row],[Order_ID]],4)</f>
        <v>ORD1</v>
      </c>
      <c r="E261" t="str">
        <f>RIGHT(Table1[[#This Row],[Order_ID]],5)</f>
        <v>10260</v>
      </c>
      <c r="F261" t="s">
        <v>5</v>
      </c>
      <c r="G261">
        <v>10260</v>
      </c>
      <c r="H261" t="s">
        <v>1223</v>
      </c>
      <c r="I261" s="2">
        <f>EDATE(Table1[[#This Row],[Order_Date]],3)</f>
        <v>45836</v>
      </c>
      <c r="J261" s="2">
        <f>EDATE(Table1[[#This Row],[Order_Date]],6)</f>
        <v>45928</v>
      </c>
      <c r="K261">
        <f ca="1">YEAR(Table1[[#This Row],[Today]])</f>
        <v>2026</v>
      </c>
      <c r="L261">
        <v>260</v>
      </c>
      <c r="M261">
        <f ca="1">DAY(Table1[[#This Row],[Today]])</f>
        <v>11</v>
      </c>
      <c r="N261" s="19">
        <f t="shared" ca="1" si="34"/>
        <v>46245.589795370368</v>
      </c>
      <c r="O261" s="2">
        <f t="shared" ca="1" si="29"/>
        <v>46245</v>
      </c>
      <c r="P261" s="17">
        <f ca="1">Table1[[#This Row],[Today]]-Table1[[#This Row],[Order_Date]]</f>
        <v>501</v>
      </c>
      <c r="Q261" s="2">
        <v>45917</v>
      </c>
      <c r="R261" s="2">
        <v>45744</v>
      </c>
      <c r="S261" s="6">
        <f t="shared" si="32"/>
        <v>2025</v>
      </c>
      <c r="T261" s="7" t="str">
        <f t="shared" si="33"/>
        <v>March</v>
      </c>
      <c r="U261" s="2">
        <f>WORKDAY(Table1[[#This Row],[Order_Date]],5)</f>
        <v>45751</v>
      </c>
      <c r="V261" s="7" t="str">
        <f>CONCATENATE(Table1[[#This Row],[Customer_ID]],Table1[[#This Row],[Customer_Name]])</f>
        <v xml:space="preserve">C1017  karan patel  </v>
      </c>
      <c r="W261" t="s">
        <v>685</v>
      </c>
      <c r="X261" t="s">
        <v>1224</v>
      </c>
      <c r="Y261">
        <f>COUNTA(Table1[[#This Row],[Customer_Name]])</f>
        <v>1</v>
      </c>
      <c r="Z261" t="str">
        <f>SUBSTITUTE(Table1[[#This Row],[Customer_Name]]," ","_")</f>
        <v>__karan_patel__</v>
      </c>
      <c r="AA261" s="10">
        <f>IFERROR(SEARCH("a",Table1[[#This Row],[Customer_Name]]),"N/A")</f>
        <v>4</v>
      </c>
      <c r="AB261">
        <f>SEARCH(" ",Table1[[#This Row],[Customer_Name]])</f>
        <v>1</v>
      </c>
      <c r="AC261" s="11">
        <f>IFERROR(FIND("a",Table1[[#This Row],[Customer_Name]]),"N/A")</f>
        <v>4</v>
      </c>
      <c r="AD261">
        <f>FIND(" ",Table1[[#This Row],[Customer_Name]])</f>
        <v>1</v>
      </c>
      <c r="AE261" t="str">
        <f>TRIM(Table1[[#This Row],[Customer_Name]])</f>
        <v>karan patel</v>
      </c>
      <c r="AF261">
        <f>LEN(Table1[[#This Row],[Trimmed]])</f>
        <v>11</v>
      </c>
      <c r="AG261">
        <f>MAX(Table1[Length])</f>
        <v>15</v>
      </c>
      <c r="AH261" t="str">
        <f>PROPER(Table1[[#This Row],[Customer_Name]])</f>
        <v xml:space="preserve">  Karan Patel  </v>
      </c>
      <c r="AI261" t="str">
        <f>LOWER(Table1[[#This Row],[Customer_Name]])</f>
        <v xml:space="preserve">  karan patel  </v>
      </c>
      <c r="AJ261" t="str">
        <f>UPPER(Table1[[#This Row],[Customer_Name]])</f>
        <v xml:space="preserve">  KARAN PATEL  </v>
      </c>
      <c r="AK261" t="str">
        <f>CONCATENATE(Table1[[#This Row],[Customer_ID]],Table1[[#This Row],[Customer_Name]])</f>
        <v xml:space="preserve">C1017  karan patel  </v>
      </c>
      <c r="AL261" t="s">
        <v>1225</v>
      </c>
      <c r="AM261" t="s">
        <v>1226</v>
      </c>
      <c r="AN261" t="s">
        <v>283</v>
      </c>
      <c r="AO261" t="s">
        <v>1225</v>
      </c>
      <c r="AP261" t="s">
        <v>1226</v>
      </c>
      <c r="AQ261" t="s">
        <v>199</v>
      </c>
      <c r="AR261" t="str">
        <f>TRIM(Table1[[#This Row],[City]])</f>
        <v>Lucknow</v>
      </c>
      <c r="AS261" t="str">
        <f>PROPER(Table1[[#This Row],[City]])</f>
        <v>Lucknow</v>
      </c>
      <c r="AT261" t="s">
        <v>200</v>
      </c>
      <c r="AU261" t="str">
        <f>CONCATENATE(Table1[[#This Row],[City]],Table1[[#This Row],[State]])</f>
        <v>LucknowUttar Pradesh</v>
      </c>
      <c r="AV261" t="s">
        <v>150</v>
      </c>
      <c r="AW261" t="s">
        <v>221</v>
      </c>
      <c r="AX261" t="str">
        <f>REPLACE(Table1[[#This Row],[Product_ID]],1,1,"s")</f>
        <v>s106</v>
      </c>
      <c r="AY261" t="s">
        <v>1227</v>
      </c>
      <c r="AZ261">
        <f>SEARCH("-",Table1[[#This Row],[Product ID]])</f>
        <v>2</v>
      </c>
      <c r="BA261">
        <f>FIND("-",Table1[[#This Row],[Product ID]])</f>
        <v>2</v>
      </c>
      <c r="BB261" t="str">
        <f>MID(Table1[[#This Row],[Product_ID]],2,3)</f>
        <v>106</v>
      </c>
      <c r="BC261" t="str">
        <f>RIGHT(Table1[[#This Row],[Product_ID]],3)</f>
        <v>106</v>
      </c>
      <c r="BD261" t="str">
        <f>LEFT(Table1[[#This Row],[Product_ID]],3)</f>
        <v>P10</v>
      </c>
      <c r="BE261" t="str">
        <f>_xlfn.XLOOKUP(Table1[[#This Row],[Product_ID]],AW:AW,BF:BF,,0)</f>
        <v>Running Shoes</v>
      </c>
      <c r="BF261" t="s">
        <v>223</v>
      </c>
      <c r="BG261">
        <f>LEN(Table1[[#This Row],[Product_Name]])</f>
        <v>13</v>
      </c>
      <c r="BH261" t="s">
        <v>224</v>
      </c>
      <c r="BI261">
        <f t="shared" ref="BI261:BI324" si="35">COUNTIFS(BH:BH,"Electronics",CQ:CQ,"&gt;=4")</f>
        <v>75</v>
      </c>
      <c r="BJ261" t="str">
        <f>SUBSTITUTE(Table1[[#This Row],[Category]],"Electronics","ELECTRONICS")</f>
        <v>Fashion</v>
      </c>
      <c r="BN261" t="s">
        <v>225</v>
      </c>
      <c r="BS261" s="14">
        <v>5</v>
      </c>
      <c r="BT261" s="3">
        <v>3499</v>
      </c>
      <c r="BU261" s="4">
        <v>10</v>
      </c>
      <c r="BV261" s="4" t="str">
        <f>IF(AND(Table1[[#This Row],[Quantity]]&gt;=3,Table1[[#This Row],[Discount_%]]&gt;=15%),"Bulk Discount","no")</f>
        <v>Bulk Discount</v>
      </c>
      <c r="BW261" s="4" t="str">
        <f>IF(AND(Table1[[#This Row],[Quantity]]&gt;3,Table1[[#This Row],[Discount_%]]&gt;15%),"Bulk Customer","Normal")</f>
        <v>Bulk Customer</v>
      </c>
      <c r="BX261" t="s">
        <v>330</v>
      </c>
      <c r="BY261" t="s">
        <v>193</v>
      </c>
      <c r="CC261" t="str">
        <f>IF(OR(Table1[[#This Row],[Order_Status]]="Returned",Table1[[#This Row],[Order_Status]]="Cancelled"),"Attention Required","Not")</f>
        <v>Not</v>
      </c>
      <c r="CD261" t="str">
        <f>IF(OR(Table1[[#This Row],[Order_Status]]="Returned",Table1[[#This Row],[Order_Status]]="Cancelled"),"Review","no")</f>
        <v>no</v>
      </c>
      <c r="CE261" t="str">
        <f>SUBSTITUTE(Table1[[#This Row],[Order_Status]],"Delivered","Completed")</f>
        <v>Shipped</v>
      </c>
      <c r="CF261" s="2">
        <v>45746</v>
      </c>
      <c r="CG261" s="17">
        <f>NETWORKDAYS(Table1[[#This Row],[Order_Date]],Table1[[#This Row],[Delivery_Date]])</f>
        <v>1</v>
      </c>
      <c r="CH261" s="17">
        <f>Table1[[#This Row],[Delivery_Date]]-Table1[[#This Row],[Order_Date]]</f>
        <v>2</v>
      </c>
      <c r="CI261" t="s">
        <v>137</v>
      </c>
      <c r="CJ261" t="str">
        <f>IF(Table1[[#This Row],[Rating]]&gt;=4,"Good","Needs Improvement")</f>
        <v>Needs Improvement</v>
      </c>
      <c r="CK261" t="str">
        <f>IF(OR(Table1[[#This Row],[Rating]]&lt;=2,Table1[[#This Row],[Profit]]&lt;0),"Review","NO")</f>
        <v>Review</v>
      </c>
      <c r="CL261" t="e" cm="1">
        <f t="array" ref="CL261">_xlfn.IFS(Table1[[#This Row],[Rating]]&gt;2,"Poor",Table1[[#This Row],[Rating]]=3,"Average",Table1[[#This Row],[Rating]]=4,"Good",CP261=5,"Excellent")</f>
        <v>#N/A</v>
      </c>
      <c r="CM261">
        <f>COUNT(Table1[[#This Row],[Rating]])</f>
        <v>1</v>
      </c>
      <c r="CN261">
        <f>COUNTBLANK(Table1[[#This Row],[Rating]])</f>
        <v>0</v>
      </c>
      <c r="CP261" t="s">
        <v>194</v>
      </c>
      <c r="CQ261" s="14">
        <v>1</v>
      </c>
      <c r="CR261" t="s">
        <v>139</v>
      </c>
      <c r="CS261" t="s">
        <v>195</v>
      </c>
      <c r="CU261" s="3">
        <v>15745.5</v>
      </c>
      <c r="CV261" s="3">
        <f>ROUND(Table1[[#This Row],[Sales_Amount]],0)</f>
        <v>15746</v>
      </c>
      <c r="CW261" s="3"/>
      <c r="CX261" s="3"/>
      <c r="CY261" s="3" t="str">
        <f>IF(AND(Table1[[#This Row],[Sales_Amount]]&gt;=10000,Table1[[#This Row],[Profit]]&gt;0),"Good Order")</f>
        <v>Good Order</v>
      </c>
      <c r="CZ261" s="3" t="str">
        <f>IF(Table1[[#This Row],[Sales_Amount]]&gt;=10000,"High","Normal")</f>
        <v>High</v>
      </c>
      <c r="DA261" s="3">
        <v>6245.5</v>
      </c>
      <c r="DB261" s="3">
        <f>ROUND(Table1[[#This Row],[Profit]],0)</f>
        <v>6246</v>
      </c>
      <c r="DC261" s="3">
        <f>ABS(Table1[[#This Row],[Profit]])</f>
        <v>6245.5</v>
      </c>
      <c r="DD261" s="3"/>
      <c r="DE261" s="3"/>
      <c r="DF261" s="3"/>
      <c r="DG261" s="3" t="str">
        <f>IF(Table1[[#This Row],[Profit]]&gt;0,"Profit","Loss")</f>
        <v>Profit</v>
      </c>
      <c r="DH261" s="3" t="str">
        <f>IF(AND(Table1[[#This Row],[Sales_Amount]]&gt;=10000,Table1[[#This Row],[Profit]]&gt;0),"Priority","Normal")</f>
        <v>Priority</v>
      </c>
      <c r="DI261" s="3">
        <f t="shared" ca="1" si="30"/>
        <v>0.38878712017669403</v>
      </c>
      <c r="DJ261" s="3">
        <f t="shared" ca="1" si="31"/>
        <v>50</v>
      </c>
      <c r="DK261" s="3"/>
      <c r="DL261" s="3"/>
      <c r="DM261" s="3"/>
      <c r="DN261" s="3"/>
      <c r="DO261" s="3"/>
      <c r="DP261" s="3"/>
    </row>
    <row r="262" spans="1:120">
      <c r="A262" t="s">
        <v>1228</v>
      </c>
      <c r="B262" t="str">
        <f>REPLACE(Table1[[#This Row],[Order_ID]],1,3,"YOO")</f>
        <v>YOO10261</v>
      </c>
      <c r="C262" t="str">
        <f>MID(Table1[[#This Row],[Order_ID]],4,4)</f>
        <v>1026</v>
      </c>
      <c r="D262" t="str">
        <f>LEFT(Table1[[#This Row],[Order_ID]],4)</f>
        <v>ORD1</v>
      </c>
      <c r="E262" t="str">
        <f>RIGHT(Table1[[#This Row],[Order_ID]],5)</f>
        <v>10261</v>
      </c>
      <c r="F262" t="s">
        <v>5</v>
      </c>
      <c r="G262">
        <v>10261</v>
      </c>
      <c r="H262" t="s">
        <v>1229</v>
      </c>
      <c r="I262" s="2">
        <f>EDATE(Table1[[#This Row],[Order_Date]],3)</f>
        <v>46221</v>
      </c>
      <c r="J262" s="2">
        <f>EDATE(Table1[[#This Row],[Order_Date]],6)</f>
        <v>46313</v>
      </c>
      <c r="K262">
        <f ca="1">YEAR(Table1[[#This Row],[Today]])</f>
        <v>2026</v>
      </c>
      <c r="L262">
        <v>261</v>
      </c>
      <c r="M262">
        <f ca="1">DAY(Table1[[#This Row],[Today]])</f>
        <v>11</v>
      </c>
      <c r="N262" s="19">
        <f t="shared" ca="1" si="34"/>
        <v>46245.589795370368</v>
      </c>
      <c r="O262" s="2">
        <f t="shared" ca="1" si="29"/>
        <v>46245</v>
      </c>
      <c r="P262" s="17">
        <f ca="1">Table1[[#This Row],[Today]]-Table1[[#This Row],[Order_Date]]</f>
        <v>115</v>
      </c>
      <c r="Q262" s="2">
        <v>45918</v>
      </c>
      <c r="R262" s="2">
        <v>46130</v>
      </c>
      <c r="S262" s="6">
        <f t="shared" si="32"/>
        <v>2026</v>
      </c>
      <c r="T262" s="7" t="str">
        <f t="shared" si="33"/>
        <v>April</v>
      </c>
      <c r="U262" s="2">
        <f>WORKDAY(Table1[[#This Row],[Order_Date]],5)</f>
        <v>46136</v>
      </c>
      <c r="V262" s="7" t="str">
        <f>CONCATENATE(Table1[[#This Row],[Customer_ID]],Table1[[#This Row],[Customer_Name]])</f>
        <v>C1128Rahul Sharma</v>
      </c>
      <c r="W262" t="s">
        <v>1183</v>
      </c>
      <c r="X262" t="s">
        <v>290</v>
      </c>
      <c r="Y262">
        <f>COUNTA(Table1[[#This Row],[Customer_Name]])</f>
        <v>1</v>
      </c>
      <c r="Z262" t="str">
        <f>SUBSTITUTE(Table1[[#This Row],[Customer_Name]]," ","_")</f>
        <v>Rahul_Sharma</v>
      </c>
      <c r="AA262" s="10">
        <f>IFERROR(SEARCH("a",Table1[[#This Row],[Customer_Name]]),"N/A")</f>
        <v>2</v>
      </c>
      <c r="AB262">
        <f>SEARCH(" ",Table1[[#This Row],[Customer_Name]])</f>
        <v>6</v>
      </c>
      <c r="AC262" s="11">
        <f>IFERROR(FIND("a",Table1[[#This Row],[Customer_Name]]),"N/A")</f>
        <v>2</v>
      </c>
      <c r="AD262">
        <f>FIND(" ",Table1[[#This Row],[Customer_Name]])</f>
        <v>6</v>
      </c>
      <c r="AE262" t="str">
        <f>TRIM(Table1[[#This Row],[Customer_Name]])</f>
        <v>Rahul Sharma</v>
      </c>
      <c r="AF262">
        <f>LEN(Table1[[#This Row],[Trimmed]])</f>
        <v>12</v>
      </c>
      <c r="AG262">
        <f>MAX(Table1[Length])</f>
        <v>15</v>
      </c>
      <c r="AH262" t="str">
        <f>PROPER(Table1[[#This Row],[Customer_Name]])</f>
        <v>Rahul Sharma</v>
      </c>
      <c r="AI262" t="str">
        <f>LOWER(Table1[[#This Row],[Customer_Name]])</f>
        <v>rahul sharma</v>
      </c>
      <c r="AJ262" t="str">
        <f>UPPER(Table1[[#This Row],[Customer_Name]])</f>
        <v>RAHUL SHARMA</v>
      </c>
      <c r="AK262" t="str">
        <f>CONCATENATE(Table1[[#This Row],[Customer_ID]],Table1[[#This Row],[Customer_Name]])</f>
        <v>C1128Rahul Sharma</v>
      </c>
      <c r="AL262" t="s">
        <v>291</v>
      </c>
      <c r="AM262" t="s">
        <v>292</v>
      </c>
      <c r="AN262" t="s">
        <v>245</v>
      </c>
      <c r="AO262" t="s">
        <v>291</v>
      </c>
      <c r="AP262" t="s">
        <v>292</v>
      </c>
      <c r="AQ262" t="s">
        <v>182</v>
      </c>
      <c r="AR262" t="str">
        <f>TRIM(Table1[[#This Row],[City]])</f>
        <v>Mumbai</v>
      </c>
      <c r="AS262" t="str">
        <f>PROPER(Table1[[#This Row],[City]])</f>
        <v>Mumbai</v>
      </c>
      <c r="AT262" t="s">
        <v>128</v>
      </c>
      <c r="AU262" t="str">
        <f>CONCATENATE(Table1[[#This Row],[City]],Table1[[#This Row],[State]])</f>
        <v>MumbaiMaharashtra</v>
      </c>
      <c r="AV262" t="s">
        <v>129</v>
      </c>
      <c r="AW262" t="s">
        <v>151</v>
      </c>
      <c r="AX262" t="str">
        <f>REPLACE(Table1[[#This Row],[Product_ID]],1,1,"s")</f>
        <v>s102</v>
      </c>
      <c r="AY262" t="s">
        <v>1230</v>
      </c>
      <c r="AZ262">
        <f>SEARCH("-",Table1[[#This Row],[Product ID]])</f>
        <v>2</v>
      </c>
      <c r="BA262">
        <f>FIND("-",Table1[[#This Row],[Product ID]])</f>
        <v>2</v>
      </c>
      <c r="BB262" t="str">
        <f>MID(Table1[[#This Row],[Product_ID]],2,3)</f>
        <v>102</v>
      </c>
      <c r="BC262" t="str">
        <f>RIGHT(Table1[[#This Row],[Product_ID]],3)</f>
        <v>102</v>
      </c>
      <c r="BD262" t="str">
        <f>LEFT(Table1[[#This Row],[Product_ID]],3)</f>
        <v>P10</v>
      </c>
      <c r="BE262" t="str">
        <f>_xlfn.XLOOKUP(Table1[[#This Row],[Product_ID]],AW:AW,BF:BF,,0)</f>
        <v>Mechanical Keyboard</v>
      </c>
      <c r="BF262" t="s">
        <v>153</v>
      </c>
      <c r="BG262">
        <f>LEN(Table1[[#This Row],[Product_Name]])</f>
        <v>19</v>
      </c>
      <c r="BH262" t="s">
        <v>154</v>
      </c>
      <c r="BI262">
        <f t="shared" si="35"/>
        <v>75</v>
      </c>
      <c r="BJ262" t="str">
        <f>SUBSTITUTE(Table1[[#This Row],[Category]],"Electronics","ELECTRONICS")</f>
        <v>ELECTRONICS</v>
      </c>
      <c r="BN262" t="s">
        <v>155</v>
      </c>
      <c r="BS262" s="14">
        <v>1</v>
      </c>
      <c r="BT262" s="3">
        <v>2499</v>
      </c>
      <c r="BU262" s="4">
        <v>5</v>
      </c>
      <c r="BV262" s="4" t="str">
        <f>IF(AND(Table1[[#This Row],[Quantity]]&gt;=3,Table1[[#This Row],[Discount_%]]&gt;=15%),"Bulk Discount","no")</f>
        <v>no</v>
      </c>
      <c r="BW262" s="4" t="str">
        <f>IF(AND(Table1[[#This Row],[Quantity]]&gt;3,Table1[[#This Row],[Discount_%]]&gt;15%),"Bulk Customer","Normal")</f>
        <v>Normal</v>
      </c>
      <c r="BX262" t="s">
        <v>330</v>
      </c>
      <c r="BY262" t="s">
        <v>156</v>
      </c>
      <c r="CC262" t="str">
        <f>IF(OR(Table1[[#This Row],[Order_Status]]="Returned",Table1[[#This Row],[Order_Status]]="Cancelled"),"Attention Required","Not")</f>
        <v>Attention Required</v>
      </c>
      <c r="CD262" t="str">
        <f>IF(OR(Table1[[#This Row],[Order_Status]]="Returned",Table1[[#This Row],[Order_Status]]="Cancelled"),"Review","no")</f>
        <v>Review</v>
      </c>
      <c r="CE262" t="str">
        <f>SUBSTITUTE(Table1[[#This Row],[Order_Status]],"Delivered","Completed")</f>
        <v>Cancelled</v>
      </c>
      <c r="CF262" s="2">
        <v>46137</v>
      </c>
      <c r="CG262" s="17">
        <f>NETWORKDAYS(Table1[[#This Row],[Order_Date]],Table1[[#This Row],[Delivery_Date]])</f>
        <v>5</v>
      </c>
      <c r="CH262" s="17">
        <f>Table1[[#This Row],[Delivery_Date]]-Table1[[#This Row],[Order_Date]]</f>
        <v>7</v>
      </c>
      <c r="CI262" t="s">
        <v>137</v>
      </c>
      <c r="CJ262" t="str">
        <f>IF(Table1[[#This Row],[Rating]]&gt;=4,"Good","Needs Improvement")</f>
        <v>Good</v>
      </c>
      <c r="CK262" t="str">
        <f>IF(OR(Table1[[#This Row],[Rating]]&lt;=2,Table1[[#This Row],[Profit]]&lt;0),"Review","NO")</f>
        <v>NO</v>
      </c>
      <c r="CL262" t="str" cm="1">
        <f t="array" ref="CL262">_xlfn.IFS(Table1[[#This Row],[Rating]]&gt;2,"Poor",Table1[[#This Row],[Rating]]=3,"Average",Table1[[#This Row],[Rating]]=4,"Good",CP262=5,"Excellent")</f>
        <v>Poor</v>
      </c>
      <c r="CM262">
        <f>COUNT(Table1[[#This Row],[Rating]])</f>
        <v>1</v>
      </c>
      <c r="CN262">
        <f>COUNTBLANK(Table1[[#This Row],[Rating]])</f>
        <v>0</v>
      </c>
      <c r="CQ262" s="14">
        <v>5</v>
      </c>
      <c r="CR262" t="s">
        <v>173</v>
      </c>
      <c r="CS262" t="s">
        <v>158</v>
      </c>
      <c r="CU262" s="3">
        <v>2374.0500000000002</v>
      </c>
      <c r="CV262" s="3">
        <f>ROUND(Table1[[#This Row],[Sales_Amount]],0)</f>
        <v>2374</v>
      </c>
      <c r="CW262" s="3"/>
      <c r="CX262" s="3"/>
      <c r="CY262" s="3" t="b">
        <f>IF(AND(Table1[[#This Row],[Sales_Amount]]&gt;=10000,Table1[[#This Row],[Profit]]&gt;0),"Good Order")</f>
        <v>0</v>
      </c>
      <c r="CZ262" s="3" t="str">
        <f>IF(Table1[[#This Row],[Sales_Amount]]&gt;=10000,"High","Normal")</f>
        <v>Normal</v>
      </c>
      <c r="DA262" s="3">
        <v>924.05</v>
      </c>
      <c r="DB262" s="3">
        <f>ROUND(Table1[[#This Row],[Profit]],0)</f>
        <v>924</v>
      </c>
      <c r="DC262" s="3">
        <f>ABS(Table1[[#This Row],[Profit]])</f>
        <v>924.05</v>
      </c>
      <c r="DD262" s="3"/>
      <c r="DE262" s="3"/>
      <c r="DF262" s="3"/>
      <c r="DG262" s="3" t="str">
        <f>IF(Table1[[#This Row],[Profit]]&gt;0,"Profit","Loss")</f>
        <v>Profit</v>
      </c>
      <c r="DH262" s="3" t="str">
        <f>IF(AND(Table1[[#This Row],[Sales_Amount]]&gt;=10000,Table1[[#This Row],[Profit]]&gt;0),"Priority","Normal")</f>
        <v>Normal</v>
      </c>
      <c r="DI262" s="3">
        <f t="shared" ca="1" si="30"/>
        <v>0.69578793809220185</v>
      </c>
      <c r="DJ262" s="3">
        <f t="shared" ca="1" si="31"/>
        <v>64</v>
      </c>
      <c r="DK262" s="3"/>
      <c r="DL262" s="3"/>
      <c r="DM262" s="3"/>
      <c r="DN262" s="3"/>
      <c r="DO262" s="3"/>
      <c r="DP262" s="3"/>
    </row>
    <row r="263" spans="1:120">
      <c r="A263" t="s">
        <v>1231</v>
      </c>
      <c r="B263" t="str">
        <f>REPLACE(Table1[[#This Row],[Order_ID]],1,3,"YOO")</f>
        <v>YOO10262</v>
      </c>
      <c r="C263" t="str">
        <f>MID(Table1[[#This Row],[Order_ID]],4,4)</f>
        <v>1026</v>
      </c>
      <c r="D263" t="str">
        <f>LEFT(Table1[[#This Row],[Order_ID]],4)</f>
        <v>ORD1</v>
      </c>
      <c r="E263" t="str">
        <f>RIGHT(Table1[[#This Row],[Order_ID]],5)</f>
        <v>10262</v>
      </c>
      <c r="F263" t="s">
        <v>5</v>
      </c>
      <c r="G263">
        <v>10262</v>
      </c>
      <c r="H263" t="s">
        <v>1232</v>
      </c>
      <c r="I263" s="2">
        <f>EDATE(Table1[[#This Row],[Order_Date]],3)</f>
        <v>45941</v>
      </c>
      <c r="J263" s="2">
        <f>EDATE(Table1[[#This Row],[Order_Date]],6)</f>
        <v>46033</v>
      </c>
      <c r="K263">
        <f ca="1">YEAR(Table1[[#This Row],[Today]])</f>
        <v>2026</v>
      </c>
      <c r="L263">
        <v>262</v>
      </c>
      <c r="M263">
        <f ca="1">DAY(Table1[[#This Row],[Today]])</f>
        <v>11</v>
      </c>
      <c r="N263" s="19">
        <f t="shared" ca="1" si="34"/>
        <v>46245.589795138891</v>
      </c>
      <c r="O263" s="2">
        <f t="shared" ca="1" si="29"/>
        <v>46245</v>
      </c>
      <c r="P263" s="17">
        <f ca="1">Table1[[#This Row],[Today]]-Table1[[#This Row],[Order_Date]]</f>
        <v>396</v>
      </c>
      <c r="Q263" s="2">
        <v>45919</v>
      </c>
      <c r="R263" s="2">
        <v>45849</v>
      </c>
      <c r="S263" s="6">
        <f t="shared" si="32"/>
        <v>2025</v>
      </c>
      <c r="T263" s="7" t="str">
        <f t="shared" si="33"/>
        <v>July</v>
      </c>
      <c r="U263" s="2">
        <f>WORKDAY(Table1[[#This Row],[Order_Date]],5)</f>
        <v>45856</v>
      </c>
      <c r="V263" s="7" t="str">
        <f>CONCATENATE(Table1[[#This Row],[Customer_ID]],Table1[[#This Row],[Customer_Name]])</f>
        <v>C1063Pooja Jain</v>
      </c>
      <c r="W263" t="s">
        <v>589</v>
      </c>
      <c r="X263" t="s">
        <v>419</v>
      </c>
      <c r="Y263">
        <f>COUNTA(Table1[[#This Row],[Customer_Name]])</f>
        <v>1</v>
      </c>
      <c r="Z263" t="str">
        <f>SUBSTITUTE(Table1[[#This Row],[Customer_Name]]," ","_")</f>
        <v>Pooja_Jain</v>
      </c>
      <c r="AA263" s="10">
        <f>IFERROR(SEARCH("a",Table1[[#This Row],[Customer_Name]]),"N/A")</f>
        <v>5</v>
      </c>
      <c r="AB263">
        <f>SEARCH(" ",Table1[[#This Row],[Customer_Name]])</f>
        <v>6</v>
      </c>
      <c r="AC263" s="11">
        <f>IFERROR(FIND("a",Table1[[#This Row],[Customer_Name]]),"N/A")</f>
        <v>5</v>
      </c>
      <c r="AD263">
        <f>FIND(" ",Table1[[#This Row],[Customer_Name]])</f>
        <v>6</v>
      </c>
      <c r="AE263" t="str">
        <f>TRIM(Table1[[#This Row],[Customer_Name]])</f>
        <v>Pooja Jain</v>
      </c>
      <c r="AF263">
        <f>LEN(Table1[[#This Row],[Trimmed]])</f>
        <v>10</v>
      </c>
      <c r="AG263">
        <f>MAX(Table1[Length])</f>
        <v>15</v>
      </c>
      <c r="AH263" t="str">
        <f>PROPER(Table1[[#This Row],[Customer_Name]])</f>
        <v>Pooja Jain</v>
      </c>
      <c r="AI263" t="str">
        <f>LOWER(Table1[[#This Row],[Customer_Name]])</f>
        <v>pooja jain</v>
      </c>
      <c r="AJ263" t="str">
        <f>UPPER(Table1[[#This Row],[Customer_Name]])</f>
        <v>POOJA JAIN</v>
      </c>
      <c r="AK263" t="str">
        <f>CONCATENATE(Table1[[#This Row],[Customer_ID]],Table1[[#This Row],[Customer_Name]])</f>
        <v>C1063Pooja Jain</v>
      </c>
      <c r="AL263" t="s">
        <v>420</v>
      </c>
      <c r="AM263" t="s">
        <v>421</v>
      </c>
      <c r="AN263" t="s">
        <v>422</v>
      </c>
      <c r="AO263" t="s">
        <v>420</v>
      </c>
      <c r="AP263" t="s">
        <v>421</v>
      </c>
      <c r="AQ263" t="s">
        <v>148</v>
      </c>
      <c r="AR263" t="str">
        <f>TRIM(Table1[[#This Row],[City]])</f>
        <v>Jaipur</v>
      </c>
      <c r="AS263" t="str">
        <f>PROPER(Table1[[#This Row],[City]])</f>
        <v>Jaipur</v>
      </c>
      <c r="AT263" t="s">
        <v>149</v>
      </c>
      <c r="AU263" t="str">
        <f>CONCATENATE(Table1[[#This Row],[City]],Table1[[#This Row],[State]])</f>
        <v>JaipurRajasthan</v>
      </c>
      <c r="AV263" t="s">
        <v>150</v>
      </c>
      <c r="AW263" t="s">
        <v>221</v>
      </c>
      <c r="AX263" t="str">
        <f>REPLACE(Table1[[#This Row],[Product_ID]],1,1,"s")</f>
        <v>s106</v>
      </c>
      <c r="AY263" t="s">
        <v>1233</v>
      </c>
      <c r="AZ263">
        <f>SEARCH("-",Table1[[#This Row],[Product ID]])</f>
        <v>2</v>
      </c>
      <c r="BA263">
        <f>FIND("-",Table1[[#This Row],[Product ID]])</f>
        <v>2</v>
      </c>
      <c r="BB263" t="str">
        <f>MID(Table1[[#This Row],[Product_ID]],2,3)</f>
        <v>106</v>
      </c>
      <c r="BC263" t="str">
        <f>RIGHT(Table1[[#This Row],[Product_ID]],3)</f>
        <v>106</v>
      </c>
      <c r="BD263" t="str">
        <f>LEFT(Table1[[#This Row],[Product_ID]],3)</f>
        <v>P10</v>
      </c>
      <c r="BE263" t="str">
        <f>_xlfn.XLOOKUP(Table1[[#This Row],[Product_ID]],AW:AW,BF:BF,,0)</f>
        <v>Running Shoes</v>
      </c>
      <c r="BF263" t="s">
        <v>223</v>
      </c>
      <c r="BG263">
        <f>LEN(Table1[[#This Row],[Product_Name]])</f>
        <v>13</v>
      </c>
      <c r="BH263" t="s">
        <v>224</v>
      </c>
      <c r="BI263">
        <f t="shared" si="35"/>
        <v>75</v>
      </c>
      <c r="BJ263" t="str">
        <f>SUBSTITUTE(Table1[[#This Row],[Category]],"Electronics","ELECTRONICS")</f>
        <v>Fashion</v>
      </c>
      <c r="BN263" t="s">
        <v>225</v>
      </c>
      <c r="BS263" s="14">
        <v>3</v>
      </c>
      <c r="BT263" s="3">
        <v>3499</v>
      </c>
      <c r="BU263" s="4">
        <v>10</v>
      </c>
      <c r="BV263" s="4" t="str">
        <f>IF(AND(Table1[[#This Row],[Quantity]]&gt;=3,Table1[[#This Row],[Discount_%]]&gt;=15%),"Bulk Discount","no")</f>
        <v>Bulk Discount</v>
      </c>
      <c r="BW263" s="4" t="str">
        <f>IF(AND(Table1[[#This Row],[Quantity]]&gt;3,Table1[[#This Row],[Discount_%]]&gt;15%),"Bulk Customer","Normal")</f>
        <v>Normal</v>
      </c>
      <c r="BX263" t="s">
        <v>330</v>
      </c>
      <c r="BY263" t="s">
        <v>136</v>
      </c>
      <c r="CC263" t="str">
        <f>IF(OR(Table1[[#This Row],[Order_Status]]="Returned",Table1[[#This Row],[Order_Status]]="Cancelled"),"Attention Required","Not")</f>
        <v>Not</v>
      </c>
      <c r="CD263" t="str">
        <f>IF(OR(Table1[[#This Row],[Order_Status]]="Returned",Table1[[#This Row],[Order_Status]]="Cancelled"),"Review","no")</f>
        <v>no</v>
      </c>
      <c r="CE263" t="str">
        <f>SUBSTITUTE(Table1[[#This Row],[Order_Status]],"Delivered","Completed")</f>
        <v>Completed</v>
      </c>
      <c r="CF263" s="2">
        <v>45852</v>
      </c>
      <c r="CG263" s="17">
        <f>NETWORKDAYS(Table1[[#This Row],[Order_Date]],Table1[[#This Row],[Delivery_Date]])</f>
        <v>2</v>
      </c>
      <c r="CH263" s="17">
        <f>Table1[[#This Row],[Delivery_Date]]-Table1[[#This Row],[Order_Date]]</f>
        <v>3</v>
      </c>
      <c r="CI263" t="s">
        <v>137</v>
      </c>
      <c r="CJ263" t="str">
        <f>IF(Table1[[#This Row],[Rating]]&gt;=4,"Good","Needs Improvement")</f>
        <v>Needs Improvement</v>
      </c>
      <c r="CK263" t="str">
        <f>IF(OR(Table1[[#This Row],[Rating]]&lt;=2,Table1[[#This Row],[Profit]]&lt;0),"Review","NO")</f>
        <v>Review</v>
      </c>
      <c r="CL263" t="e" cm="1">
        <f t="array" ref="CL263">_xlfn.IFS(Table1[[#This Row],[Rating]]&gt;2,"Poor",Table1[[#This Row],[Rating]]=3,"Average",Table1[[#This Row],[Rating]]=4,"Good",CP263=5,"Excellent")</f>
        <v>#N/A</v>
      </c>
      <c r="CM263">
        <f>COUNT(Table1[[#This Row],[Rating]])</f>
        <v>0</v>
      </c>
      <c r="CN263">
        <f>COUNTBLANK(Table1[[#This Row],[Rating]])</f>
        <v>1</v>
      </c>
      <c r="CP263" t="s">
        <v>138</v>
      </c>
      <c r="CR263" t="s">
        <v>204</v>
      </c>
      <c r="CS263" t="s">
        <v>267</v>
      </c>
      <c r="CU263" s="3">
        <v>9447.2999999999993</v>
      </c>
      <c r="CV263" s="3">
        <f>ROUND(Table1[[#This Row],[Sales_Amount]],0)</f>
        <v>9447</v>
      </c>
      <c r="CW263" s="3"/>
      <c r="CX263" s="3"/>
      <c r="CY263" s="3" t="b">
        <f>IF(AND(Table1[[#This Row],[Sales_Amount]]&gt;=10000,Table1[[#This Row],[Profit]]&gt;0),"Good Order")</f>
        <v>0</v>
      </c>
      <c r="CZ263" s="3" t="str">
        <f>IF(Table1[[#This Row],[Sales_Amount]]&gt;=10000,"High","Normal")</f>
        <v>Normal</v>
      </c>
      <c r="DA263" s="3">
        <v>3747.3</v>
      </c>
      <c r="DB263" s="3">
        <f>ROUND(Table1[[#This Row],[Profit]],0)</f>
        <v>3747</v>
      </c>
      <c r="DC263" s="3">
        <f>ABS(Table1[[#This Row],[Profit]])</f>
        <v>3747.3</v>
      </c>
      <c r="DD263" s="3"/>
      <c r="DE263" s="3"/>
      <c r="DF263" s="3"/>
      <c r="DG263" s="3" t="str">
        <f>IF(Table1[[#This Row],[Profit]]&gt;0,"Profit","Loss")</f>
        <v>Profit</v>
      </c>
      <c r="DH263" s="3" t="str">
        <f>IF(AND(Table1[[#This Row],[Sales_Amount]]&gt;=10000,Table1[[#This Row],[Profit]]&gt;0),"Priority","Normal")</f>
        <v>Normal</v>
      </c>
      <c r="DI263" s="3">
        <f t="shared" ca="1" si="30"/>
        <v>0.43110353566280657</v>
      </c>
      <c r="DJ263" s="3">
        <f t="shared" ca="1" si="31"/>
        <v>14</v>
      </c>
      <c r="DK263" s="3"/>
      <c r="DL263" s="3"/>
      <c r="DM263" s="3"/>
      <c r="DN263" s="3"/>
      <c r="DO263" s="3"/>
      <c r="DP263" s="3"/>
    </row>
    <row r="264" spans="1:120">
      <c r="A264" t="s">
        <v>1234</v>
      </c>
      <c r="B264" t="str">
        <f>REPLACE(Table1[[#This Row],[Order_ID]],1,3,"YOO")</f>
        <v>YOO10263</v>
      </c>
      <c r="C264" t="str">
        <f>MID(Table1[[#This Row],[Order_ID]],4,4)</f>
        <v>1026</v>
      </c>
      <c r="D264" t="str">
        <f>LEFT(Table1[[#This Row],[Order_ID]],4)</f>
        <v>ORD1</v>
      </c>
      <c r="E264" t="str">
        <f>RIGHT(Table1[[#This Row],[Order_ID]],5)</f>
        <v>10263</v>
      </c>
      <c r="F264" t="s">
        <v>5</v>
      </c>
      <c r="G264">
        <v>10263</v>
      </c>
      <c r="H264" t="s">
        <v>1235</v>
      </c>
      <c r="I264" s="2">
        <f>EDATE(Table1[[#This Row],[Order_Date]],3)</f>
        <v>46036</v>
      </c>
      <c r="J264" s="2">
        <f>EDATE(Table1[[#This Row],[Order_Date]],6)</f>
        <v>46126</v>
      </c>
      <c r="K264">
        <f ca="1">YEAR(Table1[[#This Row],[Today]])</f>
        <v>2026</v>
      </c>
      <c r="L264">
        <v>263</v>
      </c>
      <c r="M264">
        <f ca="1">DAY(Table1[[#This Row],[Today]])</f>
        <v>11</v>
      </c>
      <c r="N264" s="19">
        <f t="shared" ca="1" si="34"/>
        <v>46245.589795370368</v>
      </c>
      <c r="O264" s="2">
        <f t="shared" ca="1" si="29"/>
        <v>46245</v>
      </c>
      <c r="P264" s="17">
        <f ca="1">Table1[[#This Row],[Today]]-Table1[[#This Row],[Order_Date]]</f>
        <v>301</v>
      </c>
      <c r="Q264" s="2">
        <v>45920</v>
      </c>
      <c r="R264" s="2">
        <v>45944</v>
      </c>
      <c r="S264" s="6">
        <f t="shared" si="32"/>
        <v>2025</v>
      </c>
      <c r="T264" s="7" t="str">
        <f t="shared" si="33"/>
        <v>October</v>
      </c>
      <c r="U264" s="2">
        <f>WORKDAY(Table1[[#This Row],[Order_Date]],5)</f>
        <v>45951</v>
      </c>
      <c r="V264" s="7" t="str">
        <f>CONCATENATE(Table1[[#This Row],[Customer_ID]],Table1[[#This Row],[Customer_Name]])</f>
        <v>C1140Rahul Sharma</v>
      </c>
      <c r="W264" t="s">
        <v>122</v>
      </c>
      <c r="X264" t="s">
        <v>290</v>
      </c>
      <c r="Y264">
        <f>COUNTA(Table1[[#This Row],[Customer_Name]])</f>
        <v>1</v>
      </c>
      <c r="Z264" t="str">
        <f>SUBSTITUTE(Table1[[#This Row],[Customer_Name]]," ","_")</f>
        <v>Rahul_Sharma</v>
      </c>
      <c r="AA264" s="10">
        <f>IFERROR(SEARCH("a",Table1[[#This Row],[Customer_Name]]),"N/A")</f>
        <v>2</v>
      </c>
      <c r="AB264">
        <f>SEARCH(" ",Table1[[#This Row],[Customer_Name]])</f>
        <v>6</v>
      </c>
      <c r="AC264" s="11">
        <f>IFERROR(FIND("a",Table1[[#This Row],[Customer_Name]]),"N/A")</f>
        <v>2</v>
      </c>
      <c r="AD264">
        <f>FIND(" ",Table1[[#This Row],[Customer_Name]])</f>
        <v>6</v>
      </c>
      <c r="AE264" t="str">
        <f>TRIM(Table1[[#This Row],[Customer_Name]])</f>
        <v>Rahul Sharma</v>
      </c>
      <c r="AF264">
        <f>LEN(Table1[[#This Row],[Trimmed]])</f>
        <v>12</v>
      </c>
      <c r="AG264">
        <f>MAX(Table1[Length])</f>
        <v>15</v>
      </c>
      <c r="AH264" t="str">
        <f>PROPER(Table1[[#This Row],[Customer_Name]])</f>
        <v>Rahul Sharma</v>
      </c>
      <c r="AI264" t="str">
        <f>LOWER(Table1[[#This Row],[Customer_Name]])</f>
        <v>rahul sharma</v>
      </c>
      <c r="AJ264" t="str">
        <f>UPPER(Table1[[#This Row],[Customer_Name]])</f>
        <v>RAHUL SHARMA</v>
      </c>
      <c r="AK264" t="str">
        <f>CONCATENATE(Table1[[#This Row],[Customer_ID]],Table1[[#This Row],[Customer_Name]])</f>
        <v>C1140Rahul Sharma</v>
      </c>
      <c r="AL264" t="s">
        <v>291</v>
      </c>
      <c r="AM264" t="s">
        <v>292</v>
      </c>
      <c r="AN264" t="s">
        <v>245</v>
      </c>
      <c r="AO264" t="s">
        <v>291</v>
      </c>
      <c r="AP264" t="s">
        <v>292</v>
      </c>
      <c r="AQ264" t="s">
        <v>127</v>
      </c>
      <c r="AR264" t="str">
        <f>TRIM(Table1[[#This Row],[City]])</f>
        <v>Pune</v>
      </c>
      <c r="AS264" t="str">
        <f>PROPER(Table1[[#This Row],[City]])</f>
        <v>Pune</v>
      </c>
      <c r="AT264" t="s">
        <v>128</v>
      </c>
      <c r="AU264" t="str">
        <f>CONCATENATE(Table1[[#This Row],[City]],Table1[[#This Row],[State]])</f>
        <v>PuneMaharashtra</v>
      </c>
      <c r="AV264" t="s">
        <v>129</v>
      </c>
      <c r="AW264" t="s">
        <v>275</v>
      </c>
      <c r="AX264" t="str">
        <f>REPLACE(Table1[[#This Row],[Product_ID]],1,1,"s")</f>
        <v>s101</v>
      </c>
      <c r="AY264" t="s">
        <v>1236</v>
      </c>
      <c r="AZ264">
        <f>SEARCH("-",Table1[[#This Row],[Product ID]])</f>
        <v>2</v>
      </c>
      <c r="BA264">
        <f>FIND("-",Table1[[#This Row],[Product ID]])</f>
        <v>2</v>
      </c>
      <c r="BB264" t="str">
        <f>MID(Table1[[#This Row],[Product_ID]],2,3)</f>
        <v>101</v>
      </c>
      <c r="BC264" t="str">
        <f>RIGHT(Table1[[#This Row],[Product_ID]],3)</f>
        <v>101</v>
      </c>
      <c r="BD264" t="str">
        <f>LEFT(Table1[[#This Row],[Product_ID]],3)</f>
        <v>P10</v>
      </c>
      <c r="BE264" t="str">
        <f>_xlfn.XLOOKUP(Table1[[#This Row],[Product_ID]],AW:AW,BF:BF,,0)</f>
        <v>Wireless Mouse</v>
      </c>
      <c r="BF264" t="s">
        <v>277</v>
      </c>
      <c r="BG264">
        <f>LEN(Table1[[#This Row],[Product_Name]])</f>
        <v>14</v>
      </c>
      <c r="BH264" t="s">
        <v>154</v>
      </c>
      <c r="BI264">
        <f t="shared" si="35"/>
        <v>75</v>
      </c>
      <c r="BJ264" t="str">
        <f>SUBSTITUTE(Table1[[#This Row],[Category]],"Electronics","ELECTRONICS")</f>
        <v>ELECTRONICS</v>
      </c>
      <c r="BN264" t="s">
        <v>155</v>
      </c>
      <c r="BS264" s="14">
        <v>4</v>
      </c>
      <c r="BT264" s="3">
        <v>799</v>
      </c>
      <c r="BU264" s="4">
        <v>5</v>
      </c>
      <c r="BV264" s="4" t="str">
        <f>IF(AND(Table1[[#This Row],[Quantity]]&gt;=3,Table1[[#This Row],[Discount_%]]&gt;=15%),"Bulk Discount","no")</f>
        <v>Bulk Discount</v>
      </c>
      <c r="BW264" s="4" t="str">
        <f>IF(AND(Table1[[#This Row],[Quantity]]&gt;3,Table1[[#This Row],[Discount_%]]&gt;15%),"Bulk Customer","Normal")</f>
        <v>Bulk Customer</v>
      </c>
      <c r="BX264" t="s">
        <v>330</v>
      </c>
      <c r="BY264" t="s">
        <v>136</v>
      </c>
      <c r="CC264" t="str">
        <f>IF(OR(Table1[[#This Row],[Order_Status]]="Returned",Table1[[#This Row],[Order_Status]]="Cancelled"),"Attention Required","Not")</f>
        <v>Not</v>
      </c>
      <c r="CD264" t="str">
        <f>IF(OR(Table1[[#This Row],[Order_Status]]="Returned",Table1[[#This Row],[Order_Status]]="Cancelled"),"Review","no")</f>
        <v>no</v>
      </c>
      <c r="CE264" t="str">
        <f>SUBSTITUTE(Table1[[#This Row],[Order_Status]],"Delivered","Completed")</f>
        <v>Completed</v>
      </c>
      <c r="CF264" s="2">
        <v>45948</v>
      </c>
      <c r="CG264" s="17">
        <f>NETWORKDAYS(Table1[[#This Row],[Order_Date]],Table1[[#This Row],[Delivery_Date]])</f>
        <v>4</v>
      </c>
      <c r="CH264" s="17">
        <f>Table1[[#This Row],[Delivery_Date]]-Table1[[#This Row],[Order_Date]]</f>
        <v>4</v>
      </c>
      <c r="CI264" t="s">
        <v>137</v>
      </c>
      <c r="CJ264" t="str">
        <f>IF(Table1[[#This Row],[Rating]]&gt;=4,"Good","Needs Improvement")</f>
        <v>Good</v>
      </c>
      <c r="CK264" t="str">
        <f>IF(OR(Table1[[#This Row],[Rating]]&lt;=2,Table1[[#This Row],[Profit]]&lt;0),"Review","NO")</f>
        <v>NO</v>
      </c>
      <c r="CL264" t="str" cm="1">
        <f t="array" ref="CL264">_xlfn.IFS(Table1[[#This Row],[Rating]]&gt;2,"Poor",Table1[[#This Row],[Rating]]=3,"Average",Table1[[#This Row],[Rating]]=4,"Good",CP264=5,"Excellent")</f>
        <v>Poor</v>
      </c>
      <c r="CM264">
        <f>COUNT(Table1[[#This Row],[Rating]])</f>
        <v>1</v>
      </c>
      <c r="CN264">
        <f>COUNTBLANK(Table1[[#This Row],[Rating]])</f>
        <v>0</v>
      </c>
      <c r="CQ264" s="14">
        <v>4</v>
      </c>
      <c r="CR264" t="s">
        <v>173</v>
      </c>
      <c r="CS264" t="s">
        <v>267</v>
      </c>
      <c r="CU264" s="3">
        <v>3036.2</v>
      </c>
      <c r="CV264" s="3">
        <f>ROUND(Table1[[#This Row],[Sales_Amount]],0)</f>
        <v>3036</v>
      </c>
      <c r="CW264" s="3"/>
      <c r="CX264" s="3"/>
      <c r="CY264" s="3" t="b">
        <f>IF(AND(Table1[[#This Row],[Sales_Amount]]&gt;=10000,Table1[[#This Row],[Profit]]&gt;0),"Good Order")</f>
        <v>0</v>
      </c>
      <c r="CZ264" s="3" t="str">
        <f>IF(Table1[[#This Row],[Sales_Amount]]&gt;=10000,"High","Normal")</f>
        <v>Normal</v>
      </c>
      <c r="DA264" s="3">
        <v>1356.2</v>
      </c>
      <c r="DB264" s="3">
        <f>ROUND(Table1[[#This Row],[Profit]],0)</f>
        <v>1356</v>
      </c>
      <c r="DC264" s="3">
        <f>ABS(Table1[[#This Row],[Profit]])</f>
        <v>1356.2</v>
      </c>
      <c r="DD264" s="3"/>
      <c r="DE264" s="3"/>
      <c r="DF264" s="3"/>
      <c r="DG264" s="3" t="str">
        <f>IF(Table1[[#This Row],[Profit]]&gt;0,"Profit","Loss")</f>
        <v>Profit</v>
      </c>
      <c r="DH264" s="3" t="str">
        <f>IF(AND(Table1[[#This Row],[Sales_Amount]]&gt;=10000,Table1[[#This Row],[Profit]]&gt;0),"Priority","Normal")</f>
        <v>Normal</v>
      </c>
      <c r="DI264" s="3">
        <f t="shared" ca="1" si="30"/>
        <v>0.28682337772541522</v>
      </c>
      <c r="DJ264" s="3">
        <f t="shared" ca="1" si="31"/>
        <v>3</v>
      </c>
      <c r="DK264" s="3"/>
      <c r="DL264" s="3"/>
      <c r="DM264" s="3"/>
      <c r="DN264" s="3"/>
      <c r="DO264" s="3"/>
      <c r="DP264" s="3"/>
    </row>
    <row r="265" spans="1:120">
      <c r="A265" t="s">
        <v>1237</v>
      </c>
      <c r="B265" t="str">
        <f>REPLACE(Table1[[#This Row],[Order_ID]],1,3,"YOO")</f>
        <v>YOO10264</v>
      </c>
      <c r="C265" t="str">
        <f>MID(Table1[[#This Row],[Order_ID]],4,4)</f>
        <v>1026</v>
      </c>
      <c r="D265" t="str">
        <f>LEFT(Table1[[#This Row],[Order_ID]],4)</f>
        <v>ORD1</v>
      </c>
      <c r="E265" t="str">
        <f>RIGHT(Table1[[#This Row],[Order_ID]],5)</f>
        <v>10264</v>
      </c>
      <c r="F265" t="s">
        <v>5</v>
      </c>
      <c r="G265">
        <v>10264</v>
      </c>
      <c r="H265" t="s">
        <v>1238</v>
      </c>
      <c r="I265" s="2">
        <f>EDATE(Table1[[#This Row],[Order_Date]],3)</f>
        <v>46100</v>
      </c>
      <c r="J265" s="2">
        <f>EDATE(Table1[[#This Row],[Order_Date]],6)</f>
        <v>46192</v>
      </c>
      <c r="K265">
        <f ca="1">YEAR(Table1[[#This Row],[Today]])</f>
        <v>2026</v>
      </c>
      <c r="L265">
        <v>264</v>
      </c>
      <c r="M265">
        <f ca="1">DAY(Table1[[#This Row],[Today]])</f>
        <v>11</v>
      </c>
      <c r="N265" s="19">
        <f t="shared" ca="1" si="34"/>
        <v>46245.589795370368</v>
      </c>
      <c r="O265" s="2">
        <f t="shared" ca="1" si="29"/>
        <v>46245</v>
      </c>
      <c r="P265" s="17">
        <f ca="1">Table1[[#This Row],[Today]]-Table1[[#This Row],[Order_Date]]</f>
        <v>235</v>
      </c>
      <c r="Q265" s="2">
        <v>45921</v>
      </c>
      <c r="R265" s="2">
        <v>46010</v>
      </c>
      <c r="S265" s="6">
        <f t="shared" si="32"/>
        <v>2025</v>
      </c>
      <c r="T265" s="7" t="str">
        <f t="shared" si="33"/>
        <v>December</v>
      </c>
      <c r="U265" s="2">
        <f>WORKDAY(Table1[[#This Row],[Order_Date]],5)</f>
        <v>46017</v>
      </c>
      <c r="V265" s="7" t="str">
        <f>CONCATENATE(Table1[[#This Row],[Customer_ID]],Table1[[#This Row],[Customer_Name]])</f>
        <v>C1007Arjun Rao</v>
      </c>
      <c r="W265" t="s">
        <v>1045</v>
      </c>
      <c r="X265" t="s">
        <v>355</v>
      </c>
      <c r="Y265">
        <f>COUNTA(Table1[[#This Row],[Customer_Name]])</f>
        <v>1</v>
      </c>
      <c r="Z265" t="str">
        <f>SUBSTITUTE(Table1[[#This Row],[Customer_Name]]," ","_")</f>
        <v>Arjun_Rao</v>
      </c>
      <c r="AA265" s="10">
        <f>IFERROR(SEARCH("a",Table1[[#This Row],[Customer_Name]]),"N/A")</f>
        <v>1</v>
      </c>
      <c r="AB265">
        <f>SEARCH(" ",Table1[[#This Row],[Customer_Name]])</f>
        <v>6</v>
      </c>
      <c r="AC265" s="11">
        <f>IFERROR(FIND("a",Table1[[#This Row],[Customer_Name]]),"N/A")</f>
        <v>8</v>
      </c>
      <c r="AD265">
        <f>FIND(" ",Table1[[#This Row],[Customer_Name]])</f>
        <v>6</v>
      </c>
      <c r="AE265" t="str">
        <f>TRIM(Table1[[#This Row],[Customer_Name]])</f>
        <v>Arjun Rao</v>
      </c>
      <c r="AF265">
        <f>LEN(Table1[[#This Row],[Trimmed]])</f>
        <v>9</v>
      </c>
      <c r="AG265">
        <f>MAX(Table1[Length])</f>
        <v>15</v>
      </c>
      <c r="AH265" t="str">
        <f>PROPER(Table1[[#This Row],[Customer_Name]])</f>
        <v>Arjun Rao</v>
      </c>
      <c r="AI265" t="str">
        <f>LOWER(Table1[[#This Row],[Customer_Name]])</f>
        <v>arjun rao</v>
      </c>
      <c r="AJ265" t="str">
        <f>UPPER(Table1[[#This Row],[Customer_Name]])</f>
        <v>ARJUN RAO</v>
      </c>
      <c r="AK265" t="str">
        <f>CONCATENATE(Table1[[#This Row],[Customer_ID]],Table1[[#This Row],[Customer_Name]])</f>
        <v>C1007Arjun Rao</v>
      </c>
      <c r="AL265" t="s">
        <v>356</v>
      </c>
      <c r="AM265" t="s">
        <v>357</v>
      </c>
      <c r="AN265" t="s">
        <v>358</v>
      </c>
      <c r="AO265" t="s">
        <v>356</v>
      </c>
      <c r="AP265" t="s">
        <v>357</v>
      </c>
      <c r="AQ265" t="s">
        <v>284</v>
      </c>
      <c r="AR265" t="str">
        <f>TRIM(Table1[[#This Row],[City]])</f>
        <v>Hyderabad</v>
      </c>
      <c r="AS265" t="str">
        <f>PROPER(Table1[[#This Row],[City]])</f>
        <v>Hyderabad</v>
      </c>
      <c r="AT265" t="s">
        <v>285</v>
      </c>
      <c r="AU265" t="str">
        <f>CONCATENATE(Table1[[#This Row],[City]],Table1[[#This Row],[State]])</f>
        <v>HyderabadTelangana</v>
      </c>
      <c r="AV265" t="s">
        <v>168</v>
      </c>
      <c r="AW265" t="s">
        <v>477</v>
      </c>
      <c r="AX265" t="str">
        <f>REPLACE(Table1[[#This Row],[Product_ID]],1,1,"s")</f>
        <v>s109</v>
      </c>
      <c r="AY265" t="s">
        <v>1239</v>
      </c>
      <c r="AZ265">
        <f>SEARCH("-",Table1[[#This Row],[Product ID]])</f>
        <v>2</v>
      </c>
      <c r="BA265">
        <f>FIND("-",Table1[[#This Row],[Product ID]])</f>
        <v>2</v>
      </c>
      <c r="BB265" t="str">
        <f>MID(Table1[[#This Row],[Product_ID]],2,3)</f>
        <v>109</v>
      </c>
      <c r="BC265" t="str">
        <f>RIGHT(Table1[[#This Row],[Product_ID]],3)</f>
        <v>109</v>
      </c>
      <c r="BD265" t="str">
        <f>LEFT(Table1[[#This Row],[Product_ID]],3)</f>
        <v>P10</v>
      </c>
      <c r="BE265" t="str">
        <f>_xlfn.XLOOKUP(Table1[[#This Row],[Product_ID]],AW:AW,BF:BF,,0)</f>
        <v>Backpack</v>
      </c>
      <c r="BF265" t="s">
        <v>479</v>
      </c>
      <c r="BG265">
        <f>LEN(Table1[[#This Row],[Product_Name]])</f>
        <v>8</v>
      </c>
      <c r="BH265" t="s">
        <v>224</v>
      </c>
      <c r="BI265">
        <f t="shared" si="35"/>
        <v>75</v>
      </c>
      <c r="BJ265" t="str">
        <f>SUBSTITUTE(Table1[[#This Row],[Category]],"Electronics","ELECTRONICS")</f>
        <v>Fashion</v>
      </c>
      <c r="BN265" t="s">
        <v>480</v>
      </c>
      <c r="BS265" s="14">
        <v>5</v>
      </c>
      <c r="BT265" s="3">
        <v>2299</v>
      </c>
      <c r="BU265" s="4">
        <v>15</v>
      </c>
      <c r="BV265" s="4" t="str">
        <f>IF(AND(Table1[[#This Row],[Quantity]]&gt;=3,Table1[[#This Row],[Discount_%]]&gt;=15%),"Bulk Discount","no")</f>
        <v>Bulk Discount</v>
      </c>
      <c r="BW265" s="4" t="str">
        <f>IF(AND(Table1[[#This Row],[Quantity]]&gt;3,Table1[[#This Row],[Discount_%]]&gt;15%),"Bulk Customer","Normal")</f>
        <v>Bulk Customer</v>
      </c>
      <c r="BX265" t="s">
        <v>135</v>
      </c>
      <c r="BY265" t="s">
        <v>136</v>
      </c>
      <c r="CC265" t="str">
        <f>IF(OR(Table1[[#This Row],[Order_Status]]="Returned",Table1[[#This Row],[Order_Status]]="Cancelled"),"Attention Required","Not")</f>
        <v>Not</v>
      </c>
      <c r="CD265" t="str">
        <f>IF(OR(Table1[[#This Row],[Order_Status]]="Returned",Table1[[#This Row],[Order_Status]]="Cancelled"),"Review","no")</f>
        <v>no</v>
      </c>
      <c r="CE265" t="str">
        <f>SUBSTITUTE(Table1[[#This Row],[Order_Status]],"Delivered","Completed")</f>
        <v>Completed</v>
      </c>
      <c r="CF265" s="2">
        <v>46015</v>
      </c>
      <c r="CG265" s="17">
        <f>NETWORKDAYS(Table1[[#This Row],[Order_Date]],Table1[[#This Row],[Delivery_Date]])</f>
        <v>4</v>
      </c>
      <c r="CH265" s="17">
        <f>Table1[[#This Row],[Delivery_Date]]-Table1[[#This Row],[Order_Date]]</f>
        <v>5</v>
      </c>
      <c r="CI265" t="s">
        <v>137</v>
      </c>
      <c r="CJ265" t="str">
        <f>IF(Table1[[#This Row],[Rating]]&gt;=4,"Good","Needs Improvement")</f>
        <v>Needs Improvement</v>
      </c>
      <c r="CK265" t="str">
        <f>IF(OR(Table1[[#This Row],[Rating]]&lt;=2,Table1[[#This Row],[Profit]]&lt;0),"Review","NO")</f>
        <v>NO</v>
      </c>
      <c r="CL265" t="str" cm="1">
        <f t="array" ref="CL265">_xlfn.IFS(Table1[[#This Row],[Rating]]&gt;2,"Poor",Table1[[#This Row],[Rating]]=3,"Average",Table1[[#This Row],[Rating]]=4,"Good",CP265=5,"Excellent")</f>
        <v>Poor</v>
      </c>
      <c r="CM265">
        <f>COUNT(Table1[[#This Row],[Rating]])</f>
        <v>1</v>
      </c>
      <c r="CN265">
        <f>COUNTBLANK(Table1[[#This Row],[Rating]])</f>
        <v>0</v>
      </c>
      <c r="CP265" t="s">
        <v>194</v>
      </c>
      <c r="CQ265" s="14">
        <v>3</v>
      </c>
      <c r="CR265" t="s">
        <v>139</v>
      </c>
      <c r="CS265" t="s">
        <v>195</v>
      </c>
      <c r="CU265" s="3">
        <v>9770.75</v>
      </c>
      <c r="CV265" s="3">
        <f>ROUND(Table1[[#This Row],[Sales_Amount]],0)</f>
        <v>9771</v>
      </c>
      <c r="CW265" s="3"/>
      <c r="CX265" s="3"/>
      <c r="CY265" s="3" t="b">
        <f>IF(AND(Table1[[#This Row],[Sales_Amount]]&gt;=10000,Table1[[#This Row],[Profit]]&gt;0),"Good Order")</f>
        <v>0</v>
      </c>
      <c r="CZ265" s="3" t="str">
        <f>IF(Table1[[#This Row],[Sales_Amount]]&gt;=10000,"High","Normal")</f>
        <v>Normal</v>
      </c>
      <c r="DA265" s="3">
        <v>3520.75</v>
      </c>
      <c r="DB265" s="3">
        <f>ROUND(Table1[[#This Row],[Profit]],0)</f>
        <v>3521</v>
      </c>
      <c r="DC265" s="3">
        <f>ABS(Table1[[#This Row],[Profit]])</f>
        <v>3520.75</v>
      </c>
      <c r="DD265" s="3"/>
      <c r="DE265" s="3"/>
      <c r="DF265" s="3"/>
      <c r="DG265" s="3" t="str">
        <f>IF(Table1[[#This Row],[Profit]]&gt;0,"Profit","Loss")</f>
        <v>Profit</v>
      </c>
      <c r="DH265" s="3" t="str">
        <f>IF(AND(Table1[[#This Row],[Sales_Amount]]&gt;=10000,Table1[[#This Row],[Profit]]&gt;0),"Priority","Normal")</f>
        <v>Normal</v>
      </c>
      <c r="DI265" s="3">
        <f t="shared" ca="1" si="30"/>
        <v>0.89487352481337146</v>
      </c>
      <c r="DJ265" s="3">
        <f t="shared" ca="1" si="31"/>
        <v>68</v>
      </c>
      <c r="DK265" s="3"/>
      <c r="DL265" s="3"/>
      <c r="DM265" s="3"/>
      <c r="DN265" s="3"/>
      <c r="DO265" s="3"/>
      <c r="DP265" s="3"/>
    </row>
    <row r="266" spans="1:120">
      <c r="A266" t="s">
        <v>1240</v>
      </c>
      <c r="B266" t="str">
        <f>REPLACE(Table1[[#This Row],[Order_ID]],1,3,"YOO")</f>
        <v>YOO10265</v>
      </c>
      <c r="C266" t="str">
        <f>MID(Table1[[#This Row],[Order_ID]],4,4)</f>
        <v>1026</v>
      </c>
      <c r="D266" t="str">
        <f>LEFT(Table1[[#This Row],[Order_ID]],4)</f>
        <v>ORD1</v>
      </c>
      <c r="E266" t="str">
        <f>RIGHT(Table1[[#This Row],[Order_ID]],5)</f>
        <v>10265</v>
      </c>
      <c r="F266" t="s">
        <v>5</v>
      </c>
      <c r="G266">
        <v>10265</v>
      </c>
      <c r="H266" t="s">
        <v>1241</v>
      </c>
      <c r="I266" s="2">
        <f>EDATE(Table1[[#This Row],[Order_Date]],3)</f>
        <v>46292</v>
      </c>
      <c r="J266" s="2">
        <f>EDATE(Table1[[#This Row],[Order_Date]],6)</f>
        <v>46383</v>
      </c>
      <c r="K266">
        <f ca="1">YEAR(Table1[[#This Row],[Today]])</f>
        <v>2026</v>
      </c>
      <c r="L266">
        <v>265</v>
      </c>
      <c r="M266">
        <f ca="1">DAY(Table1[[#This Row],[Today]])</f>
        <v>11</v>
      </c>
      <c r="N266" s="19">
        <f t="shared" ca="1" si="34"/>
        <v>46245.589795138891</v>
      </c>
      <c r="O266" s="2">
        <f t="shared" ca="1" si="29"/>
        <v>46245</v>
      </c>
      <c r="P266" s="17">
        <f ca="1">Table1[[#This Row],[Today]]-Table1[[#This Row],[Order_Date]]</f>
        <v>45</v>
      </c>
      <c r="Q266" s="2">
        <v>45922</v>
      </c>
      <c r="R266" s="2">
        <v>46200</v>
      </c>
      <c r="S266" s="6">
        <f t="shared" si="32"/>
        <v>2026</v>
      </c>
      <c r="T266" s="7" t="str">
        <f t="shared" si="33"/>
        <v>June</v>
      </c>
      <c r="U266" s="2">
        <f>WORKDAY(Table1[[#This Row],[Order_Date]],5)</f>
        <v>46206</v>
      </c>
      <c r="V266" s="7" t="str">
        <f>CONCATENATE(Table1[[#This Row],[Customer_ID]],Table1[[#This Row],[Customer_Name]])</f>
        <v>C1062Vikas Yadav</v>
      </c>
      <c r="W266" t="s">
        <v>521</v>
      </c>
      <c r="X266" t="s">
        <v>208</v>
      </c>
      <c r="Y266">
        <f>COUNTA(Table1[[#This Row],[Customer_Name]])</f>
        <v>1</v>
      </c>
      <c r="Z266" t="str">
        <f>SUBSTITUTE(Table1[[#This Row],[Customer_Name]]," ","_")</f>
        <v>Vikas_Yadav</v>
      </c>
      <c r="AA266" s="10">
        <f>IFERROR(SEARCH("a",Table1[[#This Row],[Customer_Name]]),"N/A")</f>
        <v>4</v>
      </c>
      <c r="AB266">
        <f>SEARCH(" ",Table1[[#This Row],[Customer_Name]])</f>
        <v>6</v>
      </c>
      <c r="AC266" s="11">
        <f>IFERROR(FIND("a",Table1[[#This Row],[Customer_Name]]),"N/A")</f>
        <v>4</v>
      </c>
      <c r="AD266">
        <f>FIND(" ",Table1[[#This Row],[Customer_Name]])</f>
        <v>6</v>
      </c>
      <c r="AE266" t="str">
        <f>TRIM(Table1[[#This Row],[Customer_Name]])</f>
        <v>Vikas Yadav</v>
      </c>
      <c r="AF266">
        <f>LEN(Table1[[#This Row],[Trimmed]])</f>
        <v>11</v>
      </c>
      <c r="AG266">
        <f>MAX(Table1[Length])</f>
        <v>15</v>
      </c>
      <c r="AH266" t="str">
        <f>PROPER(Table1[[#This Row],[Customer_Name]])</f>
        <v>Vikas Yadav</v>
      </c>
      <c r="AI266" t="str">
        <f>LOWER(Table1[[#This Row],[Customer_Name]])</f>
        <v>vikas yadav</v>
      </c>
      <c r="AJ266" t="str">
        <f>UPPER(Table1[[#This Row],[Customer_Name]])</f>
        <v>VIKAS YADAV</v>
      </c>
      <c r="AK266" t="str">
        <f>CONCATENATE(Table1[[#This Row],[Customer_ID]],Table1[[#This Row],[Customer_Name]])</f>
        <v>C1062Vikas Yadav</v>
      </c>
      <c r="AL266" t="s">
        <v>209</v>
      </c>
      <c r="AM266" t="s">
        <v>210</v>
      </c>
      <c r="AN266" t="s">
        <v>211</v>
      </c>
      <c r="AO266" t="s">
        <v>209</v>
      </c>
      <c r="AP266" t="s">
        <v>210</v>
      </c>
      <c r="AQ266" t="s">
        <v>284</v>
      </c>
      <c r="AR266" t="str">
        <f>TRIM(Table1[[#This Row],[City]])</f>
        <v>Hyderabad</v>
      </c>
      <c r="AS266" t="str">
        <f>PROPER(Table1[[#This Row],[City]])</f>
        <v>Hyderabad</v>
      </c>
      <c r="AT266" t="s">
        <v>285</v>
      </c>
      <c r="AU266" t="str">
        <f>CONCATENATE(Table1[[#This Row],[City]],Table1[[#This Row],[State]])</f>
        <v>HyderabadTelangana</v>
      </c>
      <c r="AV266" t="s">
        <v>168</v>
      </c>
      <c r="AW266" t="s">
        <v>275</v>
      </c>
      <c r="AX266" t="str">
        <f>REPLACE(Table1[[#This Row],[Product_ID]],1,1,"s")</f>
        <v>s101</v>
      </c>
      <c r="AY266" t="s">
        <v>1242</v>
      </c>
      <c r="AZ266">
        <f>SEARCH("-",Table1[[#This Row],[Product ID]])</f>
        <v>2</v>
      </c>
      <c r="BA266">
        <f>FIND("-",Table1[[#This Row],[Product ID]])</f>
        <v>2</v>
      </c>
      <c r="BB266" t="str">
        <f>MID(Table1[[#This Row],[Product_ID]],2,3)</f>
        <v>101</v>
      </c>
      <c r="BC266" t="str">
        <f>RIGHT(Table1[[#This Row],[Product_ID]],3)</f>
        <v>101</v>
      </c>
      <c r="BD266" t="str">
        <f>LEFT(Table1[[#This Row],[Product_ID]],3)</f>
        <v>P10</v>
      </c>
      <c r="BE266" t="str">
        <f>_xlfn.XLOOKUP(Table1[[#This Row],[Product_ID]],AW:AW,BF:BF,,0)</f>
        <v>Wireless Mouse</v>
      </c>
      <c r="BF266" t="s">
        <v>277</v>
      </c>
      <c r="BG266">
        <f>LEN(Table1[[#This Row],[Product_Name]])</f>
        <v>14</v>
      </c>
      <c r="BH266" t="s">
        <v>154</v>
      </c>
      <c r="BI266">
        <f t="shared" si="35"/>
        <v>75</v>
      </c>
      <c r="BJ266" t="str">
        <f>SUBSTITUTE(Table1[[#This Row],[Category]],"Electronics","ELECTRONICS")</f>
        <v>ELECTRONICS</v>
      </c>
      <c r="BN266" t="s">
        <v>155</v>
      </c>
      <c r="BS266" s="14">
        <v>3</v>
      </c>
      <c r="BT266" s="3">
        <v>799</v>
      </c>
      <c r="BU266" s="4">
        <v>10</v>
      </c>
      <c r="BV266" s="4" t="str">
        <f>IF(AND(Table1[[#This Row],[Quantity]]&gt;=3,Table1[[#This Row],[Discount_%]]&gt;=15%),"Bulk Discount","no")</f>
        <v>Bulk Discount</v>
      </c>
      <c r="BW266" s="4" t="str">
        <f>IF(AND(Table1[[#This Row],[Quantity]]&gt;3,Table1[[#This Row],[Discount_%]]&gt;15%),"Bulk Customer","Normal")</f>
        <v>Normal</v>
      </c>
      <c r="BX266" t="s">
        <v>135</v>
      </c>
      <c r="BY266" t="s">
        <v>136</v>
      </c>
      <c r="CC266" t="str">
        <f>IF(OR(Table1[[#This Row],[Order_Status]]="Returned",Table1[[#This Row],[Order_Status]]="Cancelled"),"Attention Required","Not")</f>
        <v>Not</v>
      </c>
      <c r="CD266" t="str">
        <f>IF(OR(Table1[[#This Row],[Order_Status]]="Returned",Table1[[#This Row],[Order_Status]]="Cancelled"),"Review","no")</f>
        <v>no</v>
      </c>
      <c r="CE266" t="str">
        <f>SUBSTITUTE(Table1[[#This Row],[Order_Status]],"Delivered","Completed")</f>
        <v>Completed</v>
      </c>
      <c r="CF266" s="2">
        <v>46202</v>
      </c>
      <c r="CG266" s="17">
        <f>NETWORKDAYS(Table1[[#This Row],[Order_Date]],Table1[[#This Row],[Delivery_Date]])</f>
        <v>1</v>
      </c>
      <c r="CH266" s="17">
        <f>Table1[[#This Row],[Delivery_Date]]-Table1[[#This Row],[Order_Date]]</f>
        <v>2</v>
      </c>
      <c r="CI266" t="s">
        <v>137</v>
      </c>
      <c r="CJ266" t="str">
        <f>IF(Table1[[#This Row],[Rating]]&gt;=4,"Good","Needs Improvement")</f>
        <v>Good</v>
      </c>
      <c r="CK266" t="str">
        <f>IF(OR(Table1[[#This Row],[Rating]]&lt;=2,Table1[[#This Row],[Profit]]&lt;0),"Review","NO")</f>
        <v>NO</v>
      </c>
      <c r="CL266" t="str" cm="1">
        <f t="array" ref="CL266">_xlfn.IFS(Table1[[#This Row],[Rating]]&gt;2,"Poor",Table1[[#This Row],[Rating]]=3,"Average",Table1[[#This Row],[Rating]]=4,"Good",CP266=5,"Excellent")</f>
        <v>Poor</v>
      </c>
      <c r="CM266">
        <f>COUNT(Table1[[#This Row],[Rating]])</f>
        <v>1</v>
      </c>
      <c r="CN266">
        <f>COUNTBLANK(Table1[[#This Row],[Rating]])</f>
        <v>0</v>
      </c>
      <c r="CQ266" s="14">
        <v>4</v>
      </c>
      <c r="CR266" t="s">
        <v>139</v>
      </c>
      <c r="CS266" t="s">
        <v>158</v>
      </c>
      <c r="CU266" s="3">
        <v>2157.3000000000002</v>
      </c>
      <c r="CV266" s="3">
        <f>ROUND(Table1[[#This Row],[Sales_Amount]],0)</f>
        <v>2157</v>
      </c>
      <c r="CW266" s="3"/>
      <c r="CX266" s="3"/>
      <c r="CY266" s="3" t="b">
        <f>IF(AND(Table1[[#This Row],[Sales_Amount]]&gt;=10000,Table1[[#This Row],[Profit]]&gt;0),"Good Order")</f>
        <v>0</v>
      </c>
      <c r="CZ266" s="3" t="str">
        <f>IF(Table1[[#This Row],[Sales_Amount]]&gt;=10000,"High","Normal")</f>
        <v>Normal</v>
      </c>
      <c r="DA266" s="3">
        <v>897.3</v>
      </c>
      <c r="DB266" s="3">
        <f>ROUND(Table1[[#This Row],[Profit]],0)</f>
        <v>897</v>
      </c>
      <c r="DC266" s="3">
        <f>ABS(Table1[[#This Row],[Profit]])</f>
        <v>897.3</v>
      </c>
      <c r="DD266" s="3"/>
      <c r="DE266" s="3"/>
      <c r="DF266" s="3"/>
      <c r="DG266" s="3" t="str">
        <f>IF(Table1[[#This Row],[Profit]]&gt;0,"Profit","Loss")</f>
        <v>Profit</v>
      </c>
      <c r="DH266" s="3" t="str">
        <f>IF(AND(Table1[[#This Row],[Sales_Amount]]&gt;=10000,Table1[[#This Row],[Profit]]&gt;0),"Priority","Normal")</f>
        <v>Normal</v>
      </c>
      <c r="DI266" s="3">
        <f t="shared" ca="1" si="30"/>
        <v>0.52389094557522731</v>
      </c>
      <c r="DJ266" s="3">
        <f t="shared" ca="1" si="31"/>
        <v>38</v>
      </c>
      <c r="DK266" s="3"/>
      <c r="DL266" s="3"/>
      <c r="DM266" s="3"/>
      <c r="DN266" s="3"/>
      <c r="DO266" s="3"/>
      <c r="DP266" s="3"/>
    </row>
    <row r="267" spans="1:120">
      <c r="A267" t="s">
        <v>1243</v>
      </c>
      <c r="B267" t="str">
        <f>REPLACE(Table1[[#This Row],[Order_ID]],1,3,"YOO")</f>
        <v>YOO10266</v>
      </c>
      <c r="C267" t="str">
        <f>MID(Table1[[#This Row],[Order_ID]],4,4)</f>
        <v>1026</v>
      </c>
      <c r="D267" t="str">
        <f>LEFT(Table1[[#This Row],[Order_ID]],4)</f>
        <v>ORD1</v>
      </c>
      <c r="E267" t="str">
        <f>RIGHT(Table1[[#This Row],[Order_ID]],5)</f>
        <v>10266</v>
      </c>
      <c r="F267" t="s">
        <v>5</v>
      </c>
      <c r="G267">
        <v>10266</v>
      </c>
      <c r="H267" t="s">
        <v>1244</v>
      </c>
      <c r="I267" s="2">
        <f>EDATE(Table1[[#This Row],[Order_Date]],3)</f>
        <v>46111</v>
      </c>
      <c r="J267" s="2">
        <f>EDATE(Table1[[#This Row],[Order_Date]],6)</f>
        <v>46203</v>
      </c>
      <c r="K267">
        <f ca="1">YEAR(Table1[[#This Row],[Today]])</f>
        <v>2026</v>
      </c>
      <c r="L267">
        <v>266</v>
      </c>
      <c r="M267">
        <f ca="1">DAY(Table1[[#This Row],[Today]])</f>
        <v>11</v>
      </c>
      <c r="N267" s="19">
        <f t="shared" ca="1" si="34"/>
        <v>46245.589795370368</v>
      </c>
      <c r="O267" s="2">
        <f t="shared" ca="1" si="29"/>
        <v>46245</v>
      </c>
      <c r="P267" s="17">
        <f ca="1">Table1[[#This Row],[Today]]-Table1[[#This Row],[Order_Date]]</f>
        <v>224</v>
      </c>
      <c r="Q267" s="2">
        <v>45923</v>
      </c>
      <c r="R267" s="2">
        <v>46021</v>
      </c>
      <c r="S267" s="6">
        <f t="shared" si="32"/>
        <v>2025</v>
      </c>
      <c r="T267" s="7" t="str">
        <f t="shared" si="33"/>
        <v>December</v>
      </c>
      <c r="U267" s="2">
        <f>WORKDAY(Table1[[#This Row],[Order_Date]],5)</f>
        <v>46028</v>
      </c>
      <c r="V267" s="7" t="str">
        <f>CONCATENATE(Table1[[#This Row],[Customer_ID]],Table1[[#This Row],[Customer_Name]])</f>
        <v>C1008Sneha Mishra</v>
      </c>
      <c r="W267" t="s">
        <v>1034</v>
      </c>
      <c r="X267" t="s">
        <v>496</v>
      </c>
      <c r="Y267">
        <f>COUNTA(Table1[[#This Row],[Customer_Name]])</f>
        <v>1</v>
      </c>
      <c r="Z267" t="str">
        <f>SUBSTITUTE(Table1[[#This Row],[Customer_Name]]," ","_")</f>
        <v>Sneha_Mishra</v>
      </c>
      <c r="AA267" s="10">
        <f>IFERROR(SEARCH("a",Table1[[#This Row],[Customer_Name]]),"N/A")</f>
        <v>5</v>
      </c>
      <c r="AB267">
        <f>SEARCH(" ",Table1[[#This Row],[Customer_Name]])</f>
        <v>6</v>
      </c>
      <c r="AC267" s="11">
        <f>IFERROR(FIND("a",Table1[[#This Row],[Customer_Name]]),"N/A")</f>
        <v>5</v>
      </c>
      <c r="AD267">
        <f>FIND(" ",Table1[[#This Row],[Customer_Name]])</f>
        <v>6</v>
      </c>
      <c r="AE267" t="str">
        <f>TRIM(Table1[[#This Row],[Customer_Name]])</f>
        <v>Sneha Mishra</v>
      </c>
      <c r="AF267">
        <f>LEN(Table1[[#This Row],[Trimmed]])</f>
        <v>12</v>
      </c>
      <c r="AG267">
        <f>MAX(Table1[Length])</f>
        <v>15</v>
      </c>
      <c r="AH267" t="str">
        <f>PROPER(Table1[[#This Row],[Customer_Name]])</f>
        <v>Sneha Mishra</v>
      </c>
      <c r="AI267" t="str">
        <f>LOWER(Table1[[#This Row],[Customer_Name]])</f>
        <v>sneha mishra</v>
      </c>
      <c r="AJ267" t="str">
        <f>UPPER(Table1[[#This Row],[Customer_Name]])</f>
        <v>SNEHA MISHRA</v>
      </c>
      <c r="AK267" t="str">
        <f>CONCATENATE(Table1[[#This Row],[Customer_ID]],Table1[[#This Row],[Customer_Name]])</f>
        <v>C1008Sneha Mishra</v>
      </c>
      <c r="AL267" t="s">
        <v>195</v>
      </c>
      <c r="AM267" t="s">
        <v>497</v>
      </c>
      <c r="AN267" t="s">
        <v>498</v>
      </c>
      <c r="AO267" t="s">
        <v>195</v>
      </c>
      <c r="AP267" t="s">
        <v>497</v>
      </c>
      <c r="AQ267" t="s">
        <v>166</v>
      </c>
      <c r="AR267" t="str">
        <f>TRIM(Table1[[#This Row],[City]])</f>
        <v>Bengaluru</v>
      </c>
      <c r="AS267" t="str">
        <f>PROPER(Table1[[#This Row],[City]])</f>
        <v>Bengaluru</v>
      </c>
      <c r="AT267" t="s">
        <v>167</v>
      </c>
      <c r="AU267" t="str">
        <f>CONCATENATE(Table1[[#This Row],[City]],Table1[[#This Row],[State]])</f>
        <v>BengaluruKarnataka</v>
      </c>
      <c r="AV267" t="s">
        <v>168</v>
      </c>
      <c r="AW267" t="s">
        <v>363</v>
      </c>
      <c r="AX267" t="str">
        <f>REPLACE(Table1[[#This Row],[Product_ID]],1,1,"s")</f>
        <v>s110</v>
      </c>
      <c r="AY267" t="s">
        <v>1245</v>
      </c>
      <c r="AZ267">
        <f>SEARCH("-",Table1[[#This Row],[Product ID]])</f>
        <v>2</v>
      </c>
      <c r="BA267">
        <f>FIND("-",Table1[[#This Row],[Product ID]])</f>
        <v>2</v>
      </c>
      <c r="BB267" t="str">
        <f>MID(Table1[[#This Row],[Product_ID]],2,3)</f>
        <v>110</v>
      </c>
      <c r="BC267" t="str">
        <f>RIGHT(Table1[[#This Row],[Product_ID]],3)</f>
        <v>110</v>
      </c>
      <c r="BD267" t="str">
        <f>LEFT(Table1[[#This Row],[Product_ID]],3)</f>
        <v>P11</v>
      </c>
      <c r="BE267" t="str">
        <f>_xlfn.XLOOKUP(Table1[[#This Row],[Product_ID]],AW:AW,BF:BF,,0)</f>
        <v>Smart Watch</v>
      </c>
      <c r="BF267" t="s">
        <v>365</v>
      </c>
      <c r="BG267">
        <f>LEN(Table1[[#This Row],[Product_Name]])</f>
        <v>11</v>
      </c>
      <c r="BH267" t="s">
        <v>154</v>
      </c>
      <c r="BI267">
        <f t="shared" si="35"/>
        <v>75</v>
      </c>
      <c r="BJ267" t="str">
        <f>SUBSTITUTE(Table1[[#This Row],[Category]],"Electronics","ELECTRONICS")</f>
        <v>ELECTRONICS</v>
      </c>
      <c r="BN267" t="s">
        <v>366</v>
      </c>
      <c r="BS267" s="14">
        <v>2</v>
      </c>
      <c r="BT267" s="3">
        <v>4999</v>
      </c>
      <c r="BU267" s="4">
        <v>5</v>
      </c>
      <c r="BV267" s="4" t="str">
        <f>IF(AND(Table1[[#This Row],[Quantity]]&gt;=3,Table1[[#This Row],[Discount_%]]&gt;=15%),"Bulk Discount","no")</f>
        <v>no</v>
      </c>
      <c r="BW267" s="4" t="str">
        <f>IF(AND(Table1[[#This Row],[Quantity]]&gt;3,Table1[[#This Row],[Discount_%]]&gt;15%),"Bulk Customer","Normal")</f>
        <v>Normal</v>
      </c>
      <c r="BX267" t="s">
        <v>135</v>
      </c>
      <c r="BY267" t="s">
        <v>136</v>
      </c>
      <c r="CC267" t="str">
        <f>IF(OR(Table1[[#This Row],[Order_Status]]="Returned",Table1[[#This Row],[Order_Status]]="Cancelled"),"Attention Required","Not")</f>
        <v>Not</v>
      </c>
      <c r="CD267" t="str">
        <f>IF(OR(Table1[[#This Row],[Order_Status]]="Returned",Table1[[#This Row],[Order_Status]]="Cancelled"),"Review","no")</f>
        <v>no</v>
      </c>
      <c r="CE267" t="str">
        <f>SUBSTITUTE(Table1[[#This Row],[Order_Status]],"Delivered","Completed")</f>
        <v>Completed</v>
      </c>
      <c r="CF267" s="2">
        <v>46027</v>
      </c>
      <c r="CG267" s="17">
        <f>NETWORKDAYS(Table1[[#This Row],[Order_Date]],Table1[[#This Row],[Delivery_Date]])</f>
        <v>5</v>
      </c>
      <c r="CH267" s="17">
        <f>Table1[[#This Row],[Delivery_Date]]-Table1[[#This Row],[Order_Date]]</f>
        <v>6</v>
      </c>
      <c r="CI267" t="s">
        <v>137</v>
      </c>
      <c r="CJ267" t="str">
        <f>IF(Table1[[#This Row],[Rating]]&gt;=4,"Good","Needs Improvement")</f>
        <v>Good</v>
      </c>
      <c r="CK267" t="str">
        <f>IF(OR(Table1[[#This Row],[Rating]]&lt;=2,Table1[[#This Row],[Profit]]&lt;0),"Review","NO")</f>
        <v>NO</v>
      </c>
      <c r="CL267" t="str" cm="1">
        <f t="array" ref="CL267">_xlfn.IFS(Table1[[#This Row],[Rating]]&gt;2,"Poor",Table1[[#This Row],[Rating]]=3,"Average",Table1[[#This Row],[Rating]]=4,"Good",CP267=5,"Excellent")</f>
        <v>Poor</v>
      </c>
      <c r="CM267">
        <f>COUNT(Table1[[#This Row],[Rating]])</f>
        <v>1</v>
      </c>
      <c r="CN267">
        <f>COUNTBLANK(Table1[[#This Row],[Rating]])</f>
        <v>0</v>
      </c>
      <c r="CP267" t="s">
        <v>266</v>
      </c>
      <c r="CQ267" s="14">
        <v>5</v>
      </c>
      <c r="CR267" t="s">
        <v>139</v>
      </c>
      <c r="CS267" t="s">
        <v>174</v>
      </c>
      <c r="CU267" s="3">
        <v>9498.1</v>
      </c>
      <c r="CV267" s="3">
        <f>ROUND(Table1[[#This Row],[Sales_Amount]],0)</f>
        <v>9498</v>
      </c>
      <c r="CW267" s="3"/>
      <c r="CX267" s="3"/>
      <c r="CY267" s="3" t="b">
        <f>IF(AND(Table1[[#This Row],[Sales_Amount]]&gt;=10000,Table1[[#This Row],[Profit]]&gt;0),"Good Order")</f>
        <v>0</v>
      </c>
      <c r="CZ267" s="3" t="str">
        <f>IF(Table1[[#This Row],[Sales_Amount]]&gt;=10000,"High","Normal")</f>
        <v>Normal</v>
      </c>
      <c r="DA267" s="3">
        <v>3298.1</v>
      </c>
      <c r="DB267" s="3">
        <f>ROUND(Table1[[#This Row],[Profit]],0)</f>
        <v>3298</v>
      </c>
      <c r="DC267" s="3">
        <f>ABS(Table1[[#This Row],[Profit]])</f>
        <v>3298.1</v>
      </c>
      <c r="DD267" s="3"/>
      <c r="DE267" s="3"/>
      <c r="DF267" s="3"/>
      <c r="DG267" s="3" t="str">
        <f>IF(Table1[[#This Row],[Profit]]&gt;0,"Profit","Loss")</f>
        <v>Profit</v>
      </c>
      <c r="DH267" s="3" t="str">
        <f>IF(AND(Table1[[#This Row],[Sales_Amount]]&gt;=10000,Table1[[#This Row],[Profit]]&gt;0),"Priority","Normal")</f>
        <v>Normal</v>
      </c>
      <c r="DI267" s="3">
        <f t="shared" ca="1" si="30"/>
        <v>0.80554344418827883</v>
      </c>
      <c r="DJ267" s="3">
        <f t="shared" ca="1" si="31"/>
        <v>66</v>
      </c>
      <c r="DK267" s="3"/>
      <c r="DL267" s="3"/>
      <c r="DM267" s="3"/>
      <c r="DN267" s="3"/>
      <c r="DO267" s="3"/>
      <c r="DP267" s="3"/>
    </row>
    <row r="268" spans="1:120">
      <c r="A268" t="s">
        <v>1246</v>
      </c>
      <c r="B268" t="str">
        <f>REPLACE(Table1[[#This Row],[Order_ID]],1,3,"YOO")</f>
        <v>YOO10267</v>
      </c>
      <c r="C268" t="str">
        <f>MID(Table1[[#This Row],[Order_ID]],4,4)</f>
        <v>1026</v>
      </c>
      <c r="D268" t="str">
        <f>LEFT(Table1[[#This Row],[Order_ID]],4)</f>
        <v>ORD1</v>
      </c>
      <c r="E268" t="str">
        <f>RIGHT(Table1[[#This Row],[Order_ID]],5)</f>
        <v>10267</v>
      </c>
      <c r="F268" t="s">
        <v>5</v>
      </c>
      <c r="G268">
        <v>10267</v>
      </c>
      <c r="H268" t="s">
        <v>1247</v>
      </c>
      <c r="I268" s="2">
        <f>EDATE(Table1[[#This Row],[Order_Date]],3)</f>
        <v>46305</v>
      </c>
      <c r="J268" s="2">
        <f>EDATE(Table1[[#This Row],[Order_Date]],6)</f>
        <v>46397</v>
      </c>
      <c r="K268">
        <f ca="1">YEAR(Table1[[#This Row],[Today]])</f>
        <v>2026</v>
      </c>
      <c r="L268">
        <v>267</v>
      </c>
      <c r="M268">
        <f ca="1">DAY(Table1[[#This Row],[Today]])</f>
        <v>11</v>
      </c>
      <c r="N268" s="19">
        <f t="shared" ca="1" si="34"/>
        <v>46245.589795370368</v>
      </c>
      <c r="O268" s="2">
        <f t="shared" ca="1" si="29"/>
        <v>46245</v>
      </c>
      <c r="P268" s="17">
        <f ca="1">Table1[[#This Row],[Today]]-Table1[[#This Row],[Order_Date]]</f>
        <v>32</v>
      </c>
      <c r="Q268" s="2">
        <v>45924</v>
      </c>
      <c r="R268" s="2">
        <v>46213</v>
      </c>
      <c r="S268" s="6">
        <f t="shared" si="32"/>
        <v>2026</v>
      </c>
      <c r="T268" s="7" t="str">
        <f t="shared" si="33"/>
        <v>July</v>
      </c>
      <c r="U268" s="2">
        <f>WORKDAY(Table1[[#This Row],[Order_Date]],5)</f>
        <v>46220</v>
      </c>
      <c r="V268" s="7" t="str">
        <f>CONCATENATE(Table1[[#This Row],[Customer_ID]],Table1[[#This Row],[Customer_Name]])</f>
        <v>C1015Anjali Joshi</v>
      </c>
      <c r="W268" t="s">
        <v>618</v>
      </c>
      <c r="X268" t="s">
        <v>310</v>
      </c>
      <c r="Y268">
        <f>COUNTA(Table1[[#This Row],[Customer_Name]])</f>
        <v>1</v>
      </c>
      <c r="Z268" t="str">
        <f>SUBSTITUTE(Table1[[#This Row],[Customer_Name]]," ","_")</f>
        <v>Anjali_Joshi</v>
      </c>
      <c r="AA268" s="10">
        <f>IFERROR(SEARCH("a",Table1[[#This Row],[Customer_Name]]),"N/A")</f>
        <v>1</v>
      </c>
      <c r="AB268">
        <f>SEARCH(" ",Table1[[#This Row],[Customer_Name]])</f>
        <v>7</v>
      </c>
      <c r="AC268" s="11">
        <f>IFERROR(FIND("a",Table1[[#This Row],[Customer_Name]]),"N/A")</f>
        <v>4</v>
      </c>
      <c r="AD268">
        <f>FIND(" ",Table1[[#This Row],[Customer_Name]])</f>
        <v>7</v>
      </c>
      <c r="AE268" t="str">
        <f>TRIM(Table1[[#This Row],[Customer_Name]])</f>
        <v>Anjali Joshi</v>
      </c>
      <c r="AF268">
        <f>LEN(Table1[[#This Row],[Trimmed]])</f>
        <v>12</v>
      </c>
      <c r="AG268">
        <f>MAX(Table1[Length])</f>
        <v>15</v>
      </c>
      <c r="AH268" t="str">
        <f>PROPER(Table1[[#This Row],[Customer_Name]])</f>
        <v>Anjali Joshi</v>
      </c>
      <c r="AI268" t="str">
        <f>LOWER(Table1[[#This Row],[Customer_Name]])</f>
        <v>anjali joshi</v>
      </c>
      <c r="AJ268" t="str">
        <f>UPPER(Table1[[#This Row],[Customer_Name]])</f>
        <v>ANJALI JOSHI</v>
      </c>
      <c r="AK268" t="str">
        <f>CONCATENATE(Table1[[#This Row],[Customer_ID]],Table1[[#This Row],[Customer_Name]])</f>
        <v>C1015Anjali Joshi</v>
      </c>
      <c r="AL268" t="s">
        <v>311</v>
      </c>
      <c r="AM268" t="s">
        <v>312</v>
      </c>
      <c r="AN268" t="s">
        <v>313</v>
      </c>
      <c r="AO268" t="s">
        <v>311</v>
      </c>
      <c r="AP268" t="s">
        <v>312</v>
      </c>
      <c r="AQ268" t="s">
        <v>284</v>
      </c>
      <c r="AR268" t="str">
        <f>TRIM(Table1[[#This Row],[City]])</f>
        <v>Hyderabad</v>
      </c>
      <c r="AS268" t="str">
        <f>PROPER(Table1[[#This Row],[City]])</f>
        <v>Hyderabad</v>
      </c>
      <c r="AT268" t="s">
        <v>285</v>
      </c>
      <c r="AU268" t="str">
        <f>CONCATENATE(Table1[[#This Row],[City]],Table1[[#This Row],[State]])</f>
        <v>HyderabadTelangana</v>
      </c>
      <c r="AV268" t="s">
        <v>168</v>
      </c>
      <c r="AW268" t="s">
        <v>201</v>
      </c>
      <c r="AX268" t="str">
        <f>REPLACE(Table1[[#This Row],[Product_ID]],1,1,"s")</f>
        <v>s104</v>
      </c>
      <c r="AY268" t="s">
        <v>1248</v>
      </c>
      <c r="AZ268">
        <f>SEARCH("-",Table1[[#This Row],[Product ID]])</f>
        <v>2</v>
      </c>
      <c r="BA268">
        <f>FIND("-",Table1[[#This Row],[Product ID]])</f>
        <v>2</v>
      </c>
      <c r="BB268" t="str">
        <f>MID(Table1[[#This Row],[Product_ID]],2,3)</f>
        <v>104</v>
      </c>
      <c r="BC268" t="str">
        <f>RIGHT(Table1[[#This Row],[Product_ID]],3)</f>
        <v>104</v>
      </c>
      <c r="BD268" t="str">
        <f>LEFT(Table1[[#This Row],[Product_ID]],3)</f>
        <v>P10</v>
      </c>
      <c r="BE268" t="str">
        <f>_xlfn.XLOOKUP(Table1[[#This Row],[Product_ID]],AW:AW,BF:BF,,0)</f>
        <v>USB-C Hub</v>
      </c>
      <c r="BF268" t="s">
        <v>203</v>
      </c>
      <c r="BG268">
        <f>LEN(Table1[[#This Row],[Product_Name]])</f>
        <v>9</v>
      </c>
      <c r="BH268" t="s">
        <v>154</v>
      </c>
      <c r="BI268">
        <f t="shared" si="35"/>
        <v>75</v>
      </c>
      <c r="BJ268" t="str">
        <f>SUBSTITUTE(Table1[[#This Row],[Category]],"Electronics","ELECTRONICS")</f>
        <v>ELECTRONICS</v>
      </c>
      <c r="BN268" t="s">
        <v>155</v>
      </c>
      <c r="BS268" s="14">
        <v>3</v>
      </c>
      <c r="BT268" s="3">
        <v>1899</v>
      </c>
      <c r="BU268" s="4">
        <v>5</v>
      </c>
      <c r="BV268" s="4" t="str">
        <f>IF(AND(Table1[[#This Row],[Quantity]]&gt;=3,Table1[[#This Row],[Discount_%]]&gt;=15%),"Bulk Discount","no")</f>
        <v>Bulk Discount</v>
      </c>
      <c r="BW268" s="4" t="str">
        <f>IF(AND(Table1[[#This Row],[Quantity]]&gt;3,Table1[[#This Row],[Discount_%]]&gt;15%),"Bulk Customer","Normal")</f>
        <v>Normal</v>
      </c>
      <c r="BX268" t="s">
        <v>135</v>
      </c>
      <c r="BY268" t="s">
        <v>136</v>
      </c>
      <c r="CC268" t="str">
        <f>IF(OR(Table1[[#This Row],[Order_Status]]="Returned",Table1[[#This Row],[Order_Status]]="Cancelled"),"Attention Required","Not")</f>
        <v>Not</v>
      </c>
      <c r="CD268" t="str">
        <f>IF(OR(Table1[[#This Row],[Order_Status]]="Returned",Table1[[#This Row],[Order_Status]]="Cancelled"),"Review","no")</f>
        <v>no</v>
      </c>
      <c r="CE268" t="str">
        <f>SUBSTITUTE(Table1[[#This Row],[Order_Status]],"Delivered","Completed")</f>
        <v>Completed</v>
      </c>
      <c r="CF268" s="2">
        <v>46214</v>
      </c>
      <c r="CG268" s="17">
        <f>NETWORKDAYS(Table1[[#This Row],[Order_Date]],Table1[[#This Row],[Delivery_Date]])</f>
        <v>1</v>
      </c>
      <c r="CH268" s="17">
        <f>Table1[[#This Row],[Delivery_Date]]-Table1[[#This Row],[Order_Date]]</f>
        <v>1</v>
      </c>
      <c r="CI268" t="s">
        <v>137</v>
      </c>
      <c r="CJ268" t="str">
        <f>IF(Table1[[#This Row],[Rating]]&gt;=4,"Good","Needs Improvement")</f>
        <v>Needs Improvement</v>
      </c>
      <c r="CK268" t="str">
        <f>IF(OR(Table1[[#This Row],[Rating]]&lt;=2,Table1[[#This Row],[Profit]]&lt;0),"Review","NO")</f>
        <v>Review</v>
      </c>
      <c r="CL268" t="e" cm="1">
        <f t="array" ref="CL268">_xlfn.IFS(Table1[[#This Row],[Rating]]&gt;2,"Poor",Table1[[#This Row],[Rating]]=3,"Average",Table1[[#This Row],[Rating]]=4,"Good",CP268=5,"Excellent")</f>
        <v>#N/A</v>
      </c>
      <c r="CM268">
        <f>COUNT(Table1[[#This Row],[Rating]])</f>
        <v>1</v>
      </c>
      <c r="CN268">
        <f>COUNTBLANK(Table1[[#This Row],[Rating]])</f>
        <v>0</v>
      </c>
      <c r="CP268" t="s">
        <v>194</v>
      </c>
      <c r="CQ268" s="14">
        <v>2</v>
      </c>
      <c r="CR268" t="s">
        <v>139</v>
      </c>
      <c r="CS268" t="s">
        <v>174</v>
      </c>
      <c r="CU268" s="3">
        <v>5412.15</v>
      </c>
      <c r="CV268" s="3">
        <f>ROUND(Table1[[#This Row],[Sales_Amount]],0)</f>
        <v>5412</v>
      </c>
      <c r="CW268" s="3"/>
      <c r="CX268" s="3"/>
      <c r="CY268" s="3" t="b">
        <f>IF(AND(Table1[[#This Row],[Sales_Amount]]&gt;=10000,Table1[[#This Row],[Profit]]&gt;0),"Good Order")</f>
        <v>0</v>
      </c>
      <c r="CZ268" s="3" t="str">
        <f>IF(Table1[[#This Row],[Sales_Amount]]&gt;=10000,"High","Normal")</f>
        <v>Normal</v>
      </c>
      <c r="DA268" s="3">
        <v>2112.15</v>
      </c>
      <c r="DB268" s="3">
        <f>ROUND(Table1[[#This Row],[Profit]],0)</f>
        <v>2112</v>
      </c>
      <c r="DC268" s="3">
        <f>ABS(Table1[[#This Row],[Profit]])</f>
        <v>2112.15</v>
      </c>
      <c r="DD268" s="3"/>
      <c r="DE268" s="3"/>
      <c r="DF268" s="3"/>
      <c r="DG268" s="3" t="str">
        <f>IF(Table1[[#This Row],[Profit]]&gt;0,"Profit","Loss")</f>
        <v>Profit</v>
      </c>
      <c r="DH268" s="3" t="str">
        <f>IF(AND(Table1[[#This Row],[Sales_Amount]]&gt;=10000,Table1[[#This Row],[Profit]]&gt;0),"Priority","Normal")</f>
        <v>Normal</v>
      </c>
      <c r="DI268" s="3">
        <f t="shared" ca="1" si="30"/>
        <v>0.30036567382268176</v>
      </c>
      <c r="DJ268" s="3">
        <f t="shared" ca="1" si="31"/>
        <v>16</v>
      </c>
      <c r="DK268" s="3"/>
      <c r="DL268" s="3"/>
      <c r="DM268" s="3"/>
      <c r="DN268" s="3"/>
      <c r="DO268" s="3"/>
      <c r="DP268" s="3"/>
    </row>
    <row r="269" spans="1:120">
      <c r="A269" t="s">
        <v>1249</v>
      </c>
      <c r="B269" t="str">
        <f>REPLACE(Table1[[#This Row],[Order_ID]],1,3,"YOO")</f>
        <v>YOO10268</v>
      </c>
      <c r="C269" t="str">
        <f>MID(Table1[[#This Row],[Order_ID]],4,4)</f>
        <v>1026</v>
      </c>
      <c r="D269" t="str">
        <f>LEFT(Table1[[#This Row],[Order_ID]],4)</f>
        <v>ORD1</v>
      </c>
      <c r="E269" t="str">
        <f>RIGHT(Table1[[#This Row],[Order_ID]],5)</f>
        <v>10268</v>
      </c>
      <c r="F269" t="s">
        <v>5</v>
      </c>
      <c r="G269">
        <v>10268</v>
      </c>
      <c r="H269" t="s">
        <v>1250</v>
      </c>
      <c r="I269" s="2">
        <f>EDATE(Table1[[#This Row],[Order_Date]],3)</f>
        <v>46087</v>
      </c>
      <c r="J269" s="2">
        <f>EDATE(Table1[[#This Row],[Order_Date]],6)</f>
        <v>46179</v>
      </c>
      <c r="K269">
        <f ca="1">YEAR(Table1[[#This Row],[Today]])</f>
        <v>2026</v>
      </c>
      <c r="L269">
        <v>268</v>
      </c>
      <c r="M269">
        <f ca="1">DAY(Table1[[#This Row],[Today]])</f>
        <v>11</v>
      </c>
      <c r="N269" s="19">
        <f t="shared" ca="1" si="34"/>
        <v>46245.589795138891</v>
      </c>
      <c r="O269" s="2">
        <f t="shared" ca="1" si="29"/>
        <v>46245</v>
      </c>
      <c r="P269" s="17">
        <f ca="1">Table1[[#This Row],[Today]]-Table1[[#This Row],[Order_Date]]</f>
        <v>248</v>
      </c>
      <c r="Q269" s="2">
        <v>45925</v>
      </c>
      <c r="R269" s="2">
        <v>45997</v>
      </c>
      <c r="S269" s="6">
        <f t="shared" si="32"/>
        <v>2025</v>
      </c>
      <c r="T269" s="7" t="str">
        <f t="shared" si="33"/>
        <v>December</v>
      </c>
      <c r="U269" s="2">
        <f>WORKDAY(Table1[[#This Row],[Order_Date]],5)</f>
        <v>46003</v>
      </c>
      <c r="V269" s="7" t="str">
        <f>CONCATENATE(Table1[[#This Row],[Customer_ID]],Table1[[#This Row],[Customer_Name]])</f>
        <v>C1046Arjun Rao</v>
      </c>
      <c r="W269" t="s">
        <v>959</v>
      </c>
      <c r="X269" t="s">
        <v>355</v>
      </c>
      <c r="Y269">
        <f>COUNTA(Table1[[#This Row],[Customer_Name]])</f>
        <v>1</v>
      </c>
      <c r="Z269" t="str">
        <f>SUBSTITUTE(Table1[[#This Row],[Customer_Name]]," ","_")</f>
        <v>Arjun_Rao</v>
      </c>
      <c r="AA269" s="10">
        <f>IFERROR(SEARCH("a",Table1[[#This Row],[Customer_Name]]),"N/A")</f>
        <v>1</v>
      </c>
      <c r="AB269">
        <f>SEARCH(" ",Table1[[#This Row],[Customer_Name]])</f>
        <v>6</v>
      </c>
      <c r="AC269" s="11">
        <f>IFERROR(FIND("a",Table1[[#This Row],[Customer_Name]]),"N/A")</f>
        <v>8</v>
      </c>
      <c r="AD269">
        <f>FIND(" ",Table1[[#This Row],[Customer_Name]])</f>
        <v>6</v>
      </c>
      <c r="AE269" t="str">
        <f>TRIM(Table1[[#This Row],[Customer_Name]])</f>
        <v>Arjun Rao</v>
      </c>
      <c r="AF269">
        <f>LEN(Table1[[#This Row],[Trimmed]])</f>
        <v>9</v>
      </c>
      <c r="AG269">
        <f>MAX(Table1[Length])</f>
        <v>15</v>
      </c>
      <c r="AH269" t="str">
        <f>PROPER(Table1[[#This Row],[Customer_Name]])</f>
        <v>Arjun Rao</v>
      </c>
      <c r="AI269" t="str">
        <f>LOWER(Table1[[#This Row],[Customer_Name]])</f>
        <v>arjun rao</v>
      </c>
      <c r="AJ269" t="str">
        <f>UPPER(Table1[[#This Row],[Customer_Name]])</f>
        <v>ARJUN RAO</v>
      </c>
      <c r="AK269" t="str">
        <f>CONCATENATE(Table1[[#This Row],[Customer_ID]],Table1[[#This Row],[Customer_Name]])</f>
        <v>C1046Arjun Rao</v>
      </c>
      <c r="AL269" t="s">
        <v>356</v>
      </c>
      <c r="AM269" t="s">
        <v>357</v>
      </c>
      <c r="AN269" t="s">
        <v>358</v>
      </c>
      <c r="AO269" t="s">
        <v>356</v>
      </c>
      <c r="AP269" t="s">
        <v>357</v>
      </c>
      <c r="AQ269" t="s">
        <v>182</v>
      </c>
      <c r="AR269" t="str">
        <f>TRIM(Table1[[#This Row],[City]])</f>
        <v>Mumbai</v>
      </c>
      <c r="AS269" t="str">
        <f>PROPER(Table1[[#This Row],[City]])</f>
        <v>Mumbai</v>
      </c>
      <c r="AT269" t="s">
        <v>128</v>
      </c>
      <c r="AU269" t="str">
        <f>CONCATENATE(Table1[[#This Row],[City]],Table1[[#This Row],[State]])</f>
        <v>MumbaiMaharashtra</v>
      </c>
      <c r="AV269" t="s">
        <v>129</v>
      </c>
      <c r="AW269" t="s">
        <v>370</v>
      </c>
      <c r="AX269" t="str">
        <f>REPLACE(Table1[[#This Row],[Product_ID]],1,1,"s")</f>
        <v>s108</v>
      </c>
      <c r="AY269" t="s">
        <v>1251</v>
      </c>
      <c r="AZ269">
        <f>SEARCH("-",Table1[[#This Row],[Product ID]])</f>
        <v>2</v>
      </c>
      <c r="BA269">
        <f>FIND("-",Table1[[#This Row],[Product ID]])</f>
        <v>2</v>
      </c>
      <c r="BB269" t="str">
        <f>MID(Table1[[#This Row],[Product_ID]],2,3)</f>
        <v>108</v>
      </c>
      <c r="BC269" t="str">
        <f>RIGHT(Table1[[#This Row],[Product_ID]],3)</f>
        <v>108</v>
      </c>
      <c r="BD269" t="str">
        <f>LEFT(Table1[[#This Row],[Product_ID]],3)</f>
        <v>P10</v>
      </c>
      <c r="BE269" t="str">
        <f>_xlfn.XLOOKUP(Table1[[#This Row],[Product_ID]],AW:AW,BF:BF,,0)</f>
        <v>Hoodie</v>
      </c>
      <c r="BF269" t="s">
        <v>372</v>
      </c>
      <c r="BG269">
        <f>LEN(Table1[[#This Row],[Product_Name]])</f>
        <v>6</v>
      </c>
      <c r="BH269" t="s">
        <v>224</v>
      </c>
      <c r="BI269">
        <f t="shared" si="35"/>
        <v>75</v>
      </c>
      <c r="BJ269" t="str">
        <f>SUBSTITUTE(Table1[[#This Row],[Category]],"Electronics","ELECTRONICS")</f>
        <v>Fashion</v>
      </c>
      <c r="BN269" t="s">
        <v>373</v>
      </c>
      <c r="BS269" s="14">
        <v>5</v>
      </c>
      <c r="BT269" s="3">
        <v>1999</v>
      </c>
      <c r="BU269" s="4">
        <v>10</v>
      </c>
      <c r="BV269" s="4" t="str">
        <f>IF(AND(Table1[[#This Row],[Quantity]]&gt;=3,Table1[[#This Row],[Discount_%]]&gt;=15%),"Bulk Discount","no")</f>
        <v>Bulk Discount</v>
      </c>
      <c r="BW269" s="4" t="str">
        <f>IF(AND(Table1[[#This Row],[Quantity]]&gt;3,Table1[[#This Row],[Discount_%]]&gt;15%),"Bulk Customer","Normal")</f>
        <v>Bulk Customer</v>
      </c>
      <c r="BX269" t="s">
        <v>172</v>
      </c>
      <c r="BY269" t="s">
        <v>193</v>
      </c>
      <c r="CC269" t="str">
        <f>IF(OR(Table1[[#This Row],[Order_Status]]="Returned",Table1[[#This Row],[Order_Status]]="Cancelled"),"Attention Required","Not")</f>
        <v>Not</v>
      </c>
      <c r="CD269" t="str">
        <f>IF(OR(Table1[[#This Row],[Order_Status]]="Returned",Table1[[#This Row],[Order_Status]]="Cancelled"),"Review","no")</f>
        <v>no</v>
      </c>
      <c r="CE269" t="str">
        <f>SUBSTITUTE(Table1[[#This Row],[Order_Status]],"Delivered","Completed")</f>
        <v>Shipped</v>
      </c>
      <c r="CF269" s="2">
        <v>46000</v>
      </c>
      <c r="CG269" s="17">
        <f>NETWORKDAYS(Table1[[#This Row],[Order_Date]],Table1[[#This Row],[Delivery_Date]])</f>
        <v>2</v>
      </c>
      <c r="CH269" s="17">
        <f>Table1[[#This Row],[Delivery_Date]]-Table1[[#This Row],[Order_Date]]</f>
        <v>3</v>
      </c>
      <c r="CI269" t="s">
        <v>137</v>
      </c>
      <c r="CJ269" t="str">
        <f>IF(Table1[[#This Row],[Rating]]&gt;=4,"Good","Needs Improvement")</f>
        <v>Good</v>
      </c>
      <c r="CK269" t="str">
        <f>IF(OR(Table1[[#This Row],[Rating]]&lt;=2,Table1[[#This Row],[Profit]]&lt;0),"Review","NO")</f>
        <v>NO</v>
      </c>
      <c r="CL269" t="str" cm="1">
        <f t="array" ref="CL269">_xlfn.IFS(Table1[[#This Row],[Rating]]&gt;2,"Poor",Table1[[#This Row],[Rating]]=3,"Average",Table1[[#This Row],[Rating]]=4,"Good",CP269=5,"Excellent")</f>
        <v>Poor</v>
      </c>
      <c r="CM269">
        <f>COUNT(Table1[[#This Row],[Rating]])</f>
        <v>1</v>
      </c>
      <c r="CN269">
        <f>COUNTBLANK(Table1[[#This Row],[Rating]])</f>
        <v>0</v>
      </c>
      <c r="CP269" t="s">
        <v>331</v>
      </c>
      <c r="CQ269" s="14">
        <v>5</v>
      </c>
      <c r="CR269" t="s">
        <v>139</v>
      </c>
      <c r="CS269" t="s">
        <v>174</v>
      </c>
      <c r="CU269" s="3">
        <v>8995.5</v>
      </c>
      <c r="CV269" s="3">
        <f>ROUND(Table1[[#This Row],[Sales_Amount]],0)</f>
        <v>8996</v>
      </c>
      <c r="CW269" s="3"/>
      <c r="CX269" s="3"/>
      <c r="CY269" s="3" t="b">
        <f>IF(AND(Table1[[#This Row],[Sales_Amount]]&gt;=10000,Table1[[#This Row],[Profit]]&gt;0),"Good Order")</f>
        <v>0</v>
      </c>
      <c r="CZ269" s="3" t="str">
        <f>IF(Table1[[#This Row],[Sales_Amount]]&gt;=10000,"High","Normal")</f>
        <v>Normal</v>
      </c>
      <c r="DA269" s="3">
        <v>3745.5</v>
      </c>
      <c r="DB269" s="3">
        <f>ROUND(Table1[[#This Row],[Profit]],0)</f>
        <v>3746</v>
      </c>
      <c r="DC269" s="3">
        <f>ABS(Table1[[#This Row],[Profit]])</f>
        <v>3745.5</v>
      </c>
      <c r="DD269" s="3"/>
      <c r="DE269" s="3"/>
      <c r="DF269" s="3"/>
      <c r="DG269" s="3" t="str">
        <f>IF(Table1[[#This Row],[Profit]]&gt;0,"Profit","Loss")</f>
        <v>Profit</v>
      </c>
      <c r="DH269" s="3" t="str">
        <f>IF(AND(Table1[[#This Row],[Sales_Amount]]&gt;=10000,Table1[[#This Row],[Profit]]&gt;0),"Priority","Normal")</f>
        <v>Normal</v>
      </c>
      <c r="DI269" s="3">
        <f t="shared" ca="1" si="30"/>
        <v>0.42896983821315415</v>
      </c>
      <c r="DJ269" s="3">
        <f t="shared" ca="1" si="31"/>
        <v>35</v>
      </c>
      <c r="DK269" s="3"/>
      <c r="DL269" s="3"/>
      <c r="DM269" s="3"/>
      <c r="DN269" s="3"/>
      <c r="DO269" s="3"/>
      <c r="DP269" s="3"/>
    </row>
    <row r="270" spans="1:120">
      <c r="A270" t="s">
        <v>1252</v>
      </c>
      <c r="B270" t="str">
        <f>REPLACE(Table1[[#This Row],[Order_ID]],1,3,"YOO")</f>
        <v>YOO10269</v>
      </c>
      <c r="C270" t="str">
        <f>MID(Table1[[#This Row],[Order_ID]],4,4)</f>
        <v>1026</v>
      </c>
      <c r="D270" t="str">
        <f>LEFT(Table1[[#This Row],[Order_ID]],4)</f>
        <v>ORD1</v>
      </c>
      <c r="E270" t="str">
        <f>RIGHT(Table1[[#This Row],[Order_ID]],5)</f>
        <v>10269</v>
      </c>
      <c r="F270" t="s">
        <v>5</v>
      </c>
      <c r="G270">
        <v>10269</v>
      </c>
      <c r="H270" t="s">
        <v>1253</v>
      </c>
      <c r="I270" s="2">
        <f>EDATE(Table1[[#This Row],[Order_Date]],3)</f>
        <v>45862</v>
      </c>
      <c r="J270" s="2">
        <f>EDATE(Table1[[#This Row],[Order_Date]],6)</f>
        <v>45954</v>
      </c>
      <c r="K270">
        <f ca="1">YEAR(Table1[[#This Row],[Today]])</f>
        <v>2026</v>
      </c>
      <c r="L270">
        <v>269</v>
      </c>
      <c r="M270">
        <f ca="1">DAY(Table1[[#This Row],[Today]])</f>
        <v>11</v>
      </c>
      <c r="N270" s="19">
        <f t="shared" ca="1" si="34"/>
        <v>46245.589795370368</v>
      </c>
      <c r="O270" s="2">
        <f t="shared" ca="1" si="29"/>
        <v>46245</v>
      </c>
      <c r="P270" s="17">
        <f ca="1">Table1[[#This Row],[Today]]-Table1[[#This Row],[Order_Date]]</f>
        <v>474</v>
      </c>
      <c r="Q270" s="2">
        <v>45926</v>
      </c>
      <c r="R270" s="2">
        <v>45771</v>
      </c>
      <c r="S270" s="6">
        <f t="shared" si="32"/>
        <v>2025</v>
      </c>
      <c r="T270" s="7" t="str">
        <f t="shared" si="33"/>
        <v>April</v>
      </c>
      <c r="U270" s="2">
        <f>WORKDAY(Table1[[#This Row],[Order_Date]],5)</f>
        <v>45778</v>
      </c>
      <c r="V270" s="7" t="str">
        <f>CONCATENATE(Table1[[#This Row],[Customer_ID]],Table1[[#This Row],[Customer_Name]])</f>
        <v>C1026Arjun Rao</v>
      </c>
      <c r="W270" t="s">
        <v>605</v>
      </c>
      <c r="X270" t="s">
        <v>355</v>
      </c>
      <c r="Y270">
        <f>COUNTA(Table1[[#This Row],[Customer_Name]])</f>
        <v>1</v>
      </c>
      <c r="Z270" t="str">
        <f>SUBSTITUTE(Table1[[#This Row],[Customer_Name]]," ","_")</f>
        <v>Arjun_Rao</v>
      </c>
      <c r="AA270" s="10">
        <f>IFERROR(SEARCH("a",Table1[[#This Row],[Customer_Name]]),"N/A")</f>
        <v>1</v>
      </c>
      <c r="AB270">
        <f>SEARCH(" ",Table1[[#This Row],[Customer_Name]])</f>
        <v>6</v>
      </c>
      <c r="AC270" s="11">
        <f>IFERROR(FIND("a",Table1[[#This Row],[Customer_Name]]),"N/A")</f>
        <v>8</v>
      </c>
      <c r="AD270">
        <f>FIND(" ",Table1[[#This Row],[Customer_Name]])</f>
        <v>6</v>
      </c>
      <c r="AE270" t="str">
        <f>TRIM(Table1[[#This Row],[Customer_Name]])</f>
        <v>Arjun Rao</v>
      </c>
      <c r="AF270">
        <f>LEN(Table1[[#This Row],[Trimmed]])</f>
        <v>9</v>
      </c>
      <c r="AG270">
        <f>MAX(Table1[Length])</f>
        <v>15</v>
      </c>
      <c r="AH270" t="str">
        <f>PROPER(Table1[[#This Row],[Customer_Name]])</f>
        <v>Arjun Rao</v>
      </c>
      <c r="AI270" t="str">
        <f>LOWER(Table1[[#This Row],[Customer_Name]])</f>
        <v>arjun rao</v>
      </c>
      <c r="AJ270" t="str">
        <f>UPPER(Table1[[#This Row],[Customer_Name]])</f>
        <v>ARJUN RAO</v>
      </c>
      <c r="AK270" t="str">
        <f>CONCATENATE(Table1[[#This Row],[Customer_ID]],Table1[[#This Row],[Customer_Name]])</f>
        <v>C1026Arjun Rao</v>
      </c>
      <c r="AL270" t="s">
        <v>356</v>
      </c>
      <c r="AM270" t="s">
        <v>357</v>
      </c>
      <c r="AN270" t="s">
        <v>358</v>
      </c>
      <c r="AO270" t="s">
        <v>356</v>
      </c>
      <c r="AP270" t="s">
        <v>357</v>
      </c>
      <c r="AQ270" t="s">
        <v>569</v>
      </c>
      <c r="AR270" t="str">
        <f>TRIM(Table1[[#This Row],[City]])</f>
        <v>Delhi</v>
      </c>
      <c r="AS270" t="str">
        <f>PROPER(Table1[[#This Row],[City]])</f>
        <v>Delhi</v>
      </c>
      <c r="AT270" t="s">
        <v>569</v>
      </c>
      <c r="AU270" t="str">
        <f>CONCATENATE(Table1[[#This Row],[City]],Table1[[#This Row],[State]])</f>
        <v>DelhiDelhi</v>
      </c>
      <c r="AV270" t="s">
        <v>150</v>
      </c>
      <c r="AW270" t="s">
        <v>169</v>
      </c>
      <c r="AX270" t="str">
        <f>REPLACE(Table1[[#This Row],[Product_ID]],1,1,"s")</f>
        <v>s112</v>
      </c>
      <c r="AY270" t="s">
        <v>1254</v>
      </c>
      <c r="AZ270">
        <f>SEARCH("-",Table1[[#This Row],[Product ID]])</f>
        <v>2</v>
      </c>
      <c r="BA270">
        <f>FIND("-",Table1[[#This Row],[Product ID]])</f>
        <v>2</v>
      </c>
      <c r="BB270" t="str">
        <f>MID(Table1[[#This Row],[Product_ID]],2,3)</f>
        <v>112</v>
      </c>
      <c r="BC270" t="str">
        <f>RIGHT(Table1[[#This Row],[Product_ID]],3)</f>
        <v>112</v>
      </c>
      <c r="BD270" t="str">
        <f>LEFT(Table1[[#This Row],[Product_ID]],3)</f>
        <v>P11</v>
      </c>
      <c r="BE270" t="str">
        <f>_xlfn.XLOOKUP(Table1[[#This Row],[Product_ID]],AW:AW,BF:BF,,0)</f>
        <v>Air Fryer</v>
      </c>
      <c r="BF270" t="s">
        <v>171</v>
      </c>
      <c r="BG270">
        <f>LEN(Table1[[#This Row],[Product_Name]])</f>
        <v>9</v>
      </c>
      <c r="BH270" t="s">
        <v>133</v>
      </c>
      <c r="BI270">
        <f t="shared" si="35"/>
        <v>75</v>
      </c>
      <c r="BJ270" t="str">
        <f>SUBSTITUTE(Table1[[#This Row],[Category]],"Electronics","ELECTRONICS")</f>
        <v>Home</v>
      </c>
      <c r="BN270" t="s">
        <v>134</v>
      </c>
      <c r="BS270" s="14">
        <v>5</v>
      </c>
      <c r="BT270" s="3">
        <v>6499</v>
      </c>
      <c r="BU270" s="4">
        <v>15</v>
      </c>
      <c r="BV270" s="4" t="str">
        <f>IF(AND(Table1[[#This Row],[Quantity]]&gt;=3,Table1[[#This Row],[Discount_%]]&gt;=15%),"Bulk Discount","no")</f>
        <v>Bulk Discount</v>
      </c>
      <c r="BW270" s="4" t="str">
        <f>IF(AND(Table1[[#This Row],[Quantity]]&gt;3,Table1[[#This Row],[Discount_%]]&gt;15%),"Bulk Customer","Normal")</f>
        <v>Bulk Customer</v>
      </c>
      <c r="BX270" t="s">
        <v>192</v>
      </c>
      <c r="BY270" t="s">
        <v>136</v>
      </c>
      <c r="CC270" t="str">
        <f>IF(OR(Table1[[#This Row],[Order_Status]]="Returned",Table1[[#This Row],[Order_Status]]="Cancelled"),"Attention Required","Not")</f>
        <v>Not</v>
      </c>
      <c r="CD270" t="str">
        <f>IF(OR(Table1[[#This Row],[Order_Status]]="Returned",Table1[[#This Row],[Order_Status]]="Cancelled"),"Review","no")</f>
        <v>no</v>
      </c>
      <c r="CE270" t="str">
        <f>SUBSTITUTE(Table1[[#This Row],[Order_Status]],"Delivered","Completed")</f>
        <v>Completed</v>
      </c>
      <c r="CF270" s="2">
        <v>45777</v>
      </c>
      <c r="CG270" s="17">
        <f>NETWORKDAYS(Table1[[#This Row],[Order_Date]],Table1[[#This Row],[Delivery_Date]])</f>
        <v>5</v>
      </c>
      <c r="CH270" s="17">
        <f>Table1[[#This Row],[Delivery_Date]]-Table1[[#This Row],[Order_Date]]</f>
        <v>6</v>
      </c>
      <c r="CI270" t="s">
        <v>137</v>
      </c>
      <c r="CJ270" t="str">
        <f>IF(Table1[[#This Row],[Rating]]&gt;=4,"Good","Needs Improvement")</f>
        <v>Good</v>
      </c>
      <c r="CK270" t="str">
        <f>IF(OR(Table1[[#This Row],[Rating]]&lt;=2,Table1[[#This Row],[Profit]]&lt;0),"Review","NO")</f>
        <v>NO</v>
      </c>
      <c r="CL270" t="str" cm="1">
        <f t="array" ref="CL270">_xlfn.IFS(Table1[[#This Row],[Rating]]&gt;2,"Poor",Table1[[#This Row],[Rating]]=3,"Average",Table1[[#This Row],[Rating]]=4,"Good",CP270=5,"Excellent")</f>
        <v>Poor</v>
      </c>
      <c r="CM270">
        <f>COUNT(Table1[[#This Row],[Rating]])</f>
        <v>1</v>
      </c>
      <c r="CN270">
        <f>COUNTBLANK(Table1[[#This Row],[Rating]])</f>
        <v>0</v>
      </c>
      <c r="CP270" t="s">
        <v>157</v>
      </c>
      <c r="CQ270" s="14">
        <v>5</v>
      </c>
      <c r="CR270" t="s">
        <v>139</v>
      </c>
      <c r="CS270" t="s">
        <v>158</v>
      </c>
      <c r="CU270" s="3">
        <v>27620.75</v>
      </c>
      <c r="CV270" s="3">
        <f>ROUND(Table1[[#This Row],[Sales_Amount]],0)</f>
        <v>27621</v>
      </c>
      <c r="CW270" s="3"/>
      <c r="CX270" s="3"/>
      <c r="CY270" s="3" t="str">
        <f>IF(AND(Table1[[#This Row],[Sales_Amount]]&gt;=10000,Table1[[#This Row],[Profit]]&gt;0),"Good Order")</f>
        <v>Good Order</v>
      </c>
      <c r="CZ270" s="3" t="str">
        <f>IF(Table1[[#This Row],[Sales_Amount]]&gt;=10000,"High","Normal")</f>
        <v>High</v>
      </c>
      <c r="DA270" s="3">
        <v>6120.75</v>
      </c>
      <c r="DB270" s="3">
        <f>ROUND(Table1[[#This Row],[Profit]],0)</f>
        <v>6121</v>
      </c>
      <c r="DC270" s="3">
        <f>ABS(Table1[[#This Row],[Profit]])</f>
        <v>6120.75</v>
      </c>
      <c r="DD270" s="3"/>
      <c r="DE270" s="3"/>
      <c r="DF270" s="3"/>
      <c r="DG270" s="3" t="str">
        <f>IF(Table1[[#This Row],[Profit]]&gt;0,"Profit","Loss")</f>
        <v>Profit</v>
      </c>
      <c r="DH270" s="3" t="str">
        <f>IF(AND(Table1[[#This Row],[Sales_Amount]]&gt;=10000,Table1[[#This Row],[Profit]]&gt;0),"Priority","Normal")</f>
        <v>Priority</v>
      </c>
      <c r="DI270" s="3">
        <f t="shared" ca="1" si="30"/>
        <v>0.540724214056445</v>
      </c>
      <c r="DJ270" s="3">
        <f t="shared" ca="1" si="31"/>
        <v>23</v>
      </c>
      <c r="DK270" s="3"/>
      <c r="DL270" s="3"/>
      <c r="DM270" s="3"/>
      <c r="DN270" s="3"/>
      <c r="DO270" s="3"/>
      <c r="DP270" s="3"/>
    </row>
    <row r="271" spans="1:120">
      <c r="A271" t="s">
        <v>1255</v>
      </c>
      <c r="B271" t="str">
        <f>REPLACE(Table1[[#This Row],[Order_ID]],1,3,"YOO")</f>
        <v>YOO10270</v>
      </c>
      <c r="C271" t="str">
        <f>MID(Table1[[#This Row],[Order_ID]],4,4)</f>
        <v>1027</v>
      </c>
      <c r="D271" t="str">
        <f>LEFT(Table1[[#This Row],[Order_ID]],4)</f>
        <v>ORD1</v>
      </c>
      <c r="E271" t="str">
        <f>RIGHT(Table1[[#This Row],[Order_ID]],5)</f>
        <v>10270</v>
      </c>
      <c r="F271" t="s">
        <v>5</v>
      </c>
      <c r="G271">
        <v>10270</v>
      </c>
      <c r="H271" t="s">
        <v>1256</v>
      </c>
      <c r="I271" s="2">
        <f>EDATE(Table1[[#This Row],[Order_Date]],3)</f>
        <v>46248</v>
      </c>
      <c r="J271" s="2">
        <f>EDATE(Table1[[#This Row],[Order_Date]],6)</f>
        <v>46340</v>
      </c>
      <c r="K271">
        <f ca="1">YEAR(Table1[[#This Row],[Today]])</f>
        <v>2026</v>
      </c>
      <c r="L271">
        <v>270</v>
      </c>
      <c r="M271">
        <f ca="1">DAY(Table1[[#This Row],[Today]])</f>
        <v>11</v>
      </c>
      <c r="N271" s="19">
        <f t="shared" ca="1" si="34"/>
        <v>46245.589795370368</v>
      </c>
      <c r="O271" s="2">
        <f t="shared" ca="1" si="29"/>
        <v>46245</v>
      </c>
      <c r="P271" s="17">
        <f ca="1">Table1[[#This Row],[Today]]-Table1[[#This Row],[Order_Date]]</f>
        <v>89</v>
      </c>
      <c r="Q271" s="2">
        <v>45927</v>
      </c>
      <c r="R271" s="2">
        <v>46156</v>
      </c>
      <c r="S271" s="6">
        <f t="shared" si="32"/>
        <v>2026</v>
      </c>
      <c r="T271" s="7" t="str">
        <f t="shared" si="33"/>
        <v>May</v>
      </c>
      <c r="U271" s="2">
        <f>WORKDAY(Table1[[#This Row],[Order_Date]],5)</f>
        <v>46163</v>
      </c>
      <c r="V271" s="7" t="str">
        <f>CONCATENATE(Table1[[#This Row],[Customer_ID]],Table1[[#This Row],[Customer_Name]])</f>
        <v>C1045Mohit Khan</v>
      </c>
      <c r="W271" t="s">
        <v>428</v>
      </c>
      <c r="X271" t="s">
        <v>162</v>
      </c>
      <c r="Y271">
        <f>COUNTA(Table1[[#This Row],[Customer_Name]])</f>
        <v>1</v>
      </c>
      <c r="Z271" t="str">
        <f>SUBSTITUTE(Table1[[#This Row],[Customer_Name]]," ","_")</f>
        <v>Mohit_Khan</v>
      </c>
      <c r="AA271" s="10">
        <f>IFERROR(SEARCH("a",Table1[[#This Row],[Customer_Name]]),"N/A")</f>
        <v>9</v>
      </c>
      <c r="AB271">
        <f>SEARCH(" ",Table1[[#This Row],[Customer_Name]])</f>
        <v>6</v>
      </c>
      <c r="AC271" s="11">
        <f>IFERROR(FIND("a",Table1[[#This Row],[Customer_Name]]),"N/A")</f>
        <v>9</v>
      </c>
      <c r="AD271">
        <f>FIND(" ",Table1[[#This Row],[Customer_Name]])</f>
        <v>6</v>
      </c>
      <c r="AE271" t="str">
        <f>TRIM(Table1[[#This Row],[Customer_Name]])</f>
        <v>Mohit Khan</v>
      </c>
      <c r="AF271">
        <f>LEN(Table1[[#This Row],[Trimmed]])</f>
        <v>10</v>
      </c>
      <c r="AG271">
        <f>MAX(Table1[Length])</f>
        <v>15</v>
      </c>
      <c r="AH271" t="str">
        <f>PROPER(Table1[[#This Row],[Customer_Name]])</f>
        <v>Mohit Khan</v>
      </c>
      <c r="AI271" t="str">
        <f>LOWER(Table1[[#This Row],[Customer_Name]])</f>
        <v>mohit khan</v>
      </c>
      <c r="AJ271" t="str">
        <f>UPPER(Table1[[#This Row],[Customer_Name]])</f>
        <v>MOHIT KHAN</v>
      </c>
      <c r="AK271" t="str">
        <f>CONCATENATE(Table1[[#This Row],[Customer_ID]],Table1[[#This Row],[Customer_Name]])</f>
        <v>C1045Mohit Khan</v>
      </c>
      <c r="AL271" t="s">
        <v>163</v>
      </c>
      <c r="AM271" t="s">
        <v>164</v>
      </c>
      <c r="AN271" t="s">
        <v>165</v>
      </c>
      <c r="AO271" t="s">
        <v>163</v>
      </c>
      <c r="AP271" t="s">
        <v>164</v>
      </c>
      <c r="AQ271" t="s">
        <v>166</v>
      </c>
      <c r="AR271" t="str">
        <f>TRIM(Table1[[#This Row],[City]])</f>
        <v>Bengaluru</v>
      </c>
      <c r="AS271" t="str">
        <f>PROPER(Table1[[#This Row],[City]])</f>
        <v>Bengaluru</v>
      </c>
      <c r="AT271" t="s">
        <v>167</v>
      </c>
      <c r="AU271" t="str">
        <f>CONCATENATE(Table1[[#This Row],[City]],Table1[[#This Row],[State]])</f>
        <v>BengaluruKarnataka</v>
      </c>
      <c r="AV271" t="s">
        <v>168</v>
      </c>
      <c r="AW271" t="s">
        <v>169</v>
      </c>
      <c r="AX271" t="str">
        <f>REPLACE(Table1[[#This Row],[Product_ID]],1,1,"s")</f>
        <v>s112</v>
      </c>
      <c r="AY271" t="s">
        <v>1257</v>
      </c>
      <c r="AZ271">
        <f>SEARCH("-",Table1[[#This Row],[Product ID]])</f>
        <v>2</v>
      </c>
      <c r="BA271">
        <f>FIND("-",Table1[[#This Row],[Product ID]])</f>
        <v>2</v>
      </c>
      <c r="BB271" t="str">
        <f>MID(Table1[[#This Row],[Product_ID]],2,3)</f>
        <v>112</v>
      </c>
      <c r="BC271" t="str">
        <f>RIGHT(Table1[[#This Row],[Product_ID]],3)</f>
        <v>112</v>
      </c>
      <c r="BD271" t="str">
        <f>LEFT(Table1[[#This Row],[Product_ID]],3)</f>
        <v>P11</v>
      </c>
      <c r="BE271" t="str">
        <f>_xlfn.XLOOKUP(Table1[[#This Row],[Product_ID]],AW:AW,BF:BF,,0)</f>
        <v>Air Fryer</v>
      </c>
      <c r="BF271" t="s">
        <v>171</v>
      </c>
      <c r="BG271">
        <f>LEN(Table1[[#This Row],[Product_Name]])</f>
        <v>9</v>
      </c>
      <c r="BH271" t="s">
        <v>133</v>
      </c>
      <c r="BI271">
        <f t="shared" si="35"/>
        <v>75</v>
      </c>
      <c r="BJ271" t="str">
        <f>SUBSTITUTE(Table1[[#This Row],[Category]],"Electronics","ELECTRONICS")</f>
        <v>Home</v>
      </c>
      <c r="BN271" t="s">
        <v>134</v>
      </c>
      <c r="BS271" s="14">
        <v>3</v>
      </c>
      <c r="BT271" s="3">
        <v>6499</v>
      </c>
      <c r="BU271" s="4">
        <v>5</v>
      </c>
      <c r="BV271" s="4" t="str">
        <f>IF(AND(Table1[[#This Row],[Quantity]]&gt;=3,Table1[[#This Row],[Discount_%]]&gt;=15%),"Bulk Discount","no")</f>
        <v>Bulk Discount</v>
      </c>
      <c r="BW271" s="4" t="str">
        <f>IF(AND(Table1[[#This Row],[Quantity]]&gt;3,Table1[[#This Row],[Discount_%]]&gt;15%),"Bulk Customer","Normal")</f>
        <v>Normal</v>
      </c>
      <c r="BX271" t="s">
        <v>192</v>
      </c>
      <c r="BY271" t="s">
        <v>374</v>
      </c>
      <c r="CC271" t="str">
        <f>IF(OR(Table1[[#This Row],[Order_Status]]="Returned",Table1[[#This Row],[Order_Status]]="Cancelled"),"Attention Required","Not")</f>
        <v>Attention Required</v>
      </c>
      <c r="CD271" t="str">
        <f>IF(OR(Table1[[#This Row],[Order_Status]]="Returned",Table1[[#This Row],[Order_Status]]="Cancelled"),"Review","no")</f>
        <v>Review</v>
      </c>
      <c r="CE271" t="str">
        <f>SUBSTITUTE(Table1[[#This Row],[Order_Status]],"Delivered","Completed")</f>
        <v>Returned</v>
      </c>
      <c r="CF271" s="2">
        <v>46162</v>
      </c>
      <c r="CG271" s="17">
        <f>NETWORKDAYS(Table1[[#This Row],[Order_Date]],Table1[[#This Row],[Delivery_Date]])</f>
        <v>5</v>
      </c>
      <c r="CH271" s="17">
        <f>Table1[[#This Row],[Delivery_Date]]-Table1[[#This Row],[Order_Date]]</f>
        <v>6</v>
      </c>
      <c r="CI271" t="s">
        <v>375</v>
      </c>
      <c r="CJ271" t="str">
        <f>IF(Table1[[#This Row],[Rating]]&gt;=4,"Good","Needs Improvement")</f>
        <v>Good</v>
      </c>
      <c r="CK271" t="str">
        <f>IF(OR(Table1[[#This Row],[Rating]]&lt;=2,Table1[[#This Row],[Profit]]&lt;0),"Review","NO")</f>
        <v>NO</v>
      </c>
      <c r="CL271" t="str" cm="1">
        <f t="array" ref="CL271">_xlfn.IFS(Table1[[#This Row],[Rating]]&gt;2,"Poor",Table1[[#This Row],[Rating]]=3,"Average",Table1[[#This Row],[Rating]]=4,"Good",CP271=5,"Excellent")</f>
        <v>Poor</v>
      </c>
      <c r="CM271">
        <f>COUNT(Table1[[#This Row],[Rating]])</f>
        <v>1</v>
      </c>
      <c r="CN271">
        <f>COUNTBLANK(Table1[[#This Row],[Rating]])</f>
        <v>0</v>
      </c>
      <c r="CQ271" s="14">
        <v>4</v>
      </c>
      <c r="CR271" t="s">
        <v>204</v>
      </c>
      <c r="CS271" t="s">
        <v>195</v>
      </c>
      <c r="CU271" s="3">
        <v>18522.150000000001</v>
      </c>
      <c r="CV271" s="3">
        <f>ROUND(Table1[[#This Row],[Sales_Amount]],0)</f>
        <v>18522</v>
      </c>
      <c r="CW271" s="3"/>
      <c r="CX271" s="3"/>
      <c r="CY271" s="3" t="str">
        <f>IF(AND(Table1[[#This Row],[Sales_Amount]]&gt;=10000,Table1[[#This Row],[Profit]]&gt;0),"Good Order")</f>
        <v>Good Order</v>
      </c>
      <c r="CZ271" s="3" t="str">
        <f>IF(Table1[[#This Row],[Sales_Amount]]&gt;=10000,"High","Normal")</f>
        <v>High</v>
      </c>
      <c r="DA271" s="3">
        <v>5622.15</v>
      </c>
      <c r="DB271" s="3">
        <f>ROUND(Table1[[#This Row],[Profit]],0)</f>
        <v>5622</v>
      </c>
      <c r="DC271" s="3">
        <f>ABS(Table1[[#This Row],[Profit]])</f>
        <v>5622.15</v>
      </c>
      <c r="DD271" s="3"/>
      <c r="DE271" s="3"/>
      <c r="DF271" s="3"/>
      <c r="DG271" s="3" t="str">
        <f>IF(Table1[[#This Row],[Profit]]&gt;0,"Profit","Loss")</f>
        <v>Profit</v>
      </c>
      <c r="DH271" s="3" t="str">
        <f>IF(AND(Table1[[#This Row],[Sales_Amount]]&gt;=10000,Table1[[#This Row],[Profit]]&gt;0),"Priority","Normal")</f>
        <v>Priority</v>
      </c>
      <c r="DI271" s="3">
        <f t="shared" ca="1" si="30"/>
        <v>0.8137432043757713</v>
      </c>
      <c r="DJ271" s="3">
        <f t="shared" ca="1" si="31"/>
        <v>80</v>
      </c>
      <c r="DK271" s="3"/>
      <c r="DL271" s="3"/>
      <c r="DM271" s="3"/>
      <c r="DN271" s="3"/>
      <c r="DO271" s="3"/>
      <c r="DP271" s="3"/>
    </row>
    <row r="272" spans="1:120">
      <c r="A272" t="s">
        <v>1258</v>
      </c>
      <c r="B272" t="str">
        <f>REPLACE(Table1[[#This Row],[Order_ID]],1,3,"YOO")</f>
        <v>YOO10271</v>
      </c>
      <c r="C272" t="str">
        <f>MID(Table1[[#This Row],[Order_ID]],4,4)</f>
        <v>1027</v>
      </c>
      <c r="D272" t="str">
        <f>LEFT(Table1[[#This Row],[Order_ID]],4)</f>
        <v>ORD1</v>
      </c>
      <c r="E272" t="str">
        <f>RIGHT(Table1[[#This Row],[Order_ID]],5)</f>
        <v>10271</v>
      </c>
      <c r="F272" t="s">
        <v>5</v>
      </c>
      <c r="G272">
        <v>10271</v>
      </c>
      <c r="H272" t="s">
        <v>1259</v>
      </c>
      <c r="I272" s="2">
        <f>EDATE(Table1[[#This Row],[Order_Date]],3)</f>
        <v>45749</v>
      </c>
      <c r="J272" s="2">
        <f>EDATE(Table1[[#This Row],[Order_Date]],6)</f>
        <v>45840</v>
      </c>
      <c r="K272">
        <f ca="1">YEAR(Table1[[#This Row],[Today]])</f>
        <v>2026</v>
      </c>
      <c r="L272">
        <v>271</v>
      </c>
      <c r="M272">
        <f ca="1">DAY(Table1[[#This Row],[Today]])</f>
        <v>11</v>
      </c>
      <c r="N272" s="19">
        <f t="shared" ca="1" si="34"/>
        <v>46245.589795138891</v>
      </c>
      <c r="O272" s="2">
        <f t="shared" ca="1" si="29"/>
        <v>46245</v>
      </c>
      <c r="P272" s="17">
        <f ca="1">Table1[[#This Row],[Today]]-Table1[[#This Row],[Order_Date]]</f>
        <v>586</v>
      </c>
      <c r="Q272" s="2">
        <v>45928</v>
      </c>
      <c r="R272" s="2">
        <v>45659</v>
      </c>
      <c r="S272" s="6">
        <f t="shared" si="32"/>
        <v>2025</v>
      </c>
      <c r="T272" s="7" t="str">
        <f t="shared" si="33"/>
        <v>January</v>
      </c>
      <c r="U272" s="2">
        <f>WORKDAY(Table1[[#This Row],[Order_Date]],5)</f>
        <v>45666</v>
      </c>
      <c r="V272" s="7" t="str">
        <f>CONCATENATE(Table1[[#This Row],[Customer_ID]],Table1[[#This Row],[Customer_Name]])</f>
        <v>C1082Meera Nair</v>
      </c>
      <c r="W272" t="s">
        <v>601</v>
      </c>
      <c r="X272" t="s">
        <v>429</v>
      </c>
      <c r="Y272">
        <f>COUNTA(Table1[[#This Row],[Customer_Name]])</f>
        <v>1</v>
      </c>
      <c r="Z272" t="str">
        <f>SUBSTITUTE(Table1[[#This Row],[Customer_Name]]," ","_")</f>
        <v>Meera_Nair</v>
      </c>
      <c r="AA272" s="10">
        <f>IFERROR(SEARCH("a",Table1[[#This Row],[Customer_Name]]),"N/A")</f>
        <v>5</v>
      </c>
      <c r="AB272">
        <f>SEARCH(" ",Table1[[#This Row],[Customer_Name]])</f>
        <v>6</v>
      </c>
      <c r="AC272" s="11">
        <f>IFERROR(FIND("a",Table1[[#This Row],[Customer_Name]]),"N/A")</f>
        <v>5</v>
      </c>
      <c r="AD272">
        <f>FIND(" ",Table1[[#This Row],[Customer_Name]])</f>
        <v>6</v>
      </c>
      <c r="AE272" t="str">
        <f>TRIM(Table1[[#This Row],[Customer_Name]])</f>
        <v>Meera Nair</v>
      </c>
      <c r="AF272">
        <f>LEN(Table1[[#This Row],[Trimmed]])</f>
        <v>10</v>
      </c>
      <c r="AG272">
        <f>MAX(Table1[Length])</f>
        <v>15</v>
      </c>
      <c r="AH272" t="str">
        <f>PROPER(Table1[[#This Row],[Customer_Name]])</f>
        <v>Meera Nair</v>
      </c>
      <c r="AI272" t="str">
        <f>LOWER(Table1[[#This Row],[Customer_Name]])</f>
        <v>meera nair</v>
      </c>
      <c r="AJ272" t="str">
        <f>UPPER(Table1[[#This Row],[Customer_Name]])</f>
        <v>MEERA NAIR</v>
      </c>
      <c r="AK272" t="str">
        <f>CONCATENATE(Table1[[#This Row],[Customer_ID]],Table1[[#This Row],[Customer_Name]])</f>
        <v>C1082Meera Nair</v>
      </c>
      <c r="AL272" t="s">
        <v>430</v>
      </c>
      <c r="AM272" t="s">
        <v>431</v>
      </c>
      <c r="AN272" t="s">
        <v>432</v>
      </c>
      <c r="AO272" t="s">
        <v>430</v>
      </c>
      <c r="AP272" t="s">
        <v>431</v>
      </c>
      <c r="AQ272" t="s">
        <v>569</v>
      </c>
      <c r="AR272" t="str">
        <f>TRIM(Table1[[#This Row],[City]])</f>
        <v>Delhi</v>
      </c>
      <c r="AS272" t="str">
        <f>PROPER(Table1[[#This Row],[City]])</f>
        <v>Delhi</v>
      </c>
      <c r="AT272" t="s">
        <v>569</v>
      </c>
      <c r="AU272" t="str">
        <f>CONCATENATE(Table1[[#This Row],[City]],Table1[[#This Row],[State]])</f>
        <v>DelhiDelhi</v>
      </c>
      <c r="AV272" t="s">
        <v>150</v>
      </c>
      <c r="AW272" t="s">
        <v>319</v>
      </c>
      <c r="AX272" t="str">
        <f>REPLACE(Table1[[#This Row],[Product_ID]],1,1,"s")</f>
        <v>s103</v>
      </c>
      <c r="AY272" t="s">
        <v>1260</v>
      </c>
      <c r="AZ272">
        <f>SEARCH("-",Table1[[#This Row],[Product ID]])</f>
        <v>2</v>
      </c>
      <c r="BA272">
        <f>FIND("-",Table1[[#This Row],[Product ID]])</f>
        <v>2</v>
      </c>
      <c r="BB272" t="str">
        <f>MID(Table1[[#This Row],[Product_ID]],2,3)</f>
        <v>103</v>
      </c>
      <c r="BC272" t="str">
        <f>RIGHT(Table1[[#This Row],[Product_ID]],3)</f>
        <v>103</v>
      </c>
      <c r="BD272" t="str">
        <f>LEFT(Table1[[#This Row],[Product_ID]],3)</f>
        <v>P10</v>
      </c>
      <c r="BE272" t="str">
        <f>_xlfn.XLOOKUP(Table1[[#This Row],[Product_ID]],AW:AW,BF:BF,,0)</f>
        <v>Laptop Stand</v>
      </c>
      <c r="BF272" t="s">
        <v>321</v>
      </c>
      <c r="BG272">
        <f>LEN(Table1[[#This Row],[Product_Name]])</f>
        <v>12</v>
      </c>
      <c r="BH272" t="s">
        <v>154</v>
      </c>
      <c r="BI272">
        <f t="shared" si="35"/>
        <v>75</v>
      </c>
      <c r="BJ272" t="str">
        <f>SUBSTITUTE(Table1[[#This Row],[Category]],"Electronics","ELECTRONICS")</f>
        <v>ELECTRONICS</v>
      </c>
      <c r="BN272" t="s">
        <v>155</v>
      </c>
      <c r="BS272" s="14">
        <v>5</v>
      </c>
      <c r="BT272" s="3">
        <v>1599</v>
      </c>
      <c r="BU272" s="4">
        <v>20</v>
      </c>
      <c r="BV272" s="4" t="str">
        <f>IF(AND(Table1[[#This Row],[Quantity]]&gt;=3,Table1[[#This Row],[Discount_%]]&gt;=15%),"Bulk Discount","no")</f>
        <v>Bulk Discount</v>
      </c>
      <c r="BW272" s="4" t="str">
        <f>IF(AND(Table1[[#This Row],[Quantity]]&gt;3,Table1[[#This Row],[Discount_%]]&gt;15%),"Bulk Customer","Normal")</f>
        <v>Bulk Customer</v>
      </c>
      <c r="BX272" t="s">
        <v>187</v>
      </c>
      <c r="BY272" t="s">
        <v>193</v>
      </c>
      <c r="CC272" t="str">
        <f>IF(OR(Table1[[#This Row],[Order_Status]]="Returned",Table1[[#This Row],[Order_Status]]="Cancelled"),"Attention Required","Not")</f>
        <v>Not</v>
      </c>
      <c r="CD272" t="str">
        <f>IF(OR(Table1[[#This Row],[Order_Status]]="Returned",Table1[[#This Row],[Order_Status]]="Cancelled"),"Review","no")</f>
        <v>no</v>
      </c>
      <c r="CE272" t="str">
        <f>SUBSTITUTE(Table1[[#This Row],[Order_Status]],"Delivered","Completed")</f>
        <v>Shipped</v>
      </c>
      <c r="CF272" s="2">
        <v>45660</v>
      </c>
      <c r="CG272" s="17">
        <f>NETWORKDAYS(Table1[[#This Row],[Order_Date]],Table1[[#This Row],[Delivery_Date]])</f>
        <v>2</v>
      </c>
      <c r="CH272" s="17">
        <f>Table1[[#This Row],[Delivery_Date]]-Table1[[#This Row],[Order_Date]]</f>
        <v>1</v>
      </c>
      <c r="CI272" t="s">
        <v>137</v>
      </c>
      <c r="CJ272" t="str">
        <f>IF(Table1[[#This Row],[Rating]]&gt;=4,"Good","Needs Improvement")</f>
        <v>Needs Improvement</v>
      </c>
      <c r="CK272" t="str">
        <f>IF(OR(Table1[[#This Row],[Rating]]&lt;=2,Table1[[#This Row],[Profit]]&lt;0),"Review","NO")</f>
        <v>NO</v>
      </c>
      <c r="CL272" t="str" cm="1">
        <f t="array" ref="CL272">_xlfn.IFS(Table1[[#This Row],[Rating]]&gt;2,"Poor",Table1[[#This Row],[Rating]]=3,"Average",Table1[[#This Row],[Rating]]=4,"Good",CP272=5,"Excellent")</f>
        <v>Poor</v>
      </c>
      <c r="CM272">
        <f>COUNT(Table1[[#This Row],[Rating]])</f>
        <v>1</v>
      </c>
      <c r="CN272">
        <f>COUNTBLANK(Table1[[#This Row],[Rating]])</f>
        <v>0</v>
      </c>
      <c r="CQ272" s="14">
        <v>3</v>
      </c>
      <c r="CR272" t="s">
        <v>204</v>
      </c>
      <c r="CS272" t="s">
        <v>140</v>
      </c>
      <c r="CU272" s="3">
        <v>6396</v>
      </c>
      <c r="CV272" s="3">
        <f>ROUND(Table1[[#This Row],[Sales_Amount]],0)</f>
        <v>6396</v>
      </c>
      <c r="CW272" s="3"/>
      <c r="CX272" s="3"/>
      <c r="CY272" s="3" t="b">
        <f>IF(AND(Table1[[#This Row],[Sales_Amount]]&gt;=10000,Table1[[#This Row],[Profit]]&gt;0),"Good Order")</f>
        <v>0</v>
      </c>
      <c r="CZ272" s="3" t="str">
        <f>IF(Table1[[#This Row],[Sales_Amount]]&gt;=10000,"High","Normal")</f>
        <v>Normal</v>
      </c>
      <c r="DA272" s="3">
        <v>1896</v>
      </c>
      <c r="DB272" s="3">
        <f>ROUND(Table1[[#This Row],[Profit]],0)</f>
        <v>1896</v>
      </c>
      <c r="DC272" s="3">
        <f>ABS(Table1[[#This Row],[Profit]])</f>
        <v>1896</v>
      </c>
      <c r="DD272" s="3"/>
      <c r="DE272" s="3"/>
      <c r="DF272" s="3"/>
      <c r="DG272" s="3" t="str">
        <f>IF(Table1[[#This Row],[Profit]]&gt;0,"Profit","Loss")</f>
        <v>Profit</v>
      </c>
      <c r="DH272" s="3" t="str">
        <f>IF(AND(Table1[[#This Row],[Sales_Amount]]&gt;=10000,Table1[[#This Row],[Profit]]&gt;0),"Priority","Normal")</f>
        <v>Normal</v>
      </c>
      <c r="DI272" s="3">
        <f t="shared" ca="1" si="30"/>
        <v>0.60491639287766896</v>
      </c>
      <c r="DJ272" s="3">
        <f t="shared" ca="1" si="31"/>
        <v>31</v>
      </c>
      <c r="DK272" s="3"/>
      <c r="DL272" s="3"/>
      <c r="DM272" s="3"/>
      <c r="DN272" s="3"/>
      <c r="DO272" s="3"/>
      <c r="DP272" s="3"/>
    </row>
    <row r="273" spans="1:120">
      <c r="A273" t="s">
        <v>1261</v>
      </c>
      <c r="B273" t="str">
        <f>REPLACE(Table1[[#This Row],[Order_ID]],1,3,"YOO")</f>
        <v>YOO10272</v>
      </c>
      <c r="C273" t="str">
        <f>MID(Table1[[#This Row],[Order_ID]],4,4)</f>
        <v>1027</v>
      </c>
      <c r="D273" t="str">
        <f>LEFT(Table1[[#This Row],[Order_ID]],4)</f>
        <v>ORD1</v>
      </c>
      <c r="E273" t="str">
        <f>RIGHT(Table1[[#This Row],[Order_ID]],5)</f>
        <v>10272</v>
      </c>
      <c r="F273" t="s">
        <v>5</v>
      </c>
      <c r="G273">
        <v>10272</v>
      </c>
      <c r="H273" t="s">
        <v>1262</v>
      </c>
      <c r="I273" s="2">
        <f>EDATE(Table1[[#This Row],[Order_Date]],3)</f>
        <v>45894</v>
      </c>
      <c r="J273" s="2">
        <f>EDATE(Table1[[#This Row],[Order_Date]],6)</f>
        <v>45986</v>
      </c>
      <c r="K273">
        <f ca="1">YEAR(Table1[[#This Row],[Today]])</f>
        <v>2026</v>
      </c>
      <c r="L273">
        <v>272</v>
      </c>
      <c r="M273">
        <f ca="1">DAY(Table1[[#This Row],[Today]])</f>
        <v>11</v>
      </c>
      <c r="N273" s="19">
        <f t="shared" ca="1" si="34"/>
        <v>46245.589795370368</v>
      </c>
      <c r="O273" s="2">
        <f t="shared" ca="1" si="29"/>
        <v>46245</v>
      </c>
      <c r="P273" s="17">
        <f ca="1">Table1[[#This Row],[Today]]-Table1[[#This Row],[Order_Date]]</f>
        <v>443</v>
      </c>
      <c r="Q273" s="2">
        <v>45929</v>
      </c>
      <c r="R273" s="2">
        <v>45802</v>
      </c>
      <c r="S273" s="6">
        <f t="shared" si="32"/>
        <v>2025</v>
      </c>
      <c r="T273" s="7" t="str">
        <f t="shared" si="33"/>
        <v>May</v>
      </c>
      <c r="U273" s="2">
        <f>WORKDAY(Table1[[#This Row],[Order_Date]],5)</f>
        <v>45807</v>
      </c>
      <c r="V273" s="7" t="str">
        <f>CONCATENATE(Table1[[#This Row],[Customer_ID]],Table1[[#This Row],[Customer_Name]])</f>
        <v>C1043Aman Singh</v>
      </c>
      <c r="W273" t="s">
        <v>1263</v>
      </c>
      <c r="X273" t="s">
        <v>123</v>
      </c>
      <c r="Y273">
        <f>COUNTA(Table1[[#This Row],[Customer_Name]])</f>
        <v>1</v>
      </c>
      <c r="Z273" t="str">
        <f>SUBSTITUTE(Table1[[#This Row],[Customer_Name]]," ","_")</f>
        <v>Aman_Singh</v>
      </c>
      <c r="AA273" s="10">
        <f>IFERROR(SEARCH("a",Table1[[#This Row],[Customer_Name]]),"N/A")</f>
        <v>1</v>
      </c>
      <c r="AB273">
        <f>SEARCH(" ",Table1[[#This Row],[Customer_Name]])</f>
        <v>5</v>
      </c>
      <c r="AC273" s="11">
        <f>IFERROR(FIND("a",Table1[[#This Row],[Customer_Name]]),"N/A")</f>
        <v>3</v>
      </c>
      <c r="AD273">
        <f>FIND(" ",Table1[[#This Row],[Customer_Name]])</f>
        <v>5</v>
      </c>
      <c r="AE273" t="str">
        <f>TRIM(Table1[[#This Row],[Customer_Name]])</f>
        <v>Aman Singh</v>
      </c>
      <c r="AF273">
        <f>LEN(Table1[[#This Row],[Trimmed]])</f>
        <v>10</v>
      </c>
      <c r="AG273">
        <f>MAX(Table1[Length])</f>
        <v>15</v>
      </c>
      <c r="AH273" t="str">
        <f>PROPER(Table1[[#This Row],[Customer_Name]])</f>
        <v>Aman Singh</v>
      </c>
      <c r="AI273" t="str">
        <f>LOWER(Table1[[#This Row],[Customer_Name]])</f>
        <v>aman singh</v>
      </c>
      <c r="AJ273" t="str">
        <f>UPPER(Table1[[#This Row],[Customer_Name]])</f>
        <v>AMAN SINGH</v>
      </c>
      <c r="AK273" t="str">
        <f>CONCATENATE(Table1[[#This Row],[Customer_ID]],Table1[[#This Row],[Customer_Name]])</f>
        <v>C1043Aman Singh</v>
      </c>
      <c r="AL273" t="s">
        <v>124</v>
      </c>
      <c r="AM273" t="s">
        <v>125</v>
      </c>
      <c r="AN273" t="s">
        <v>126</v>
      </c>
      <c r="AO273" t="s">
        <v>124</v>
      </c>
      <c r="AP273" t="s">
        <v>125</v>
      </c>
      <c r="AQ273" t="s">
        <v>284</v>
      </c>
      <c r="AR273" t="str">
        <f>TRIM(Table1[[#This Row],[City]])</f>
        <v>Hyderabad</v>
      </c>
      <c r="AS273" t="str">
        <f>PROPER(Table1[[#This Row],[City]])</f>
        <v>Hyderabad</v>
      </c>
      <c r="AT273" t="s">
        <v>285</v>
      </c>
      <c r="AU273" t="str">
        <f>CONCATENATE(Table1[[#This Row],[City]],Table1[[#This Row],[State]])</f>
        <v>HyderabadTelangana</v>
      </c>
      <c r="AV273" t="s">
        <v>168</v>
      </c>
      <c r="AW273" t="s">
        <v>338</v>
      </c>
      <c r="AX273" t="str">
        <f>REPLACE(Table1[[#This Row],[Product_ID]],1,1,"s")</f>
        <v>s115</v>
      </c>
      <c r="AY273" t="s">
        <v>1264</v>
      </c>
      <c r="AZ273">
        <f>SEARCH("-",Table1[[#This Row],[Product ID]])</f>
        <v>2</v>
      </c>
      <c r="BA273">
        <f>FIND("-",Table1[[#This Row],[Product ID]])</f>
        <v>2</v>
      </c>
      <c r="BB273" t="str">
        <f>MID(Table1[[#This Row],[Product_ID]],2,3)</f>
        <v>115</v>
      </c>
      <c r="BC273" t="str">
        <f>RIGHT(Table1[[#This Row],[Product_ID]],3)</f>
        <v>115</v>
      </c>
      <c r="BD273" t="str">
        <f>LEFT(Table1[[#This Row],[Product_ID]],3)</f>
        <v>P11</v>
      </c>
      <c r="BE273" t="str">
        <f>_xlfn.XLOOKUP(Table1[[#This Row],[Product_ID]],AW:AW,BF:BF,,0)</f>
        <v>Dumbbell Set</v>
      </c>
      <c r="BF273" t="s">
        <v>340</v>
      </c>
      <c r="BG273">
        <f>LEN(Table1[[#This Row],[Product_Name]])</f>
        <v>12</v>
      </c>
      <c r="BH273" t="s">
        <v>264</v>
      </c>
      <c r="BI273">
        <f t="shared" si="35"/>
        <v>75</v>
      </c>
      <c r="BJ273" t="str">
        <f>SUBSTITUTE(Table1[[#This Row],[Category]],"Electronics","ELECTRONICS")</f>
        <v>Sports</v>
      </c>
      <c r="BN273" t="s">
        <v>265</v>
      </c>
      <c r="BS273" s="14">
        <v>3</v>
      </c>
      <c r="BT273" s="3">
        <v>2499</v>
      </c>
      <c r="BU273" s="4">
        <v>0</v>
      </c>
      <c r="BV273" s="4" t="str">
        <f>IF(AND(Table1[[#This Row],[Quantity]]&gt;=3,Table1[[#This Row],[Discount_%]]&gt;=15%),"Bulk Discount","no")</f>
        <v>no</v>
      </c>
      <c r="BW273" s="4" t="str">
        <f>IF(AND(Table1[[#This Row],[Quantity]]&gt;3,Table1[[#This Row],[Discount_%]]&gt;15%),"Bulk Customer","Normal")</f>
        <v>Normal</v>
      </c>
      <c r="BX273" t="s">
        <v>192</v>
      </c>
      <c r="BY273" t="s">
        <v>136</v>
      </c>
      <c r="CC273" t="str">
        <f>IF(OR(Table1[[#This Row],[Order_Status]]="Returned",Table1[[#This Row],[Order_Status]]="Cancelled"),"Attention Required","Not")</f>
        <v>Not</v>
      </c>
      <c r="CD273" t="str">
        <f>IF(OR(Table1[[#This Row],[Order_Status]]="Returned",Table1[[#This Row],[Order_Status]]="Cancelled"),"Review","no")</f>
        <v>no</v>
      </c>
      <c r="CE273" t="str">
        <f>SUBSTITUTE(Table1[[#This Row],[Order_Status]],"Delivered","Completed")</f>
        <v>Completed</v>
      </c>
      <c r="CF273" s="2">
        <v>45808</v>
      </c>
      <c r="CG273" s="17">
        <f>NETWORKDAYS(Table1[[#This Row],[Order_Date]],Table1[[#This Row],[Delivery_Date]])</f>
        <v>5</v>
      </c>
      <c r="CH273" s="17">
        <f>Table1[[#This Row],[Delivery_Date]]-Table1[[#This Row],[Order_Date]]</f>
        <v>6</v>
      </c>
      <c r="CI273" t="s">
        <v>137</v>
      </c>
      <c r="CJ273" t="str">
        <f>IF(Table1[[#This Row],[Rating]]&gt;=4,"Good","Needs Improvement")</f>
        <v>Good</v>
      </c>
      <c r="CK273" t="str">
        <f>IF(OR(Table1[[#This Row],[Rating]]&lt;=2,Table1[[#This Row],[Profit]]&lt;0),"Review","NO")</f>
        <v>NO</v>
      </c>
      <c r="CL273" t="str" cm="1">
        <f t="array" ref="CL273">_xlfn.IFS(Table1[[#This Row],[Rating]]&gt;2,"Poor",Table1[[#This Row],[Rating]]=3,"Average",Table1[[#This Row],[Rating]]=4,"Good",CP273=5,"Excellent")</f>
        <v>Poor</v>
      </c>
      <c r="CM273">
        <f>COUNT(Table1[[#This Row],[Rating]])</f>
        <v>1</v>
      </c>
      <c r="CN273">
        <f>COUNTBLANK(Table1[[#This Row],[Rating]])</f>
        <v>0</v>
      </c>
      <c r="CP273" t="s">
        <v>138</v>
      </c>
      <c r="CQ273" s="14">
        <v>5</v>
      </c>
      <c r="CR273" t="s">
        <v>139</v>
      </c>
      <c r="CS273" t="s">
        <v>195</v>
      </c>
      <c r="CU273" s="3">
        <v>7497</v>
      </c>
      <c r="CV273" s="3">
        <f>ROUND(Table1[[#This Row],[Sales_Amount]],0)</f>
        <v>7497</v>
      </c>
      <c r="CW273" s="3"/>
      <c r="CX273" s="3"/>
      <c r="CY273" s="3" t="b">
        <f>IF(AND(Table1[[#This Row],[Sales_Amount]]&gt;=10000,Table1[[#This Row],[Profit]]&gt;0),"Good Order")</f>
        <v>0</v>
      </c>
      <c r="CZ273" s="3" t="str">
        <f>IF(Table1[[#This Row],[Sales_Amount]]&gt;=10000,"High","Normal")</f>
        <v>Normal</v>
      </c>
      <c r="DA273" s="3">
        <v>3147</v>
      </c>
      <c r="DB273" s="3">
        <f>ROUND(Table1[[#This Row],[Profit]],0)</f>
        <v>3147</v>
      </c>
      <c r="DC273" s="3">
        <f>ABS(Table1[[#This Row],[Profit]])</f>
        <v>3147</v>
      </c>
      <c r="DD273" s="3"/>
      <c r="DE273" s="3"/>
      <c r="DF273" s="3"/>
      <c r="DG273" s="3" t="str">
        <f>IF(Table1[[#This Row],[Profit]]&gt;0,"Profit","Loss")</f>
        <v>Profit</v>
      </c>
      <c r="DH273" s="3" t="str">
        <f>IF(AND(Table1[[#This Row],[Sales_Amount]]&gt;=10000,Table1[[#This Row],[Profit]]&gt;0),"Priority","Normal")</f>
        <v>Normal</v>
      </c>
      <c r="DI273" s="3">
        <f t="shared" ca="1" si="30"/>
        <v>0.46137218762488663</v>
      </c>
      <c r="DJ273" s="3">
        <f t="shared" ca="1" si="31"/>
        <v>31</v>
      </c>
      <c r="DK273" s="3"/>
      <c r="DL273" s="3"/>
      <c r="DM273" s="3"/>
      <c r="DN273" s="3"/>
      <c r="DO273" s="3"/>
      <c r="DP273" s="3"/>
    </row>
    <row r="274" spans="1:120">
      <c r="A274" t="s">
        <v>1265</v>
      </c>
      <c r="B274" t="str">
        <f>REPLACE(Table1[[#This Row],[Order_ID]],1,3,"YOO")</f>
        <v>YOO10273</v>
      </c>
      <c r="C274" t="str">
        <f>MID(Table1[[#This Row],[Order_ID]],4,4)</f>
        <v>1027</v>
      </c>
      <c r="D274" t="str">
        <f>LEFT(Table1[[#This Row],[Order_ID]],4)</f>
        <v>ORD1</v>
      </c>
      <c r="E274" t="str">
        <f>RIGHT(Table1[[#This Row],[Order_ID]],5)</f>
        <v>10273</v>
      </c>
      <c r="F274" t="s">
        <v>5</v>
      </c>
      <c r="G274">
        <v>10273</v>
      </c>
      <c r="H274" t="s">
        <v>1266</v>
      </c>
      <c r="I274" s="2">
        <f>EDATE(Table1[[#This Row],[Order_Date]],3)</f>
        <v>45819</v>
      </c>
      <c r="J274" s="2">
        <f>EDATE(Table1[[#This Row],[Order_Date]],6)</f>
        <v>45911</v>
      </c>
      <c r="K274">
        <f ca="1">YEAR(Table1[[#This Row],[Today]])</f>
        <v>2026</v>
      </c>
      <c r="L274">
        <v>273</v>
      </c>
      <c r="M274">
        <f ca="1">DAY(Table1[[#This Row],[Today]])</f>
        <v>11</v>
      </c>
      <c r="N274" s="19">
        <f t="shared" ca="1" si="34"/>
        <v>46245.589795370368</v>
      </c>
      <c r="O274" s="2">
        <f t="shared" ca="1" si="29"/>
        <v>46245</v>
      </c>
      <c r="P274" s="17">
        <f ca="1">Table1[[#This Row],[Today]]-Table1[[#This Row],[Order_Date]]</f>
        <v>518</v>
      </c>
      <c r="Q274" s="2">
        <v>45930</v>
      </c>
      <c r="R274" s="2">
        <v>45727</v>
      </c>
      <c r="S274" s="6">
        <f t="shared" si="32"/>
        <v>2025</v>
      </c>
      <c r="T274" s="7" t="str">
        <f t="shared" si="33"/>
        <v>March</v>
      </c>
      <c r="U274" s="2">
        <f>WORKDAY(Table1[[#This Row],[Order_Date]],5)</f>
        <v>45734</v>
      </c>
      <c r="V274" s="7" t="str">
        <f>CONCATENATE(Table1[[#This Row],[Customer_ID]],Table1[[#This Row],[Customer_Name]])</f>
        <v>C1013Mohit Khan</v>
      </c>
      <c r="W274" t="s">
        <v>228</v>
      </c>
      <c r="X274" t="s">
        <v>162</v>
      </c>
      <c r="Y274">
        <f>COUNTA(Table1[[#This Row],[Customer_Name]])</f>
        <v>1</v>
      </c>
      <c r="Z274" t="str">
        <f>SUBSTITUTE(Table1[[#This Row],[Customer_Name]]," ","_")</f>
        <v>Mohit_Khan</v>
      </c>
      <c r="AA274" s="10">
        <f>IFERROR(SEARCH("a",Table1[[#This Row],[Customer_Name]]),"N/A")</f>
        <v>9</v>
      </c>
      <c r="AB274">
        <f>SEARCH(" ",Table1[[#This Row],[Customer_Name]])</f>
        <v>6</v>
      </c>
      <c r="AC274" s="11">
        <f>IFERROR(FIND("a",Table1[[#This Row],[Customer_Name]]),"N/A")</f>
        <v>9</v>
      </c>
      <c r="AD274">
        <f>FIND(" ",Table1[[#This Row],[Customer_Name]])</f>
        <v>6</v>
      </c>
      <c r="AE274" t="str">
        <f>TRIM(Table1[[#This Row],[Customer_Name]])</f>
        <v>Mohit Khan</v>
      </c>
      <c r="AF274">
        <f>LEN(Table1[[#This Row],[Trimmed]])</f>
        <v>10</v>
      </c>
      <c r="AG274">
        <f>MAX(Table1[Length])</f>
        <v>15</v>
      </c>
      <c r="AH274" t="str">
        <f>PROPER(Table1[[#This Row],[Customer_Name]])</f>
        <v>Mohit Khan</v>
      </c>
      <c r="AI274" t="str">
        <f>LOWER(Table1[[#This Row],[Customer_Name]])</f>
        <v>mohit khan</v>
      </c>
      <c r="AJ274" t="str">
        <f>UPPER(Table1[[#This Row],[Customer_Name]])</f>
        <v>MOHIT KHAN</v>
      </c>
      <c r="AK274" t="str">
        <f>CONCATENATE(Table1[[#This Row],[Customer_ID]],Table1[[#This Row],[Customer_Name]])</f>
        <v>C1013Mohit Khan</v>
      </c>
      <c r="AL274" t="s">
        <v>163</v>
      </c>
      <c r="AM274" t="s">
        <v>164</v>
      </c>
      <c r="AN274" t="s">
        <v>165</v>
      </c>
      <c r="AO274" t="s">
        <v>163</v>
      </c>
      <c r="AP274" t="s">
        <v>164</v>
      </c>
      <c r="AQ274" t="s">
        <v>148</v>
      </c>
      <c r="AR274" t="str">
        <f>TRIM(Table1[[#This Row],[City]])</f>
        <v>Jaipur</v>
      </c>
      <c r="AS274" t="str">
        <f>PROPER(Table1[[#This Row],[City]])</f>
        <v>Jaipur</v>
      </c>
      <c r="AT274" t="s">
        <v>149</v>
      </c>
      <c r="AU274" t="str">
        <f>CONCATENATE(Table1[[#This Row],[City]],Table1[[#This Row],[State]])</f>
        <v>JaipurRajasthan</v>
      </c>
      <c r="AV274" t="s">
        <v>150</v>
      </c>
      <c r="AW274" t="s">
        <v>201</v>
      </c>
      <c r="AX274" t="str">
        <f>REPLACE(Table1[[#This Row],[Product_ID]],1,1,"s")</f>
        <v>s104</v>
      </c>
      <c r="AY274" t="s">
        <v>1267</v>
      </c>
      <c r="AZ274">
        <f>SEARCH("-",Table1[[#This Row],[Product ID]])</f>
        <v>2</v>
      </c>
      <c r="BA274">
        <f>FIND("-",Table1[[#This Row],[Product ID]])</f>
        <v>2</v>
      </c>
      <c r="BB274" t="str">
        <f>MID(Table1[[#This Row],[Product_ID]],2,3)</f>
        <v>104</v>
      </c>
      <c r="BC274" t="str">
        <f>RIGHT(Table1[[#This Row],[Product_ID]],3)</f>
        <v>104</v>
      </c>
      <c r="BD274" t="str">
        <f>LEFT(Table1[[#This Row],[Product_ID]],3)</f>
        <v>P10</v>
      </c>
      <c r="BE274" t="str">
        <f>_xlfn.XLOOKUP(Table1[[#This Row],[Product_ID]],AW:AW,BF:BF,,0)</f>
        <v>USB-C Hub</v>
      </c>
      <c r="BF274" t="s">
        <v>203</v>
      </c>
      <c r="BG274">
        <f>LEN(Table1[[#This Row],[Product_Name]])</f>
        <v>9</v>
      </c>
      <c r="BH274" t="s">
        <v>154</v>
      </c>
      <c r="BI274">
        <f t="shared" si="35"/>
        <v>75</v>
      </c>
      <c r="BJ274" t="str">
        <f>SUBSTITUTE(Table1[[#This Row],[Category]],"Electronics","ELECTRONICS")</f>
        <v>ELECTRONICS</v>
      </c>
      <c r="BN274" t="s">
        <v>155</v>
      </c>
      <c r="BS274" s="14">
        <v>3</v>
      </c>
      <c r="BT274" s="3">
        <v>1899</v>
      </c>
      <c r="BU274" s="4">
        <v>10</v>
      </c>
      <c r="BV274" s="4" t="str">
        <f>IF(AND(Table1[[#This Row],[Quantity]]&gt;=3,Table1[[#This Row],[Discount_%]]&gt;=15%),"Bulk Discount","no")</f>
        <v>Bulk Discount</v>
      </c>
      <c r="BW274" s="4" t="str">
        <f>IF(AND(Table1[[#This Row],[Quantity]]&gt;3,Table1[[#This Row],[Discount_%]]&gt;15%),"Bulk Customer","Normal")</f>
        <v>Normal</v>
      </c>
      <c r="BX274" t="s">
        <v>330</v>
      </c>
      <c r="BY274" t="s">
        <v>193</v>
      </c>
      <c r="CC274" t="str">
        <f>IF(OR(Table1[[#This Row],[Order_Status]]="Returned",Table1[[#This Row],[Order_Status]]="Cancelled"),"Attention Required","Not")</f>
        <v>Not</v>
      </c>
      <c r="CD274" t="str">
        <f>IF(OR(Table1[[#This Row],[Order_Status]]="Returned",Table1[[#This Row],[Order_Status]]="Cancelled"),"Review","no")</f>
        <v>no</v>
      </c>
      <c r="CE274" t="str">
        <f>SUBSTITUTE(Table1[[#This Row],[Order_Status]],"Delivered","Completed")</f>
        <v>Shipped</v>
      </c>
      <c r="CF274" s="2">
        <v>45729</v>
      </c>
      <c r="CG274" s="17">
        <f>NETWORKDAYS(Table1[[#This Row],[Order_Date]],Table1[[#This Row],[Delivery_Date]])</f>
        <v>3</v>
      </c>
      <c r="CH274" s="17">
        <f>Table1[[#This Row],[Delivery_Date]]-Table1[[#This Row],[Order_Date]]</f>
        <v>2</v>
      </c>
      <c r="CI274" t="s">
        <v>137</v>
      </c>
      <c r="CJ274" t="str">
        <f>IF(Table1[[#This Row],[Rating]]&gt;=4,"Good","Needs Improvement")</f>
        <v>Needs Improvement</v>
      </c>
      <c r="CK274" t="str">
        <f>IF(OR(Table1[[#This Row],[Rating]]&lt;=2,Table1[[#This Row],[Profit]]&lt;0),"Review","NO")</f>
        <v>Review</v>
      </c>
      <c r="CL274" t="e" cm="1">
        <f t="array" ref="CL274">_xlfn.IFS(Table1[[#This Row],[Rating]]&gt;2,"Poor",Table1[[#This Row],[Rating]]=3,"Average",Table1[[#This Row],[Rating]]=4,"Good",CP274=5,"Excellent")</f>
        <v>#N/A</v>
      </c>
      <c r="CM274">
        <f>COUNT(Table1[[#This Row],[Rating]])</f>
        <v>1</v>
      </c>
      <c r="CN274">
        <f>COUNTBLANK(Table1[[#This Row],[Rating]])</f>
        <v>0</v>
      </c>
      <c r="CQ274" s="14">
        <v>1</v>
      </c>
      <c r="CR274" t="s">
        <v>173</v>
      </c>
      <c r="CS274" t="s">
        <v>158</v>
      </c>
      <c r="CU274" s="3">
        <v>5127.3</v>
      </c>
      <c r="CV274" s="3">
        <f>ROUND(Table1[[#This Row],[Sales_Amount]],0)</f>
        <v>5127</v>
      </c>
      <c r="CW274" s="3"/>
      <c r="CX274" s="3"/>
      <c r="CY274" s="3" t="b">
        <f>IF(AND(Table1[[#This Row],[Sales_Amount]]&gt;=10000,Table1[[#This Row],[Profit]]&gt;0),"Good Order")</f>
        <v>0</v>
      </c>
      <c r="CZ274" s="3" t="str">
        <f>IF(Table1[[#This Row],[Sales_Amount]]&gt;=10000,"High","Normal")</f>
        <v>Normal</v>
      </c>
      <c r="DA274" s="3">
        <v>1827.3</v>
      </c>
      <c r="DB274" s="3">
        <f>ROUND(Table1[[#This Row],[Profit]],0)</f>
        <v>1827</v>
      </c>
      <c r="DC274" s="3">
        <f>ABS(Table1[[#This Row],[Profit]])</f>
        <v>1827.3</v>
      </c>
      <c r="DD274" s="3"/>
      <c r="DE274" s="3"/>
      <c r="DF274" s="3"/>
      <c r="DG274" s="3" t="str">
        <f>IF(Table1[[#This Row],[Profit]]&gt;0,"Profit","Loss")</f>
        <v>Profit</v>
      </c>
      <c r="DH274" s="3" t="str">
        <f>IF(AND(Table1[[#This Row],[Sales_Amount]]&gt;=10000,Table1[[#This Row],[Profit]]&gt;0),"Priority","Normal")</f>
        <v>Normal</v>
      </c>
      <c r="DI274" s="3">
        <f t="shared" ca="1" si="30"/>
        <v>0.49440889462553772</v>
      </c>
      <c r="DJ274" s="3">
        <f t="shared" ca="1" si="31"/>
        <v>7</v>
      </c>
      <c r="DK274" s="3"/>
      <c r="DL274" s="3"/>
      <c r="DM274" s="3"/>
      <c r="DN274" s="3"/>
      <c r="DO274" s="3"/>
      <c r="DP274" s="3"/>
    </row>
    <row r="275" spans="1:120">
      <c r="A275" t="s">
        <v>1268</v>
      </c>
      <c r="B275" t="str">
        <f>REPLACE(Table1[[#This Row],[Order_ID]],1,3,"YOO")</f>
        <v>YOO10274</v>
      </c>
      <c r="C275" t="str">
        <f>MID(Table1[[#This Row],[Order_ID]],4,4)</f>
        <v>1027</v>
      </c>
      <c r="D275" t="str">
        <f>LEFT(Table1[[#This Row],[Order_ID]],4)</f>
        <v>ORD1</v>
      </c>
      <c r="E275" t="str">
        <f>RIGHT(Table1[[#This Row],[Order_ID]],5)</f>
        <v>10274</v>
      </c>
      <c r="F275" t="s">
        <v>5</v>
      </c>
      <c r="G275">
        <v>10274</v>
      </c>
      <c r="H275" t="s">
        <v>1269</v>
      </c>
      <c r="I275" s="2">
        <f>EDATE(Table1[[#This Row],[Order_Date]],3)</f>
        <v>46254</v>
      </c>
      <c r="J275" s="2">
        <f>EDATE(Table1[[#This Row],[Order_Date]],6)</f>
        <v>46346</v>
      </c>
      <c r="K275">
        <f ca="1">YEAR(Table1[[#This Row],[Today]])</f>
        <v>2026</v>
      </c>
      <c r="L275">
        <v>274</v>
      </c>
      <c r="M275">
        <f ca="1">DAY(Table1[[#This Row],[Today]])</f>
        <v>11</v>
      </c>
      <c r="N275" s="19">
        <f t="shared" ca="1" si="34"/>
        <v>46245.589795138891</v>
      </c>
      <c r="O275" s="2">
        <f t="shared" ca="1" si="29"/>
        <v>46245</v>
      </c>
      <c r="P275" s="17">
        <f ca="1">Table1[[#This Row],[Today]]-Table1[[#This Row],[Order_Date]]</f>
        <v>83</v>
      </c>
      <c r="Q275" s="2">
        <v>45931</v>
      </c>
      <c r="R275" s="2">
        <v>46162</v>
      </c>
      <c r="S275" s="6">
        <f t="shared" si="32"/>
        <v>2026</v>
      </c>
      <c r="T275" s="7" t="str">
        <f t="shared" si="33"/>
        <v>May</v>
      </c>
      <c r="U275" s="2">
        <f>WORKDAY(Table1[[#This Row],[Order_Date]],5)</f>
        <v>46169</v>
      </c>
      <c r="V275" s="7" t="str">
        <f>CONCATENATE(Table1[[#This Row],[Customer_ID]],Table1[[#This Row],[Customer_Name]])</f>
        <v>C1123Varun Tiwari</v>
      </c>
      <c r="W275" t="s">
        <v>472</v>
      </c>
      <c r="X275" t="s">
        <v>178</v>
      </c>
      <c r="Y275">
        <f>COUNTA(Table1[[#This Row],[Customer_Name]])</f>
        <v>1</v>
      </c>
      <c r="Z275" t="str">
        <f>SUBSTITUTE(Table1[[#This Row],[Customer_Name]]," ","_")</f>
        <v>Varun_Tiwari</v>
      </c>
      <c r="AA275" s="10">
        <f>IFERROR(SEARCH("a",Table1[[#This Row],[Customer_Name]]),"N/A")</f>
        <v>2</v>
      </c>
      <c r="AB275">
        <f>SEARCH(" ",Table1[[#This Row],[Customer_Name]])</f>
        <v>6</v>
      </c>
      <c r="AC275" s="11">
        <f>IFERROR(FIND("a",Table1[[#This Row],[Customer_Name]]),"N/A")</f>
        <v>2</v>
      </c>
      <c r="AD275">
        <f>FIND(" ",Table1[[#This Row],[Customer_Name]])</f>
        <v>6</v>
      </c>
      <c r="AE275" t="str">
        <f>TRIM(Table1[[#This Row],[Customer_Name]])</f>
        <v>Varun Tiwari</v>
      </c>
      <c r="AF275">
        <f>LEN(Table1[[#This Row],[Trimmed]])</f>
        <v>12</v>
      </c>
      <c r="AG275">
        <f>MAX(Table1[Length])</f>
        <v>15</v>
      </c>
      <c r="AH275" t="str">
        <f>PROPER(Table1[[#This Row],[Customer_Name]])</f>
        <v>Varun Tiwari</v>
      </c>
      <c r="AI275" t="str">
        <f>LOWER(Table1[[#This Row],[Customer_Name]])</f>
        <v>varun tiwari</v>
      </c>
      <c r="AJ275" t="str">
        <f>UPPER(Table1[[#This Row],[Customer_Name]])</f>
        <v>VARUN TIWARI</v>
      </c>
      <c r="AK275" t="str">
        <f>CONCATENATE(Table1[[#This Row],[Customer_ID]],Table1[[#This Row],[Customer_Name]])</f>
        <v>C1123Varun Tiwari</v>
      </c>
      <c r="AL275" t="s">
        <v>179</v>
      </c>
      <c r="AM275" t="s">
        <v>180</v>
      </c>
      <c r="AN275" t="s">
        <v>181</v>
      </c>
      <c r="AO275" t="s">
        <v>179</v>
      </c>
      <c r="AP275" t="s">
        <v>180</v>
      </c>
      <c r="AQ275" t="s">
        <v>166</v>
      </c>
      <c r="AR275" t="str">
        <f>TRIM(Table1[[#This Row],[City]])</f>
        <v>Bengaluru</v>
      </c>
      <c r="AS275" t="str">
        <f>PROPER(Table1[[#This Row],[City]])</f>
        <v>Bengaluru</v>
      </c>
      <c r="AT275" t="s">
        <v>167</v>
      </c>
      <c r="AU275" t="str">
        <f>CONCATENATE(Table1[[#This Row],[City]],Table1[[#This Row],[State]])</f>
        <v>BengaluruKarnataka</v>
      </c>
      <c r="AV275" t="s">
        <v>168</v>
      </c>
      <c r="AW275" t="s">
        <v>338</v>
      </c>
      <c r="AX275" t="str">
        <f>REPLACE(Table1[[#This Row],[Product_ID]],1,1,"s")</f>
        <v>s115</v>
      </c>
      <c r="AY275" t="s">
        <v>1270</v>
      </c>
      <c r="AZ275">
        <f>SEARCH("-",Table1[[#This Row],[Product ID]])</f>
        <v>2</v>
      </c>
      <c r="BA275">
        <f>FIND("-",Table1[[#This Row],[Product ID]])</f>
        <v>2</v>
      </c>
      <c r="BB275" t="str">
        <f>MID(Table1[[#This Row],[Product_ID]],2,3)</f>
        <v>115</v>
      </c>
      <c r="BC275" t="str">
        <f>RIGHT(Table1[[#This Row],[Product_ID]],3)</f>
        <v>115</v>
      </c>
      <c r="BD275" t="str">
        <f>LEFT(Table1[[#This Row],[Product_ID]],3)</f>
        <v>P11</v>
      </c>
      <c r="BE275" t="str">
        <f>_xlfn.XLOOKUP(Table1[[#This Row],[Product_ID]],AW:AW,BF:BF,,0)</f>
        <v>Dumbbell Set</v>
      </c>
      <c r="BF275" t="s">
        <v>340</v>
      </c>
      <c r="BG275">
        <f>LEN(Table1[[#This Row],[Product_Name]])</f>
        <v>12</v>
      </c>
      <c r="BH275" t="s">
        <v>264</v>
      </c>
      <c r="BI275">
        <f t="shared" si="35"/>
        <v>75</v>
      </c>
      <c r="BJ275" t="str">
        <f>SUBSTITUTE(Table1[[#This Row],[Category]],"Electronics","ELECTRONICS")</f>
        <v>Sports</v>
      </c>
      <c r="BN275" t="s">
        <v>265</v>
      </c>
      <c r="BS275" s="14">
        <v>4</v>
      </c>
      <c r="BT275" s="3">
        <v>2499</v>
      </c>
      <c r="BU275" s="4">
        <v>15</v>
      </c>
      <c r="BV275" s="4" t="str">
        <f>IF(AND(Table1[[#This Row],[Quantity]]&gt;=3,Table1[[#This Row],[Discount_%]]&gt;=15%),"Bulk Discount","no")</f>
        <v>Bulk Discount</v>
      </c>
      <c r="BW275" s="4" t="str">
        <f>IF(AND(Table1[[#This Row],[Quantity]]&gt;3,Table1[[#This Row],[Discount_%]]&gt;15%),"Bulk Customer","Normal")</f>
        <v>Bulk Customer</v>
      </c>
      <c r="BX275" t="s">
        <v>187</v>
      </c>
      <c r="BY275" t="s">
        <v>156</v>
      </c>
      <c r="CC275" t="str">
        <f>IF(OR(Table1[[#This Row],[Order_Status]]="Returned",Table1[[#This Row],[Order_Status]]="Cancelled"),"Attention Required","Not")</f>
        <v>Attention Required</v>
      </c>
      <c r="CD275" t="str">
        <f>IF(OR(Table1[[#This Row],[Order_Status]]="Returned",Table1[[#This Row],[Order_Status]]="Cancelled"),"Review","no")</f>
        <v>Review</v>
      </c>
      <c r="CE275" t="str">
        <f>SUBSTITUTE(Table1[[#This Row],[Order_Status]],"Delivered","Completed")</f>
        <v>Cancelled</v>
      </c>
      <c r="CF275" s="2">
        <v>46169</v>
      </c>
      <c r="CG275" s="17">
        <f>NETWORKDAYS(Table1[[#This Row],[Order_Date]],Table1[[#This Row],[Delivery_Date]])</f>
        <v>6</v>
      </c>
      <c r="CH275" s="17">
        <f>Table1[[#This Row],[Delivery_Date]]-Table1[[#This Row],[Order_Date]]</f>
        <v>7</v>
      </c>
      <c r="CI275" t="s">
        <v>137</v>
      </c>
      <c r="CJ275" t="str">
        <f>IF(Table1[[#This Row],[Rating]]&gt;=4,"Good","Needs Improvement")</f>
        <v>Needs Improvement</v>
      </c>
      <c r="CK275" t="str">
        <f>IF(OR(Table1[[#This Row],[Rating]]&lt;=2,Table1[[#This Row],[Profit]]&lt;0),"Review","NO")</f>
        <v>Review</v>
      </c>
      <c r="CL275" t="e" cm="1">
        <f t="array" ref="CL275">_xlfn.IFS(Table1[[#This Row],[Rating]]&gt;2,"Poor",Table1[[#This Row],[Rating]]=3,"Average",Table1[[#This Row],[Rating]]=4,"Good",CP275=5,"Excellent")</f>
        <v>#N/A</v>
      </c>
      <c r="CM275">
        <f>COUNT(Table1[[#This Row],[Rating]])</f>
        <v>1</v>
      </c>
      <c r="CN275">
        <f>COUNTBLANK(Table1[[#This Row],[Rating]])</f>
        <v>0</v>
      </c>
      <c r="CP275" t="s">
        <v>194</v>
      </c>
      <c r="CQ275" s="14">
        <v>2</v>
      </c>
      <c r="CR275" t="s">
        <v>173</v>
      </c>
      <c r="CS275" t="s">
        <v>140</v>
      </c>
      <c r="CU275" s="3">
        <v>8496.6</v>
      </c>
      <c r="CV275" s="3">
        <f>ROUND(Table1[[#This Row],[Sales_Amount]],0)</f>
        <v>8497</v>
      </c>
      <c r="CW275" s="3"/>
      <c r="CX275" s="3"/>
      <c r="CY275" s="3" t="b">
        <f>IF(AND(Table1[[#This Row],[Sales_Amount]]&gt;=10000,Table1[[#This Row],[Profit]]&gt;0),"Good Order")</f>
        <v>0</v>
      </c>
      <c r="CZ275" s="3" t="str">
        <f>IF(Table1[[#This Row],[Sales_Amount]]&gt;=10000,"High","Normal")</f>
        <v>Normal</v>
      </c>
      <c r="DA275" s="3">
        <v>2696.6</v>
      </c>
      <c r="DB275" s="3">
        <f>ROUND(Table1[[#This Row],[Profit]],0)</f>
        <v>2697</v>
      </c>
      <c r="DC275" s="3">
        <f>ABS(Table1[[#This Row],[Profit]])</f>
        <v>2696.6</v>
      </c>
      <c r="DD275" s="3"/>
      <c r="DE275" s="3"/>
      <c r="DF275" s="3"/>
      <c r="DG275" s="3" t="str">
        <f>IF(Table1[[#This Row],[Profit]]&gt;0,"Profit","Loss")</f>
        <v>Profit</v>
      </c>
      <c r="DH275" s="3" t="str">
        <f>IF(AND(Table1[[#This Row],[Sales_Amount]]&gt;=10000,Table1[[#This Row],[Profit]]&gt;0),"Priority","Normal")</f>
        <v>Normal</v>
      </c>
      <c r="DI275" s="3">
        <f t="shared" ca="1" si="30"/>
        <v>0.97213950607839084</v>
      </c>
      <c r="DJ275" s="3">
        <f t="shared" ca="1" si="31"/>
        <v>28</v>
      </c>
      <c r="DK275" s="3"/>
      <c r="DL275" s="3"/>
      <c r="DM275" s="3"/>
      <c r="DN275" s="3"/>
      <c r="DO275" s="3"/>
      <c r="DP275" s="3"/>
    </row>
    <row r="276" spans="1:120">
      <c r="A276" t="s">
        <v>1271</v>
      </c>
      <c r="B276" t="str">
        <f>REPLACE(Table1[[#This Row],[Order_ID]],1,3,"YOO")</f>
        <v>YOO10275</v>
      </c>
      <c r="C276" t="str">
        <f>MID(Table1[[#This Row],[Order_ID]],4,4)</f>
        <v>1027</v>
      </c>
      <c r="D276" t="str">
        <f>LEFT(Table1[[#This Row],[Order_ID]],4)</f>
        <v>ORD1</v>
      </c>
      <c r="E276" t="str">
        <f>RIGHT(Table1[[#This Row],[Order_ID]],5)</f>
        <v>10275</v>
      </c>
      <c r="F276" t="s">
        <v>5</v>
      </c>
      <c r="G276">
        <v>10275</v>
      </c>
      <c r="H276" t="s">
        <v>1272</v>
      </c>
      <c r="I276" s="2">
        <f>EDATE(Table1[[#This Row],[Order_Date]],3)</f>
        <v>46051</v>
      </c>
      <c r="J276" s="2">
        <f>EDATE(Table1[[#This Row],[Order_Date]],6)</f>
        <v>46141</v>
      </c>
      <c r="K276">
        <f ca="1">YEAR(Table1[[#This Row],[Today]])</f>
        <v>2026</v>
      </c>
      <c r="L276">
        <v>275</v>
      </c>
      <c r="M276">
        <f ca="1">DAY(Table1[[#This Row],[Today]])</f>
        <v>11</v>
      </c>
      <c r="N276" s="19">
        <f t="shared" ca="1" si="34"/>
        <v>46245.589795370368</v>
      </c>
      <c r="O276" s="2">
        <f t="shared" ca="1" si="29"/>
        <v>46245</v>
      </c>
      <c r="P276" s="17">
        <f ca="1">Table1[[#This Row],[Today]]-Table1[[#This Row],[Order_Date]]</f>
        <v>286</v>
      </c>
      <c r="Q276" s="2">
        <v>45932</v>
      </c>
      <c r="R276" s="2">
        <v>45959</v>
      </c>
      <c r="S276" s="6">
        <f t="shared" si="32"/>
        <v>2025</v>
      </c>
      <c r="T276" s="7" t="str">
        <f t="shared" si="33"/>
        <v>October</v>
      </c>
      <c r="U276" s="2">
        <f>WORKDAY(Table1[[#This Row],[Order_Date]],5)</f>
        <v>45966</v>
      </c>
      <c r="V276" s="7" t="str">
        <f>CONCATENATE(Table1[[#This Row],[Customer_ID]],Table1[[#This Row],[Customer_Name]])</f>
        <v>C1088Simran Kaur</v>
      </c>
      <c r="W276" t="s">
        <v>1273</v>
      </c>
      <c r="X276" t="s">
        <v>325</v>
      </c>
      <c r="Y276">
        <f>COUNTA(Table1[[#This Row],[Customer_Name]])</f>
        <v>1</v>
      </c>
      <c r="Z276" t="str">
        <f>SUBSTITUTE(Table1[[#This Row],[Customer_Name]]," ","_")</f>
        <v>Simran_Kaur</v>
      </c>
      <c r="AA276" s="10">
        <f>IFERROR(SEARCH("a",Table1[[#This Row],[Customer_Name]]),"N/A")</f>
        <v>5</v>
      </c>
      <c r="AB276">
        <f>SEARCH(" ",Table1[[#This Row],[Customer_Name]])</f>
        <v>7</v>
      </c>
      <c r="AC276" s="11">
        <f>IFERROR(FIND("a",Table1[[#This Row],[Customer_Name]]),"N/A")</f>
        <v>5</v>
      </c>
      <c r="AD276">
        <f>FIND(" ",Table1[[#This Row],[Customer_Name]])</f>
        <v>7</v>
      </c>
      <c r="AE276" t="str">
        <f>TRIM(Table1[[#This Row],[Customer_Name]])</f>
        <v>Simran Kaur</v>
      </c>
      <c r="AF276">
        <f>LEN(Table1[[#This Row],[Trimmed]])</f>
        <v>11</v>
      </c>
      <c r="AG276">
        <f>MAX(Table1[Length])</f>
        <v>15</v>
      </c>
      <c r="AH276" t="str">
        <f>PROPER(Table1[[#This Row],[Customer_Name]])</f>
        <v>Simran Kaur</v>
      </c>
      <c r="AI276" t="str">
        <f>LOWER(Table1[[#This Row],[Customer_Name]])</f>
        <v>simran kaur</v>
      </c>
      <c r="AJ276" t="str">
        <f>UPPER(Table1[[#This Row],[Customer_Name]])</f>
        <v>SIMRAN KAUR</v>
      </c>
      <c r="AK276" t="str">
        <f>CONCATENATE(Table1[[#This Row],[Customer_ID]],Table1[[#This Row],[Customer_Name]])</f>
        <v>C1088Simran Kaur</v>
      </c>
      <c r="AL276" t="s">
        <v>326</v>
      </c>
      <c r="AM276" t="s">
        <v>327</v>
      </c>
      <c r="AN276" t="s">
        <v>328</v>
      </c>
      <c r="AO276" t="s">
        <v>326</v>
      </c>
      <c r="AP276" t="s">
        <v>327</v>
      </c>
      <c r="AQ276" t="s">
        <v>182</v>
      </c>
      <c r="AR276" t="str">
        <f>TRIM(Table1[[#This Row],[City]])</f>
        <v>Mumbai</v>
      </c>
      <c r="AS276" t="str">
        <f>PROPER(Table1[[#This Row],[City]])</f>
        <v>Mumbai</v>
      </c>
      <c r="AT276" t="s">
        <v>128</v>
      </c>
      <c r="AU276" t="str">
        <f>CONCATENATE(Table1[[#This Row],[City]],Table1[[#This Row],[State]])</f>
        <v>MumbaiMaharashtra</v>
      </c>
      <c r="AV276" t="s">
        <v>129</v>
      </c>
      <c r="AW276" t="s">
        <v>250</v>
      </c>
      <c r="AX276" t="str">
        <f>REPLACE(Table1[[#This Row],[Product_ID]],1,1,"s")</f>
        <v>s113</v>
      </c>
      <c r="AY276" t="s">
        <v>1274</v>
      </c>
      <c r="AZ276">
        <f>SEARCH("-",Table1[[#This Row],[Product ID]])</f>
        <v>2</v>
      </c>
      <c r="BA276">
        <f>FIND("-",Table1[[#This Row],[Product ID]])</f>
        <v>2</v>
      </c>
      <c r="BB276" t="str">
        <f>MID(Table1[[#This Row],[Product_ID]],2,3)</f>
        <v>113</v>
      </c>
      <c r="BC276" t="str">
        <f>RIGHT(Table1[[#This Row],[Product_ID]],3)</f>
        <v>113</v>
      </c>
      <c r="BD276" t="str">
        <f>LEFT(Table1[[#This Row],[Product_ID]],3)</f>
        <v>P11</v>
      </c>
      <c r="BE276" t="str">
        <f>_xlfn.XLOOKUP(Table1[[#This Row],[Product_ID]],AW:AW,BF:BF,,0)</f>
        <v>Desk Lamp</v>
      </c>
      <c r="BF276" t="s">
        <v>252</v>
      </c>
      <c r="BG276">
        <f>LEN(Table1[[#This Row],[Product_Name]])</f>
        <v>9</v>
      </c>
      <c r="BH276" t="s">
        <v>133</v>
      </c>
      <c r="BI276">
        <f t="shared" si="35"/>
        <v>75</v>
      </c>
      <c r="BJ276" t="str">
        <f>SUBSTITUTE(Table1[[#This Row],[Category]],"Electronics","ELECTRONICS")</f>
        <v>Home</v>
      </c>
      <c r="BN276" t="s">
        <v>253</v>
      </c>
      <c r="BS276" s="14">
        <v>1</v>
      </c>
      <c r="BT276" s="3">
        <v>1299</v>
      </c>
      <c r="BU276" s="4">
        <v>15</v>
      </c>
      <c r="BV276" s="4" t="str">
        <f>IF(AND(Table1[[#This Row],[Quantity]]&gt;=3,Table1[[#This Row],[Discount_%]]&gt;=15%),"Bulk Discount","no")</f>
        <v>no</v>
      </c>
      <c r="BW276" s="4" t="str">
        <f>IF(AND(Table1[[#This Row],[Quantity]]&gt;3,Table1[[#This Row],[Discount_%]]&gt;15%),"Bulk Customer","Normal")</f>
        <v>Normal</v>
      </c>
      <c r="BX276" t="s">
        <v>330</v>
      </c>
      <c r="BY276" t="s">
        <v>136</v>
      </c>
      <c r="CC276" t="str">
        <f>IF(OR(Table1[[#This Row],[Order_Status]]="Returned",Table1[[#This Row],[Order_Status]]="Cancelled"),"Attention Required","Not")</f>
        <v>Not</v>
      </c>
      <c r="CD276" t="str">
        <f>IF(OR(Table1[[#This Row],[Order_Status]]="Returned",Table1[[#This Row],[Order_Status]]="Cancelled"),"Review","no")</f>
        <v>no</v>
      </c>
      <c r="CE276" t="str">
        <f>SUBSTITUTE(Table1[[#This Row],[Order_Status]],"Delivered","Completed")</f>
        <v>Completed</v>
      </c>
      <c r="CF276" s="2">
        <v>45961</v>
      </c>
      <c r="CG276" s="17">
        <f>NETWORKDAYS(Table1[[#This Row],[Order_Date]],Table1[[#This Row],[Delivery_Date]])</f>
        <v>3</v>
      </c>
      <c r="CH276" s="17">
        <f>Table1[[#This Row],[Delivery_Date]]-Table1[[#This Row],[Order_Date]]</f>
        <v>2</v>
      </c>
      <c r="CI276" t="s">
        <v>137</v>
      </c>
      <c r="CJ276" t="str">
        <f>IF(Table1[[#This Row],[Rating]]&gt;=4,"Good","Needs Improvement")</f>
        <v>Needs Improvement</v>
      </c>
      <c r="CK276" t="str">
        <f>IF(OR(Table1[[#This Row],[Rating]]&lt;=2,Table1[[#This Row],[Profit]]&lt;0),"Review","NO")</f>
        <v>Review</v>
      </c>
      <c r="CL276" t="e" cm="1">
        <f t="array" ref="CL276">_xlfn.IFS(Table1[[#This Row],[Rating]]&gt;2,"Poor",Table1[[#This Row],[Rating]]=3,"Average",Table1[[#This Row],[Rating]]=4,"Good",CP276=5,"Excellent")</f>
        <v>#N/A</v>
      </c>
      <c r="CM276">
        <f>COUNT(Table1[[#This Row],[Rating]])</f>
        <v>1</v>
      </c>
      <c r="CN276">
        <f>COUNTBLANK(Table1[[#This Row],[Rating]])</f>
        <v>0</v>
      </c>
      <c r="CP276" t="s">
        <v>194</v>
      </c>
      <c r="CQ276" s="14">
        <v>2</v>
      </c>
      <c r="CR276" t="s">
        <v>204</v>
      </c>
      <c r="CS276" t="s">
        <v>140</v>
      </c>
      <c r="CU276" s="3">
        <v>1104.1500000000001</v>
      </c>
      <c r="CV276" s="3">
        <f>ROUND(Table1[[#This Row],[Sales_Amount]],0)</f>
        <v>1104</v>
      </c>
      <c r="CW276" s="3"/>
      <c r="CX276" s="3"/>
      <c r="CY276" s="3" t="b">
        <f>IF(AND(Table1[[#This Row],[Sales_Amount]]&gt;=10000,Table1[[#This Row],[Profit]]&gt;0),"Good Order")</f>
        <v>0</v>
      </c>
      <c r="CZ276" s="3" t="str">
        <f>IF(Table1[[#This Row],[Sales_Amount]]&gt;=10000,"High","Normal")</f>
        <v>Normal</v>
      </c>
      <c r="DA276" s="3">
        <v>454.15</v>
      </c>
      <c r="DB276" s="3">
        <f>ROUND(Table1[[#This Row],[Profit]],0)</f>
        <v>454</v>
      </c>
      <c r="DC276" s="3">
        <f>ABS(Table1[[#This Row],[Profit]])</f>
        <v>454.15</v>
      </c>
      <c r="DD276" s="3"/>
      <c r="DE276" s="3"/>
      <c r="DF276" s="3"/>
      <c r="DG276" s="3" t="str">
        <f>IF(Table1[[#This Row],[Profit]]&gt;0,"Profit","Loss")</f>
        <v>Profit</v>
      </c>
      <c r="DH276" s="3" t="str">
        <f>IF(AND(Table1[[#This Row],[Sales_Amount]]&gt;=10000,Table1[[#This Row],[Profit]]&gt;0),"Priority","Normal")</f>
        <v>Normal</v>
      </c>
      <c r="DI276" s="3">
        <f t="shared" ca="1" si="30"/>
        <v>0.70623226873680445</v>
      </c>
      <c r="DJ276" s="3">
        <f t="shared" ca="1" si="31"/>
        <v>7</v>
      </c>
      <c r="DK276" s="3"/>
      <c r="DL276" s="3"/>
      <c r="DM276" s="3"/>
      <c r="DN276" s="3"/>
      <c r="DO276" s="3"/>
      <c r="DP276" s="3"/>
    </row>
    <row r="277" spans="1:120">
      <c r="A277" t="s">
        <v>1275</v>
      </c>
      <c r="B277" t="str">
        <f>REPLACE(Table1[[#This Row],[Order_ID]],1,3,"YOO")</f>
        <v>YOO10276</v>
      </c>
      <c r="C277" t="str">
        <f>MID(Table1[[#This Row],[Order_ID]],4,4)</f>
        <v>1027</v>
      </c>
      <c r="D277" t="str">
        <f>LEFT(Table1[[#This Row],[Order_ID]],4)</f>
        <v>ORD1</v>
      </c>
      <c r="E277" t="str">
        <f>RIGHT(Table1[[#This Row],[Order_ID]],5)</f>
        <v>10276</v>
      </c>
      <c r="F277" t="s">
        <v>5</v>
      </c>
      <c r="G277">
        <v>10276</v>
      </c>
      <c r="H277" t="s">
        <v>1276</v>
      </c>
      <c r="I277" s="2">
        <f>EDATE(Table1[[#This Row],[Order_Date]],3)</f>
        <v>46094</v>
      </c>
      <c r="J277" s="2">
        <f>EDATE(Table1[[#This Row],[Order_Date]],6)</f>
        <v>46186</v>
      </c>
      <c r="K277">
        <f ca="1">YEAR(Table1[[#This Row],[Today]])</f>
        <v>2026</v>
      </c>
      <c r="L277">
        <v>276</v>
      </c>
      <c r="M277">
        <f ca="1">DAY(Table1[[#This Row],[Today]])</f>
        <v>11</v>
      </c>
      <c r="N277" s="19">
        <f t="shared" ca="1" si="34"/>
        <v>46245.589795370368</v>
      </c>
      <c r="O277" s="2">
        <f t="shared" ca="1" si="29"/>
        <v>46245</v>
      </c>
      <c r="P277" s="17">
        <f ca="1">Table1[[#This Row],[Today]]-Table1[[#This Row],[Order_Date]]</f>
        <v>241</v>
      </c>
      <c r="Q277" s="2">
        <v>45933</v>
      </c>
      <c r="R277" s="2">
        <v>46004</v>
      </c>
      <c r="S277" s="6">
        <f t="shared" si="32"/>
        <v>2025</v>
      </c>
      <c r="T277" s="7" t="str">
        <f t="shared" si="33"/>
        <v>December</v>
      </c>
      <c r="U277" s="2">
        <f>WORKDAY(Table1[[#This Row],[Order_Date]],5)</f>
        <v>46010</v>
      </c>
      <c r="V277" s="7" t="str">
        <f>CONCATENATE(Table1[[#This Row],[Customer_ID]],Table1[[#This Row],[Customer_Name]])</f>
        <v xml:space="preserve">C1043  meera nair  </v>
      </c>
      <c r="W277" t="s">
        <v>1263</v>
      </c>
      <c r="X277" t="s">
        <v>1277</v>
      </c>
      <c r="Y277">
        <f>COUNTA(Table1[[#This Row],[Customer_Name]])</f>
        <v>1</v>
      </c>
      <c r="Z277" t="str">
        <f>SUBSTITUTE(Table1[[#This Row],[Customer_Name]]," ","_")</f>
        <v>__meera_nair__</v>
      </c>
      <c r="AA277" s="10">
        <f>IFERROR(SEARCH("a",Table1[[#This Row],[Customer_Name]]),"N/A")</f>
        <v>7</v>
      </c>
      <c r="AB277">
        <f>SEARCH(" ",Table1[[#This Row],[Customer_Name]])</f>
        <v>1</v>
      </c>
      <c r="AC277" s="11">
        <f>IFERROR(FIND("a",Table1[[#This Row],[Customer_Name]]),"N/A")</f>
        <v>7</v>
      </c>
      <c r="AD277">
        <f>FIND(" ",Table1[[#This Row],[Customer_Name]])</f>
        <v>1</v>
      </c>
      <c r="AE277" t="str">
        <f>TRIM(Table1[[#This Row],[Customer_Name]])</f>
        <v>meera nair</v>
      </c>
      <c r="AF277">
        <f>LEN(Table1[[#This Row],[Trimmed]])</f>
        <v>10</v>
      </c>
      <c r="AG277">
        <f>MAX(Table1[Length])</f>
        <v>15</v>
      </c>
      <c r="AH277" t="str">
        <f>PROPER(Table1[[#This Row],[Customer_Name]])</f>
        <v xml:space="preserve">  Meera Nair  </v>
      </c>
      <c r="AI277" t="str">
        <f>LOWER(Table1[[#This Row],[Customer_Name]])</f>
        <v xml:space="preserve">  meera nair  </v>
      </c>
      <c r="AJ277" t="str">
        <f>UPPER(Table1[[#This Row],[Customer_Name]])</f>
        <v xml:space="preserve">  MEERA NAIR  </v>
      </c>
      <c r="AK277" t="str">
        <f>CONCATENATE(Table1[[#This Row],[Customer_ID]],Table1[[#This Row],[Customer_Name]])</f>
        <v xml:space="preserve">C1043  meera nair  </v>
      </c>
      <c r="AL277" t="s">
        <v>1278</v>
      </c>
      <c r="AM277" t="s">
        <v>1279</v>
      </c>
      <c r="AN277" t="s">
        <v>432</v>
      </c>
      <c r="AO277" t="s">
        <v>1278</v>
      </c>
      <c r="AP277" t="s">
        <v>1279</v>
      </c>
      <c r="AQ277" t="s">
        <v>127</v>
      </c>
      <c r="AR277" t="str">
        <f>TRIM(Table1[[#This Row],[City]])</f>
        <v>Pune</v>
      </c>
      <c r="AS277" t="str">
        <f>PROPER(Table1[[#This Row],[City]])</f>
        <v>Pune</v>
      </c>
      <c r="AT277" t="s">
        <v>128</v>
      </c>
      <c r="AU277" t="str">
        <f>CONCATENATE(Table1[[#This Row],[City]],Table1[[#This Row],[State]])</f>
        <v>PuneMaharashtra</v>
      </c>
      <c r="AV277" t="s">
        <v>129</v>
      </c>
      <c r="AW277" t="s">
        <v>477</v>
      </c>
      <c r="AX277" t="str">
        <f>REPLACE(Table1[[#This Row],[Product_ID]],1,1,"s")</f>
        <v>s109</v>
      </c>
      <c r="AY277" t="s">
        <v>1280</v>
      </c>
      <c r="AZ277">
        <f>SEARCH("-",Table1[[#This Row],[Product ID]])</f>
        <v>2</v>
      </c>
      <c r="BA277">
        <f>FIND("-",Table1[[#This Row],[Product ID]])</f>
        <v>2</v>
      </c>
      <c r="BB277" t="str">
        <f>MID(Table1[[#This Row],[Product_ID]],2,3)</f>
        <v>109</v>
      </c>
      <c r="BC277" t="str">
        <f>RIGHT(Table1[[#This Row],[Product_ID]],3)</f>
        <v>109</v>
      </c>
      <c r="BD277" t="str">
        <f>LEFT(Table1[[#This Row],[Product_ID]],3)</f>
        <v>P10</v>
      </c>
      <c r="BE277" t="str">
        <f>_xlfn.XLOOKUP(Table1[[#This Row],[Product_ID]],AW:AW,BF:BF,,0)</f>
        <v>Backpack</v>
      </c>
      <c r="BF277" t="s">
        <v>479</v>
      </c>
      <c r="BG277">
        <f>LEN(Table1[[#This Row],[Product_Name]])</f>
        <v>8</v>
      </c>
      <c r="BH277" t="s">
        <v>224</v>
      </c>
      <c r="BI277">
        <f t="shared" si="35"/>
        <v>75</v>
      </c>
      <c r="BJ277" t="str">
        <f>SUBSTITUTE(Table1[[#This Row],[Category]],"Electronics","ELECTRONICS")</f>
        <v>Fashion</v>
      </c>
      <c r="BN277" t="s">
        <v>480</v>
      </c>
      <c r="BS277" s="14">
        <v>5</v>
      </c>
      <c r="BT277" s="3">
        <v>2299</v>
      </c>
      <c r="BU277" s="4">
        <v>25</v>
      </c>
      <c r="BV277" s="4" t="str">
        <f>IF(AND(Table1[[#This Row],[Quantity]]&gt;=3,Table1[[#This Row],[Discount_%]]&gt;=15%),"Bulk Discount","no")</f>
        <v>Bulk Discount</v>
      </c>
      <c r="BW277" s="4" t="str">
        <f>IF(AND(Table1[[#This Row],[Quantity]]&gt;3,Table1[[#This Row],[Discount_%]]&gt;15%),"Bulk Customer","Normal")</f>
        <v>Bulk Customer</v>
      </c>
      <c r="BX277" t="s">
        <v>330</v>
      </c>
      <c r="BY277" t="s">
        <v>374</v>
      </c>
      <c r="CC277" t="str">
        <f>IF(OR(Table1[[#This Row],[Order_Status]]="Returned",Table1[[#This Row],[Order_Status]]="Cancelled"),"Attention Required","Not")</f>
        <v>Attention Required</v>
      </c>
      <c r="CD277" t="str">
        <f>IF(OR(Table1[[#This Row],[Order_Status]]="Returned",Table1[[#This Row],[Order_Status]]="Cancelled"),"Review","no")</f>
        <v>Review</v>
      </c>
      <c r="CE277" t="str">
        <f>SUBSTITUTE(Table1[[#This Row],[Order_Status]],"Delivered","Completed")</f>
        <v>Returned</v>
      </c>
      <c r="CF277" s="2">
        <v>46005</v>
      </c>
      <c r="CG277" s="17">
        <f>NETWORKDAYS(Table1[[#This Row],[Order_Date]],Table1[[#This Row],[Delivery_Date]])</f>
        <v>0</v>
      </c>
      <c r="CH277" s="17">
        <f>Table1[[#This Row],[Delivery_Date]]-Table1[[#This Row],[Order_Date]]</f>
        <v>1</v>
      </c>
      <c r="CI277" t="s">
        <v>375</v>
      </c>
      <c r="CJ277" t="str">
        <f>IF(Table1[[#This Row],[Rating]]&gt;=4,"Good","Needs Improvement")</f>
        <v>Good</v>
      </c>
      <c r="CK277" t="str">
        <f>IF(OR(Table1[[#This Row],[Rating]]&lt;=2,Table1[[#This Row],[Profit]]&lt;0),"Review","NO")</f>
        <v>NO</v>
      </c>
      <c r="CL277" t="str" cm="1">
        <f t="array" ref="CL277">_xlfn.IFS(Table1[[#This Row],[Rating]]&gt;2,"Poor",Table1[[#This Row],[Rating]]=3,"Average",Table1[[#This Row],[Rating]]=4,"Good",CP277=5,"Excellent")</f>
        <v>Poor</v>
      </c>
      <c r="CM277">
        <f>COUNT(Table1[[#This Row],[Rating]])</f>
        <v>1</v>
      </c>
      <c r="CN277">
        <f>COUNTBLANK(Table1[[#This Row],[Rating]])</f>
        <v>0</v>
      </c>
      <c r="CP277" t="s">
        <v>194</v>
      </c>
      <c r="CQ277" s="14">
        <v>5</v>
      </c>
      <c r="CR277" t="s">
        <v>139</v>
      </c>
      <c r="CS277" t="s">
        <v>140</v>
      </c>
      <c r="CU277" s="3">
        <v>8621.25</v>
      </c>
      <c r="CV277" s="3">
        <f>ROUND(Table1[[#This Row],[Sales_Amount]],0)</f>
        <v>8621</v>
      </c>
      <c r="CW277" s="3"/>
      <c r="CX277" s="3"/>
      <c r="CY277" s="3" t="b">
        <f>IF(AND(Table1[[#This Row],[Sales_Amount]]&gt;=10000,Table1[[#This Row],[Profit]]&gt;0),"Good Order")</f>
        <v>0</v>
      </c>
      <c r="CZ277" s="3" t="str">
        <f>IF(Table1[[#This Row],[Sales_Amount]]&gt;=10000,"High","Normal")</f>
        <v>Normal</v>
      </c>
      <c r="DA277" s="3">
        <v>2371.25</v>
      </c>
      <c r="DB277" s="3">
        <f>ROUND(Table1[[#This Row],[Profit]],0)</f>
        <v>2371</v>
      </c>
      <c r="DC277" s="3">
        <f>ABS(Table1[[#This Row],[Profit]])</f>
        <v>2371.25</v>
      </c>
      <c r="DD277" s="3"/>
      <c r="DE277" s="3"/>
      <c r="DF277" s="3"/>
      <c r="DG277" s="3" t="str">
        <f>IF(Table1[[#This Row],[Profit]]&gt;0,"Profit","Loss")</f>
        <v>Profit</v>
      </c>
      <c r="DH277" s="3" t="str">
        <f>IF(AND(Table1[[#This Row],[Sales_Amount]]&gt;=10000,Table1[[#This Row],[Profit]]&gt;0),"Priority","Normal")</f>
        <v>Normal</v>
      </c>
      <c r="DI277" s="3">
        <f t="shared" ca="1" si="30"/>
        <v>0.2532082078664093</v>
      </c>
      <c r="DJ277" s="3">
        <f t="shared" ca="1" si="31"/>
        <v>99</v>
      </c>
      <c r="DK277" s="3"/>
      <c r="DL277" s="3"/>
      <c r="DM277" s="3"/>
      <c r="DN277" s="3"/>
      <c r="DO277" s="3"/>
      <c r="DP277" s="3"/>
    </row>
    <row r="278" spans="1:120">
      <c r="A278" t="s">
        <v>1281</v>
      </c>
      <c r="B278" t="str">
        <f>REPLACE(Table1[[#This Row],[Order_ID]],1,3,"YOO")</f>
        <v>YOO10277</v>
      </c>
      <c r="C278" t="str">
        <f>MID(Table1[[#This Row],[Order_ID]],4,4)</f>
        <v>1027</v>
      </c>
      <c r="D278" t="str">
        <f>LEFT(Table1[[#This Row],[Order_ID]],4)</f>
        <v>ORD1</v>
      </c>
      <c r="E278" t="str">
        <f>RIGHT(Table1[[#This Row],[Order_ID]],5)</f>
        <v>10277</v>
      </c>
      <c r="F278" t="s">
        <v>5</v>
      </c>
      <c r="G278">
        <v>10277</v>
      </c>
      <c r="H278" t="s">
        <v>1282</v>
      </c>
      <c r="I278" s="2">
        <f>EDATE(Table1[[#This Row],[Order_Date]],3)</f>
        <v>45944</v>
      </c>
      <c r="J278" s="2">
        <f>EDATE(Table1[[#This Row],[Order_Date]],6)</f>
        <v>46036</v>
      </c>
      <c r="K278">
        <f ca="1">YEAR(Table1[[#This Row],[Today]])</f>
        <v>2026</v>
      </c>
      <c r="L278">
        <v>277</v>
      </c>
      <c r="M278">
        <f ca="1">DAY(Table1[[#This Row],[Today]])</f>
        <v>11</v>
      </c>
      <c r="N278" s="19">
        <f t="shared" ca="1" si="34"/>
        <v>46245.589795138891</v>
      </c>
      <c r="O278" s="2">
        <f t="shared" ca="1" si="29"/>
        <v>46245</v>
      </c>
      <c r="P278" s="17">
        <f ca="1">Table1[[#This Row],[Today]]-Table1[[#This Row],[Order_Date]]</f>
        <v>393</v>
      </c>
      <c r="Q278" s="2">
        <v>45934</v>
      </c>
      <c r="R278" s="2">
        <v>45852</v>
      </c>
      <c r="S278" s="6">
        <f t="shared" si="32"/>
        <v>2025</v>
      </c>
      <c r="T278" s="7" t="str">
        <f t="shared" si="33"/>
        <v>July</v>
      </c>
      <c r="U278" s="2">
        <f>WORKDAY(Table1[[#This Row],[Order_Date]],5)</f>
        <v>45859</v>
      </c>
      <c r="V278" s="7" t="str">
        <f>CONCATENATE(Table1[[#This Row],[Customer_ID]],Table1[[#This Row],[Customer_Name]])</f>
        <v>C1061Neha Gupta</v>
      </c>
      <c r="W278" t="s">
        <v>395</v>
      </c>
      <c r="X278" t="s">
        <v>229</v>
      </c>
      <c r="Y278">
        <f>COUNTA(Table1[[#This Row],[Customer_Name]])</f>
        <v>1</v>
      </c>
      <c r="Z278" t="str">
        <f>SUBSTITUTE(Table1[[#This Row],[Customer_Name]]," ","_")</f>
        <v>Neha_Gupta</v>
      </c>
      <c r="AA278" s="10">
        <f>IFERROR(SEARCH("a",Table1[[#This Row],[Customer_Name]]),"N/A")</f>
        <v>4</v>
      </c>
      <c r="AB278">
        <f>SEARCH(" ",Table1[[#This Row],[Customer_Name]])</f>
        <v>5</v>
      </c>
      <c r="AC278" s="11">
        <f>IFERROR(FIND("a",Table1[[#This Row],[Customer_Name]]),"N/A")</f>
        <v>4</v>
      </c>
      <c r="AD278">
        <f>FIND(" ",Table1[[#This Row],[Customer_Name]])</f>
        <v>5</v>
      </c>
      <c r="AE278" t="str">
        <f>TRIM(Table1[[#This Row],[Customer_Name]])</f>
        <v>Neha Gupta</v>
      </c>
      <c r="AF278">
        <f>LEN(Table1[[#This Row],[Trimmed]])</f>
        <v>10</v>
      </c>
      <c r="AG278">
        <f>MAX(Table1[Length])</f>
        <v>15</v>
      </c>
      <c r="AH278" t="str">
        <f>PROPER(Table1[[#This Row],[Customer_Name]])</f>
        <v>Neha Gupta</v>
      </c>
      <c r="AI278" t="str">
        <f>LOWER(Table1[[#This Row],[Customer_Name]])</f>
        <v>neha gupta</v>
      </c>
      <c r="AJ278" t="str">
        <f>UPPER(Table1[[#This Row],[Customer_Name]])</f>
        <v>NEHA GUPTA</v>
      </c>
      <c r="AK278" t="str">
        <f>CONCATENATE(Table1[[#This Row],[Customer_ID]],Table1[[#This Row],[Customer_Name]])</f>
        <v>C1061Neha Gupta</v>
      </c>
      <c r="AL278" t="s">
        <v>230</v>
      </c>
      <c r="AM278" t="s">
        <v>231</v>
      </c>
      <c r="AN278" t="s">
        <v>232</v>
      </c>
      <c r="AO278" t="s">
        <v>230</v>
      </c>
      <c r="AP278" t="s">
        <v>231</v>
      </c>
      <c r="AQ278" t="s">
        <v>986</v>
      </c>
      <c r="AR278" t="str">
        <f>TRIM(Table1[[#This Row],[City]])</f>
        <v>Jaipur</v>
      </c>
      <c r="AS278" t="str">
        <f>PROPER(Table1[[#This Row],[City]])</f>
        <v xml:space="preserve"> Jaipur </v>
      </c>
      <c r="AT278" t="s">
        <v>149</v>
      </c>
      <c r="AU278" t="str">
        <f>CONCATENATE(Table1[[#This Row],[City]],Table1[[#This Row],[State]])</f>
        <v xml:space="preserve"> Jaipur Rajasthan</v>
      </c>
      <c r="AV278" t="s">
        <v>150</v>
      </c>
      <c r="AW278" t="s">
        <v>221</v>
      </c>
      <c r="AX278" t="str">
        <f>REPLACE(Table1[[#This Row],[Product_ID]],1,1,"s")</f>
        <v>s106</v>
      </c>
      <c r="AY278" t="s">
        <v>1283</v>
      </c>
      <c r="AZ278">
        <f>SEARCH("-",Table1[[#This Row],[Product ID]])</f>
        <v>2</v>
      </c>
      <c r="BA278">
        <f>FIND("-",Table1[[#This Row],[Product ID]])</f>
        <v>2</v>
      </c>
      <c r="BB278" t="str">
        <f>MID(Table1[[#This Row],[Product_ID]],2,3)</f>
        <v>106</v>
      </c>
      <c r="BC278" t="str">
        <f>RIGHT(Table1[[#This Row],[Product_ID]],3)</f>
        <v>106</v>
      </c>
      <c r="BD278" t="str">
        <f>LEFT(Table1[[#This Row],[Product_ID]],3)</f>
        <v>P10</v>
      </c>
      <c r="BE278" t="str">
        <f>_xlfn.XLOOKUP(Table1[[#This Row],[Product_ID]],AW:AW,BF:BF,,0)</f>
        <v>Running Shoes</v>
      </c>
      <c r="BF278" t="s">
        <v>223</v>
      </c>
      <c r="BG278">
        <f>LEN(Table1[[#This Row],[Product_Name]])</f>
        <v>13</v>
      </c>
      <c r="BH278" t="s">
        <v>224</v>
      </c>
      <c r="BI278">
        <f t="shared" si="35"/>
        <v>75</v>
      </c>
      <c r="BJ278" t="str">
        <f>SUBSTITUTE(Table1[[#This Row],[Category]],"Electronics","ELECTRONICS")</f>
        <v>Fashion</v>
      </c>
      <c r="BN278" t="s">
        <v>225</v>
      </c>
      <c r="BS278" s="14">
        <v>4</v>
      </c>
      <c r="BT278" s="3">
        <v>3499</v>
      </c>
      <c r="BU278" s="4">
        <v>10</v>
      </c>
      <c r="BV278" s="4" t="str">
        <f>IF(AND(Table1[[#This Row],[Quantity]]&gt;=3,Table1[[#This Row],[Discount_%]]&gt;=15%),"Bulk Discount","no")</f>
        <v>Bulk Discount</v>
      </c>
      <c r="BW278" s="4" t="str">
        <f>IF(AND(Table1[[#This Row],[Quantity]]&gt;3,Table1[[#This Row],[Discount_%]]&gt;15%),"Bulk Customer","Normal")</f>
        <v>Bulk Customer</v>
      </c>
      <c r="BX278" t="s">
        <v>172</v>
      </c>
      <c r="BY278" t="s">
        <v>374</v>
      </c>
      <c r="CC278" t="str">
        <f>IF(OR(Table1[[#This Row],[Order_Status]]="Returned",Table1[[#This Row],[Order_Status]]="Cancelled"),"Attention Required","Not")</f>
        <v>Attention Required</v>
      </c>
      <c r="CD278" t="str">
        <f>IF(OR(Table1[[#This Row],[Order_Status]]="Returned",Table1[[#This Row],[Order_Status]]="Cancelled"),"Review","no")</f>
        <v>Review</v>
      </c>
      <c r="CE278" t="str">
        <f>SUBSTITUTE(Table1[[#This Row],[Order_Status]],"Delivered","Completed")</f>
        <v>Returned</v>
      </c>
      <c r="CF278" s="2">
        <v>45857</v>
      </c>
      <c r="CG278" s="17">
        <f>NETWORKDAYS(Table1[[#This Row],[Order_Date]],Table1[[#This Row],[Delivery_Date]])</f>
        <v>5</v>
      </c>
      <c r="CH278" s="17">
        <f>Table1[[#This Row],[Delivery_Date]]-Table1[[#This Row],[Order_Date]]</f>
        <v>5</v>
      </c>
      <c r="CI278" t="s">
        <v>375</v>
      </c>
      <c r="CJ278" t="str">
        <f>IF(Table1[[#This Row],[Rating]]&gt;=4,"Good","Needs Improvement")</f>
        <v>Good</v>
      </c>
      <c r="CK278" t="str">
        <f>IF(OR(Table1[[#This Row],[Rating]]&lt;=2,Table1[[#This Row],[Profit]]&lt;0),"Review","NO")</f>
        <v>NO</v>
      </c>
      <c r="CL278" t="str" cm="1">
        <f t="array" ref="CL278">_xlfn.IFS(Table1[[#This Row],[Rating]]&gt;2,"Poor",Table1[[#This Row],[Rating]]=3,"Average",Table1[[#This Row],[Rating]]=4,"Good",CP278=5,"Excellent")</f>
        <v>Poor</v>
      </c>
      <c r="CM278">
        <f>COUNT(Table1[[#This Row],[Rating]])</f>
        <v>1</v>
      </c>
      <c r="CN278">
        <f>COUNTBLANK(Table1[[#This Row],[Rating]])</f>
        <v>0</v>
      </c>
      <c r="CP278" t="s">
        <v>138</v>
      </c>
      <c r="CQ278" s="14">
        <v>4</v>
      </c>
      <c r="CR278" t="s">
        <v>204</v>
      </c>
      <c r="CS278" t="s">
        <v>174</v>
      </c>
      <c r="CU278" s="3">
        <v>12596.4</v>
      </c>
      <c r="CV278" s="3">
        <f>ROUND(Table1[[#This Row],[Sales_Amount]],0)</f>
        <v>12596</v>
      </c>
      <c r="CW278" s="3"/>
      <c r="CX278" s="3"/>
      <c r="CY278" s="3" t="str">
        <f>IF(AND(Table1[[#This Row],[Sales_Amount]]&gt;=10000,Table1[[#This Row],[Profit]]&gt;0),"Good Order")</f>
        <v>Good Order</v>
      </c>
      <c r="CZ278" s="3" t="str">
        <f>IF(Table1[[#This Row],[Sales_Amount]]&gt;=10000,"High","Normal")</f>
        <v>High</v>
      </c>
      <c r="DA278" s="3">
        <v>4996.3999999999996</v>
      </c>
      <c r="DB278" s="3">
        <f>ROUND(Table1[[#This Row],[Profit]],0)</f>
        <v>4996</v>
      </c>
      <c r="DC278" s="3">
        <f>ABS(Table1[[#This Row],[Profit]])</f>
        <v>4996.3999999999996</v>
      </c>
      <c r="DD278" s="3"/>
      <c r="DE278" s="3"/>
      <c r="DF278" s="3"/>
      <c r="DG278" s="3" t="str">
        <f>IF(Table1[[#This Row],[Profit]]&gt;0,"Profit","Loss")</f>
        <v>Profit</v>
      </c>
      <c r="DH278" s="3" t="str">
        <f>IF(AND(Table1[[#This Row],[Sales_Amount]]&gt;=10000,Table1[[#This Row],[Profit]]&gt;0),"Priority","Normal")</f>
        <v>Priority</v>
      </c>
      <c r="DI278" s="3">
        <f t="shared" ca="1" si="30"/>
        <v>5.0923799475669607E-2</v>
      </c>
      <c r="DJ278" s="3">
        <f t="shared" ca="1" si="31"/>
        <v>62</v>
      </c>
      <c r="DK278" s="3"/>
      <c r="DL278" s="3"/>
      <c r="DM278" s="3"/>
      <c r="DN278" s="3"/>
      <c r="DO278" s="3"/>
      <c r="DP278" s="3"/>
    </row>
    <row r="279" spans="1:120">
      <c r="A279" t="s">
        <v>1284</v>
      </c>
      <c r="B279" t="str">
        <f>REPLACE(Table1[[#This Row],[Order_ID]],1,3,"YOO")</f>
        <v>YOO10278</v>
      </c>
      <c r="C279" t="str">
        <f>MID(Table1[[#This Row],[Order_ID]],4,4)</f>
        <v>1027</v>
      </c>
      <c r="D279" t="str">
        <f>LEFT(Table1[[#This Row],[Order_ID]],4)</f>
        <v>ORD1</v>
      </c>
      <c r="E279" t="str">
        <f>RIGHT(Table1[[#This Row],[Order_ID]],5)</f>
        <v>10278</v>
      </c>
      <c r="F279" t="s">
        <v>5</v>
      </c>
      <c r="G279">
        <v>10278</v>
      </c>
      <c r="H279" t="s">
        <v>1285</v>
      </c>
      <c r="I279" s="2">
        <f>EDATE(Table1[[#This Row],[Order_Date]],3)</f>
        <v>45907</v>
      </c>
      <c r="J279" s="2">
        <f>EDATE(Table1[[#This Row],[Order_Date]],6)</f>
        <v>45998</v>
      </c>
      <c r="K279">
        <f ca="1">YEAR(Table1[[#This Row],[Today]])</f>
        <v>2026</v>
      </c>
      <c r="L279">
        <v>278</v>
      </c>
      <c r="M279">
        <f ca="1">DAY(Table1[[#This Row],[Today]])</f>
        <v>11</v>
      </c>
      <c r="N279" s="19">
        <f t="shared" ca="1" si="34"/>
        <v>46245.589795370368</v>
      </c>
      <c r="O279" s="2">
        <f t="shared" ca="1" si="29"/>
        <v>46245</v>
      </c>
      <c r="P279" s="17">
        <f ca="1">Table1[[#This Row],[Today]]-Table1[[#This Row],[Order_Date]]</f>
        <v>430</v>
      </c>
      <c r="Q279" s="2">
        <v>45935</v>
      </c>
      <c r="R279" s="2">
        <v>45815</v>
      </c>
      <c r="S279" s="6">
        <f t="shared" si="32"/>
        <v>2025</v>
      </c>
      <c r="T279" s="7" t="str">
        <f t="shared" si="33"/>
        <v>June</v>
      </c>
      <c r="U279" s="2">
        <f>WORKDAY(Table1[[#This Row],[Order_Date]],5)</f>
        <v>45821</v>
      </c>
      <c r="V279" s="7" t="str">
        <f>CONCATENATE(Table1[[#This Row],[Customer_ID]],Table1[[#This Row],[Customer_Name]])</f>
        <v>C1076Meera Nair</v>
      </c>
      <c r="W279" t="s">
        <v>1160</v>
      </c>
      <c r="X279" t="s">
        <v>429</v>
      </c>
      <c r="Y279">
        <f>COUNTA(Table1[[#This Row],[Customer_Name]])</f>
        <v>1</v>
      </c>
      <c r="Z279" t="str">
        <f>SUBSTITUTE(Table1[[#This Row],[Customer_Name]]," ","_")</f>
        <v>Meera_Nair</v>
      </c>
      <c r="AA279" s="10">
        <f>IFERROR(SEARCH("a",Table1[[#This Row],[Customer_Name]]),"N/A")</f>
        <v>5</v>
      </c>
      <c r="AB279">
        <f>SEARCH(" ",Table1[[#This Row],[Customer_Name]])</f>
        <v>6</v>
      </c>
      <c r="AC279" s="11">
        <f>IFERROR(FIND("a",Table1[[#This Row],[Customer_Name]]),"N/A")</f>
        <v>5</v>
      </c>
      <c r="AD279">
        <f>FIND(" ",Table1[[#This Row],[Customer_Name]])</f>
        <v>6</v>
      </c>
      <c r="AE279" t="str">
        <f>TRIM(Table1[[#This Row],[Customer_Name]])</f>
        <v>Meera Nair</v>
      </c>
      <c r="AF279">
        <f>LEN(Table1[[#This Row],[Trimmed]])</f>
        <v>10</v>
      </c>
      <c r="AG279">
        <f>MAX(Table1[Length])</f>
        <v>15</v>
      </c>
      <c r="AH279" t="str">
        <f>PROPER(Table1[[#This Row],[Customer_Name]])</f>
        <v>Meera Nair</v>
      </c>
      <c r="AI279" t="str">
        <f>LOWER(Table1[[#This Row],[Customer_Name]])</f>
        <v>meera nair</v>
      </c>
      <c r="AJ279" t="str">
        <f>UPPER(Table1[[#This Row],[Customer_Name]])</f>
        <v>MEERA NAIR</v>
      </c>
      <c r="AK279" t="str">
        <f>CONCATENATE(Table1[[#This Row],[Customer_ID]],Table1[[#This Row],[Customer_Name]])</f>
        <v>C1076Meera Nair</v>
      </c>
      <c r="AL279" t="s">
        <v>430</v>
      </c>
      <c r="AM279" t="s">
        <v>431</v>
      </c>
      <c r="AN279" t="s">
        <v>432</v>
      </c>
      <c r="AO279" t="s">
        <v>430</v>
      </c>
      <c r="AP279" t="s">
        <v>431</v>
      </c>
      <c r="AQ279" t="s">
        <v>284</v>
      </c>
      <c r="AR279" t="str">
        <f>TRIM(Table1[[#This Row],[City]])</f>
        <v>Hyderabad</v>
      </c>
      <c r="AS279" t="str">
        <f>PROPER(Table1[[#This Row],[City]])</f>
        <v>Hyderabad</v>
      </c>
      <c r="AT279" t="s">
        <v>285</v>
      </c>
      <c r="AU279" t="str">
        <f>CONCATENATE(Table1[[#This Row],[City]],Table1[[#This Row],[State]])</f>
        <v>HyderabadTelangana</v>
      </c>
      <c r="AV279" t="s">
        <v>168</v>
      </c>
      <c r="AW279" t="s">
        <v>261</v>
      </c>
      <c r="AX279" t="str">
        <f>REPLACE(Table1[[#This Row],[Product_ID]],1,1,"s")</f>
        <v>s114</v>
      </c>
      <c r="AY279" t="s">
        <v>1286</v>
      </c>
      <c r="AZ279">
        <f>SEARCH("-",Table1[[#This Row],[Product ID]])</f>
        <v>2</v>
      </c>
      <c r="BA279">
        <f>FIND("-",Table1[[#This Row],[Product ID]])</f>
        <v>2</v>
      </c>
      <c r="BB279" t="str">
        <f>MID(Table1[[#This Row],[Product_ID]],2,3)</f>
        <v>114</v>
      </c>
      <c r="BC279" t="str">
        <f>RIGHT(Table1[[#This Row],[Product_ID]],3)</f>
        <v>114</v>
      </c>
      <c r="BD279" t="str">
        <f>LEFT(Table1[[#This Row],[Product_ID]],3)</f>
        <v>P11</v>
      </c>
      <c r="BE279" t="str">
        <f>_xlfn.XLOOKUP(Table1[[#This Row],[Product_ID]],AW:AW,BF:BF,,0)</f>
        <v>Yoga Mat</v>
      </c>
      <c r="BF279" t="s">
        <v>263</v>
      </c>
      <c r="BG279">
        <f>LEN(Table1[[#This Row],[Product_Name]])</f>
        <v>8</v>
      </c>
      <c r="BH279" t="s">
        <v>264</v>
      </c>
      <c r="BI279">
        <f t="shared" si="35"/>
        <v>75</v>
      </c>
      <c r="BJ279" t="str">
        <f>SUBSTITUTE(Table1[[#This Row],[Category]],"Electronics","ELECTRONICS")</f>
        <v>Sports</v>
      </c>
      <c r="BN279" t="s">
        <v>265</v>
      </c>
      <c r="BS279" s="14">
        <v>1</v>
      </c>
      <c r="BT279" s="3">
        <v>999</v>
      </c>
      <c r="BU279" s="4">
        <v>15</v>
      </c>
      <c r="BV279" s="4" t="str">
        <f>IF(AND(Table1[[#This Row],[Quantity]]&gt;=3,Table1[[#This Row],[Discount_%]]&gt;=15%),"Bulk Discount","no")</f>
        <v>no</v>
      </c>
      <c r="BW279" s="4" t="str">
        <f>IF(AND(Table1[[#This Row],[Quantity]]&gt;3,Table1[[#This Row],[Discount_%]]&gt;15%),"Bulk Customer","Normal")</f>
        <v>Normal</v>
      </c>
      <c r="BX279" t="s">
        <v>330</v>
      </c>
      <c r="BY279" t="s">
        <v>136</v>
      </c>
      <c r="CC279" t="str">
        <f>IF(OR(Table1[[#This Row],[Order_Status]]="Returned",Table1[[#This Row],[Order_Status]]="Cancelled"),"Attention Required","Not")</f>
        <v>Not</v>
      </c>
      <c r="CD279" t="str">
        <f>IF(OR(Table1[[#This Row],[Order_Status]]="Returned",Table1[[#This Row],[Order_Status]]="Cancelled"),"Review","no")</f>
        <v>no</v>
      </c>
      <c r="CE279" t="str">
        <f>SUBSTITUTE(Table1[[#This Row],[Order_Status]],"Delivered","Completed")</f>
        <v>Completed</v>
      </c>
      <c r="CF279" s="2">
        <v>45822</v>
      </c>
      <c r="CG279" s="17">
        <f>NETWORKDAYS(Table1[[#This Row],[Order_Date]],Table1[[#This Row],[Delivery_Date]])</f>
        <v>5</v>
      </c>
      <c r="CH279" s="17">
        <f>Table1[[#This Row],[Delivery_Date]]-Table1[[#This Row],[Order_Date]]</f>
        <v>7</v>
      </c>
      <c r="CI279" t="s">
        <v>137</v>
      </c>
      <c r="CJ279" t="str">
        <f>IF(Table1[[#This Row],[Rating]]&gt;=4,"Good","Needs Improvement")</f>
        <v>Needs Improvement</v>
      </c>
      <c r="CK279" t="str">
        <f>IF(OR(Table1[[#This Row],[Rating]]&lt;=2,Table1[[#This Row],[Profit]]&lt;0),"Review","NO")</f>
        <v>Review</v>
      </c>
      <c r="CL279" t="e" cm="1">
        <f t="array" ref="CL279">_xlfn.IFS(Table1[[#This Row],[Rating]]&gt;2,"Poor",Table1[[#This Row],[Rating]]=3,"Average",Table1[[#This Row],[Rating]]=4,"Good",CP279=5,"Excellent")</f>
        <v>#N/A</v>
      </c>
      <c r="CM279">
        <f>COUNT(Table1[[#This Row],[Rating]])</f>
        <v>1</v>
      </c>
      <c r="CN279">
        <f>COUNTBLANK(Table1[[#This Row],[Rating]])</f>
        <v>0</v>
      </c>
      <c r="CP279" t="s">
        <v>194</v>
      </c>
      <c r="CQ279" s="14">
        <v>2</v>
      </c>
      <c r="CR279" t="s">
        <v>139</v>
      </c>
      <c r="CS279" t="s">
        <v>140</v>
      </c>
      <c r="CU279" s="3">
        <v>849.15</v>
      </c>
      <c r="CV279" s="3">
        <f>ROUND(Table1[[#This Row],[Sales_Amount]],0)</f>
        <v>849</v>
      </c>
      <c r="CW279" s="3"/>
      <c r="CX279" s="3"/>
      <c r="CY279" s="3" t="b">
        <f>IF(AND(Table1[[#This Row],[Sales_Amount]]&gt;=10000,Table1[[#This Row],[Profit]]&gt;0),"Good Order")</f>
        <v>0</v>
      </c>
      <c r="CZ279" s="3" t="str">
        <f>IF(Table1[[#This Row],[Sales_Amount]]&gt;=10000,"High","Normal")</f>
        <v>Normal</v>
      </c>
      <c r="DA279" s="3">
        <v>399.15</v>
      </c>
      <c r="DB279" s="3">
        <f>ROUND(Table1[[#This Row],[Profit]],0)</f>
        <v>399</v>
      </c>
      <c r="DC279" s="3">
        <f>ABS(Table1[[#This Row],[Profit]])</f>
        <v>399.15</v>
      </c>
      <c r="DD279" s="3"/>
      <c r="DE279" s="3"/>
      <c r="DF279" s="3"/>
      <c r="DG279" s="3" t="str">
        <f>IF(Table1[[#This Row],[Profit]]&gt;0,"Profit","Loss")</f>
        <v>Profit</v>
      </c>
      <c r="DH279" s="3" t="str">
        <f>IF(AND(Table1[[#This Row],[Sales_Amount]]&gt;=10000,Table1[[#This Row],[Profit]]&gt;0),"Priority","Normal")</f>
        <v>Normal</v>
      </c>
      <c r="DI279" s="3">
        <f t="shared" ca="1" si="30"/>
        <v>0.60031778544554704</v>
      </c>
      <c r="DJ279" s="3">
        <f t="shared" ca="1" si="31"/>
        <v>63</v>
      </c>
      <c r="DK279" s="3"/>
      <c r="DL279" s="3"/>
      <c r="DM279" s="3"/>
      <c r="DN279" s="3"/>
      <c r="DO279" s="3"/>
      <c r="DP279" s="3"/>
    </row>
    <row r="280" spans="1:120">
      <c r="A280" t="s">
        <v>1287</v>
      </c>
      <c r="B280" t="str">
        <f>REPLACE(Table1[[#This Row],[Order_ID]],1,3,"YOO")</f>
        <v>YOO10279</v>
      </c>
      <c r="C280" t="str">
        <f>MID(Table1[[#This Row],[Order_ID]],4,4)</f>
        <v>1027</v>
      </c>
      <c r="D280" t="str">
        <f>LEFT(Table1[[#This Row],[Order_ID]],4)</f>
        <v>ORD1</v>
      </c>
      <c r="E280" t="str">
        <f>RIGHT(Table1[[#This Row],[Order_ID]],5)</f>
        <v>10279</v>
      </c>
      <c r="F280" t="s">
        <v>5</v>
      </c>
      <c r="G280">
        <v>10279</v>
      </c>
      <c r="H280" t="s">
        <v>1288</v>
      </c>
      <c r="I280" s="2">
        <f>EDATE(Table1[[#This Row],[Order_Date]],3)</f>
        <v>46048</v>
      </c>
      <c r="J280" s="2">
        <f>EDATE(Table1[[#This Row],[Order_Date]],6)</f>
        <v>46138</v>
      </c>
      <c r="K280">
        <f ca="1">YEAR(Table1[[#This Row],[Today]])</f>
        <v>2026</v>
      </c>
      <c r="L280">
        <v>279</v>
      </c>
      <c r="M280">
        <f ca="1">DAY(Table1[[#This Row],[Today]])</f>
        <v>11</v>
      </c>
      <c r="N280" s="19">
        <f t="shared" ca="1" si="34"/>
        <v>46245.589795370368</v>
      </c>
      <c r="O280" s="2">
        <f t="shared" ca="1" si="29"/>
        <v>46245</v>
      </c>
      <c r="P280" s="17">
        <f ca="1">Table1[[#This Row],[Today]]-Table1[[#This Row],[Order_Date]]</f>
        <v>289</v>
      </c>
      <c r="Q280" s="2">
        <v>45936</v>
      </c>
      <c r="R280" s="2">
        <v>45956</v>
      </c>
      <c r="S280" s="6">
        <f t="shared" si="32"/>
        <v>2025</v>
      </c>
      <c r="T280" s="7" t="str">
        <f t="shared" si="33"/>
        <v>October</v>
      </c>
      <c r="U280" s="2">
        <f>WORKDAY(Table1[[#This Row],[Order_Date]],5)</f>
        <v>45961</v>
      </c>
      <c r="V280" s="7" t="str">
        <f>CONCATENATE(Table1[[#This Row],[Customer_ID]],Table1[[#This Row],[Customer_Name]])</f>
        <v>C1102Kavya Shah</v>
      </c>
      <c r="W280" t="s">
        <v>610</v>
      </c>
      <c r="X280" t="s">
        <v>271</v>
      </c>
      <c r="Y280">
        <f>COUNTA(Table1[[#This Row],[Customer_Name]])</f>
        <v>1</v>
      </c>
      <c r="Z280" t="str">
        <f>SUBSTITUTE(Table1[[#This Row],[Customer_Name]]," ","_")</f>
        <v>Kavya_Shah</v>
      </c>
      <c r="AA280" s="10">
        <f>IFERROR(SEARCH("a",Table1[[#This Row],[Customer_Name]]),"N/A")</f>
        <v>2</v>
      </c>
      <c r="AB280">
        <f>SEARCH(" ",Table1[[#This Row],[Customer_Name]])</f>
        <v>6</v>
      </c>
      <c r="AC280" s="11">
        <f>IFERROR(FIND("a",Table1[[#This Row],[Customer_Name]]),"N/A")</f>
        <v>2</v>
      </c>
      <c r="AD280">
        <f>FIND(" ",Table1[[#This Row],[Customer_Name]])</f>
        <v>6</v>
      </c>
      <c r="AE280" t="str">
        <f>TRIM(Table1[[#This Row],[Customer_Name]])</f>
        <v>Kavya Shah</v>
      </c>
      <c r="AF280">
        <f>LEN(Table1[[#This Row],[Trimmed]])</f>
        <v>10</v>
      </c>
      <c r="AG280">
        <f>MAX(Table1[Length])</f>
        <v>15</v>
      </c>
      <c r="AH280" t="str">
        <f>PROPER(Table1[[#This Row],[Customer_Name]])</f>
        <v>Kavya Shah</v>
      </c>
      <c r="AI280" t="str">
        <f>LOWER(Table1[[#This Row],[Customer_Name]])</f>
        <v>kavya shah</v>
      </c>
      <c r="AJ280" t="str">
        <f>UPPER(Table1[[#This Row],[Customer_Name]])</f>
        <v>KAVYA SHAH</v>
      </c>
      <c r="AK280" t="str">
        <f>CONCATENATE(Table1[[#This Row],[Customer_ID]],Table1[[#This Row],[Customer_Name]])</f>
        <v>C1102Kavya Shah</v>
      </c>
      <c r="AL280" t="s">
        <v>272</v>
      </c>
      <c r="AM280" t="s">
        <v>273</v>
      </c>
      <c r="AN280" t="s">
        <v>274</v>
      </c>
      <c r="AO280" t="s">
        <v>272</v>
      </c>
      <c r="AP280" t="s">
        <v>273</v>
      </c>
      <c r="AQ280" t="s">
        <v>1030</v>
      </c>
      <c r="AR280" t="str">
        <f>TRIM(Table1[[#This Row],[City]])</f>
        <v>Delhi</v>
      </c>
      <c r="AS280" t="str">
        <f>PROPER(Table1[[#This Row],[City]])</f>
        <v xml:space="preserve"> Delhi </v>
      </c>
      <c r="AT280" t="s">
        <v>569</v>
      </c>
      <c r="AU280" t="str">
        <f>CONCATENATE(Table1[[#This Row],[City]],Table1[[#This Row],[State]])</f>
        <v xml:space="preserve"> Delhi Delhi</v>
      </c>
      <c r="AV280" t="s">
        <v>150</v>
      </c>
      <c r="AW280" t="s">
        <v>201</v>
      </c>
      <c r="AX280" t="str">
        <f>REPLACE(Table1[[#This Row],[Product_ID]],1,1,"s")</f>
        <v>s104</v>
      </c>
      <c r="AY280" t="s">
        <v>1289</v>
      </c>
      <c r="AZ280">
        <f>SEARCH("-",Table1[[#This Row],[Product ID]])</f>
        <v>2</v>
      </c>
      <c r="BA280">
        <f>FIND("-",Table1[[#This Row],[Product ID]])</f>
        <v>2</v>
      </c>
      <c r="BB280" t="str">
        <f>MID(Table1[[#This Row],[Product_ID]],2,3)</f>
        <v>104</v>
      </c>
      <c r="BC280" t="str">
        <f>RIGHT(Table1[[#This Row],[Product_ID]],3)</f>
        <v>104</v>
      </c>
      <c r="BD280" t="str">
        <f>LEFT(Table1[[#This Row],[Product_ID]],3)</f>
        <v>P10</v>
      </c>
      <c r="BE280" t="str">
        <f>_xlfn.XLOOKUP(Table1[[#This Row],[Product_ID]],AW:AW,BF:BF,,0)</f>
        <v>USB-C Hub</v>
      </c>
      <c r="BF280" t="s">
        <v>203</v>
      </c>
      <c r="BG280">
        <f>LEN(Table1[[#This Row],[Product_Name]])</f>
        <v>9</v>
      </c>
      <c r="BH280" t="s">
        <v>154</v>
      </c>
      <c r="BI280">
        <f t="shared" si="35"/>
        <v>75</v>
      </c>
      <c r="BJ280" t="str">
        <f>SUBSTITUTE(Table1[[#This Row],[Category]],"Electronics","ELECTRONICS")</f>
        <v>ELECTRONICS</v>
      </c>
      <c r="BN280" t="s">
        <v>155</v>
      </c>
      <c r="BS280" s="14">
        <v>1</v>
      </c>
      <c r="BT280" s="3">
        <v>1899</v>
      </c>
      <c r="BU280" s="4">
        <v>25</v>
      </c>
      <c r="BV280" s="4" t="str">
        <f>IF(AND(Table1[[#This Row],[Quantity]]&gt;=3,Table1[[#This Row],[Discount_%]]&gt;=15%),"Bulk Discount","no")</f>
        <v>no</v>
      </c>
      <c r="BW280" s="4" t="str">
        <f>IF(AND(Table1[[#This Row],[Quantity]]&gt;3,Table1[[#This Row],[Discount_%]]&gt;15%),"Bulk Customer","Normal")</f>
        <v>Normal</v>
      </c>
      <c r="BX280" t="s">
        <v>330</v>
      </c>
      <c r="BY280" t="s">
        <v>193</v>
      </c>
      <c r="CC280" t="str">
        <f>IF(OR(Table1[[#This Row],[Order_Status]]="Returned",Table1[[#This Row],[Order_Status]]="Cancelled"),"Attention Required","Not")</f>
        <v>Not</v>
      </c>
      <c r="CD280" t="str">
        <f>IF(OR(Table1[[#This Row],[Order_Status]]="Returned",Table1[[#This Row],[Order_Status]]="Cancelled"),"Review","no")</f>
        <v>no</v>
      </c>
      <c r="CE280" t="str">
        <f>SUBSTITUTE(Table1[[#This Row],[Order_Status]],"Delivered","Completed")</f>
        <v>Shipped</v>
      </c>
      <c r="CF280" s="2">
        <v>45958</v>
      </c>
      <c r="CG280" s="17">
        <f>NETWORKDAYS(Table1[[#This Row],[Order_Date]],Table1[[#This Row],[Delivery_Date]])</f>
        <v>2</v>
      </c>
      <c r="CH280" s="17">
        <f>Table1[[#This Row],[Delivery_Date]]-Table1[[#This Row],[Order_Date]]</f>
        <v>2</v>
      </c>
      <c r="CI280" t="s">
        <v>137</v>
      </c>
      <c r="CJ280" t="str">
        <f>IF(Table1[[#This Row],[Rating]]&gt;=4,"Good","Needs Improvement")</f>
        <v>Good</v>
      </c>
      <c r="CK280" t="str">
        <f>IF(OR(Table1[[#This Row],[Rating]]&lt;=2,Table1[[#This Row],[Profit]]&lt;0),"Review","NO")</f>
        <v>NO</v>
      </c>
      <c r="CL280" t="str" cm="1">
        <f t="array" ref="CL280">_xlfn.IFS(Table1[[#This Row],[Rating]]&gt;2,"Poor",Table1[[#This Row],[Rating]]=3,"Average",Table1[[#This Row],[Rating]]=4,"Good",CP280=5,"Excellent")</f>
        <v>Poor</v>
      </c>
      <c r="CM280">
        <f>COUNT(Table1[[#This Row],[Rating]])</f>
        <v>1</v>
      </c>
      <c r="CN280">
        <f>COUNTBLANK(Table1[[#This Row],[Rating]])</f>
        <v>0</v>
      </c>
      <c r="CQ280" s="14">
        <v>4</v>
      </c>
      <c r="CR280" t="s">
        <v>173</v>
      </c>
      <c r="CS280" t="s">
        <v>140</v>
      </c>
      <c r="CU280" s="3">
        <v>1424.25</v>
      </c>
      <c r="CV280" s="3">
        <f>ROUND(Table1[[#This Row],[Sales_Amount]],0)</f>
        <v>1424</v>
      </c>
      <c r="CW280" s="3"/>
      <c r="CX280" s="3"/>
      <c r="CY280" s="3" t="b">
        <f>IF(AND(Table1[[#This Row],[Sales_Amount]]&gt;=10000,Table1[[#This Row],[Profit]]&gt;0),"Good Order")</f>
        <v>0</v>
      </c>
      <c r="CZ280" s="3" t="str">
        <f>IF(Table1[[#This Row],[Sales_Amount]]&gt;=10000,"High","Normal")</f>
        <v>Normal</v>
      </c>
      <c r="DA280" s="3">
        <v>324.25</v>
      </c>
      <c r="DB280" s="3">
        <f>ROUND(Table1[[#This Row],[Profit]],0)</f>
        <v>324</v>
      </c>
      <c r="DC280" s="3">
        <f>ABS(Table1[[#This Row],[Profit]])</f>
        <v>324.25</v>
      </c>
      <c r="DD280" s="3"/>
      <c r="DE280" s="3"/>
      <c r="DF280" s="3"/>
      <c r="DG280" s="3" t="str">
        <f>IF(Table1[[#This Row],[Profit]]&gt;0,"Profit","Loss")</f>
        <v>Profit</v>
      </c>
      <c r="DH280" s="3" t="str">
        <f>IF(AND(Table1[[#This Row],[Sales_Amount]]&gt;=10000,Table1[[#This Row],[Profit]]&gt;0),"Priority","Normal")</f>
        <v>Normal</v>
      </c>
      <c r="DI280" s="3">
        <f t="shared" ca="1" si="30"/>
        <v>5.3778422522208769E-2</v>
      </c>
      <c r="DJ280" s="3">
        <f t="shared" ca="1" si="31"/>
        <v>19</v>
      </c>
      <c r="DK280" s="3"/>
      <c r="DL280" s="3"/>
      <c r="DM280" s="3"/>
      <c r="DN280" s="3"/>
      <c r="DO280" s="3"/>
      <c r="DP280" s="3"/>
    </row>
    <row r="281" spans="1:120">
      <c r="A281" t="s">
        <v>1290</v>
      </c>
      <c r="B281" t="str">
        <f>REPLACE(Table1[[#This Row],[Order_ID]],1,3,"YOO")</f>
        <v>YOO10280</v>
      </c>
      <c r="C281" t="str">
        <f>MID(Table1[[#This Row],[Order_ID]],4,4)</f>
        <v>1028</v>
      </c>
      <c r="D281" t="str">
        <f>LEFT(Table1[[#This Row],[Order_ID]],4)</f>
        <v>ORD1</v>
      </c>
      <c r="E281" t="str">
        <f>RIGHT(Table1[[#This Row],[Order_ID]],5)</f>
        <v>10280</v>
      </c>
      <c r="F281" t="s">
        <v>5</v>
      </c>
      <c r="G281">
        <v>10280</v>
      </c>
      <c r="H281" t="s">
        <v>1291</v>
      </c>
      <c r="I281" s="2">
        <f>EDATE(Table1[[#This Row],[Order_Date]],3)</f>
        <v>46143</v>
      </c>
      <c r="J281" s="2">
        <f>EDATE(Table1[[#This Row],[Order_Date]],6)</f>
        <v>46235</v>
      </c>
      <c r="K281">
        <f ca="1">YEAR(Table1[[#This Row],[Today]])</f>
        <v>2026</v>
      </c>
      <c r="L281">
        <v>280</v>
      </c>
      <c r="M281">
        <f ca="1">DAY(Table1[[#This Row],[Today]])</f>
        <v>11</v>
      </c>
      <c r="N281" s="19">
        <f t="shared" ca="1" si="34"/>
        <v>46245.589795138891</v>
      </c>
      <c r="O281" s="2">
        <f t="shared" ca="1" si="29"/>
        <v>46245</v>
      </c>
      <c r="P281" s="17">
        <f ca="1">Table1[[#This Row],[Today]]-Table1[[#This Row],[Order_Date]]</f>
        <v>191</v>
      </c>
      <c r="Q281" s="2">
        <v>45937</v>
      </c>
      <c r="R281" s="2">
        <v>46054</v>
      </c>
      <c r="S281" s="6">
        <f t="shared" si="32"/>
        <v>2026</v>
      </c>
      <c r="T281" s="7" t="str">
        <f t="shared" si="33"/>
        <v>February</v>
      </c>
      <c r="U281" s="2">
        <f>WORKDAY(Table1[[#This Row],[Order_Date]],5)</f>
        <v>46059</v>
      </c>
      <c r="V281" s="7" t="str">
        <f>CONCATENATE(Table1[[#This Row],[Customer_ID]],Table1[[#This Row],[Customer_Name]])</f>
        <v>C1115Priya Verma</v>
      </c>
      <c r="W281" t="s">
        <v>818</v>
      </c>
      <c r="X281" t="s">
        <v>335</v>
      </c>
      <c r="Y281">
        <f>COUNTA(Table1[[#This Row],[Customer_Name]])</f>
        <v>1</v>
      </c>
      <c r="Z281" t="str">
        <f>SUBSTITUTE(Table1[[#This Row],[Customer_Name]]," ","_")</f>
        <v>Priya_Verma</v>
      </c>
      <c r="AA281" s="10">
        <f>IFERROR(SEARCH("a",Table1[[#This Row],[Customer_Name]]),"N/A")</f>
        <v>5</v>
      </c>
      <c r="AB281">
        <f>SEARCH(" ",Table1[[#This Row],[Customer_Name]])</f>
        <v>6</v>
      </c>
      <c r="AC281" s="11">
        <f>IFERROR(FIND("a",Table1[[#This Row],[Customer_Name]]),"N/A")</f>
        <v>5</v>
      </c>
      <c r="AD281">
        <f>FIND(" ",Table1[[#This Row],[Customer_Name]])</f>
        <v>6</v>
      </c>
      <c r="AE281" t="str">
        <f>TRIM(Table1[[#This Row],[Customer_Name]])</f>
        <v>Priya Verma</v>
      </c>
      <c r="AF281">
        <f>LEN(Table1[[#This Row],[Trimmed]])</f>
        <v>11</v>
      </c>
      <c r="AG281">
        <f>MAX(Table1[Length])</f>
        <v>15</v>
      </c>
      <c r="AH281" t="str">
        <f>PROPER(Table1[[#This Row],[Customer_Name]])</f>
        <v>Priya Verma</v>
      </c>
      <c r="AI281" t="str">
        <f>LOWER(Table1[[#This Row],[Customer_Name]])</f>
        <v>priya verma</v>
      </c>
      <c r="AJ281" t="str">
        <f>UPPER(Table1[[#This Row],[Customer_Name]])</f>
        <v>PRIYA VERMA</v>
      </c>
      <c r="AK281" t="str">
        <f>CONCATENATE(Table1[[#This Row],[Customer_ID]],Table1[[#This Row],[Customer_Name]])</f>
        <v>C1115Priya Verma</v>
      </c>
      <c r="AL281" t="s">
        <v>174</v>
      </c>
      <c r="AM281" t="s">
        <v>336</v>
      </c>
      <c r="AN281" t="s">
        <v>337</v>
      </c>
      <c r="AO281" t="s">
        <v>174</v>
      </c>
      <c r="AP281" t="s">
        <v>336</v>
      </c>
      <c r="AQ281" t="s">
        <v>304</v>
      </c>
      <c r="AR281" t="str">
        <f>TRIM(Table1[[#This Row],[City]])</f>
        <v>Chennai</v>
      </c>
      <c r="AS281" t="str">
        <f>PROPER(Table1[[#This Row],[City]])</f>
        <v>Chennai</v>
      </c>
      <c r="AT281" t="s">
        <v>305</v>
      </c>
      <c r="AU281" t="str">
        <f>CONCATENATE(Table1[[#This Row],[City]],Table1[[#This Row],[State]])</f>
        <v>ChennaiTamil Nadu</v>
      </c>
      <c r="AV281" t="s">
        <v>168</v>
      </c>
      <c r="AW281" t="s">
        <v>130</v>
      </c>
      <c r="AX281" t="str">
        <f>REPLACE(Table1[[#This Row],[Product_ID]],1,1,"s")</f>
        <v>s111</v>
      </c>
      <c r="AY281" t="s">
        <v>1292</v>
      </c>
      <c r="AZ281">
        <f>SEARCH("-",Table1[[#This Row],[Product ID]])</f>
        <v>2</v>
      </c>
      <c r="BA281">
        <f>FIND("-",Table1[[#This Row],[Product ID]])</f>
        <v>2</v>
      </c>
      <c r="BB281" t="str">
        <f>MID(Table1[[#This Row],[Product_ID]],2,3)</f>
        <v>111</v>
      </c>
      <c r="BC281" t="str">
        <f>RIGHT(Table1[[#This Row],[Product_ID]],3)</f>
        <v>111</v>
      </c>
      <c r="BD281" t="str">
        <f>LEFT(Table1[[#This Row],[Product_ID]],3)</f>
        <v>P11</v>
      </c>
      <c r="BE281" t="str">
        <f>_xlfn.XLOOKUP(Table1[[#This Row],[Product_ID]],AW:AW,BF:BF,,0)</f>
        <v>Coffee Maker</v>
      </c>
      <c r="BF281" t="s">
        <v>132</v>
      </c>
      <c r="BG281">
        <f>LEN(Table1[[#This Row],[Product_Name]])</f>
        <v>12</v>
      </c>
      <c r="BH281" t="s">
        <v>133</v>
      </c>
      <c r="BI281">
        <f t="shared" si="35"/>
        <v>75</v>
      </c>
      <c r="BJ281" t="str">
        <f>SUBSTITUTE(Table1[[#This Row],[Category]],"Electronics","ELECTRONICS")</f>
        <v>Home</v>
      </c>
      <c r="BN281" t="s">
        <v>134</v>
      </c>
      <c r="BS281" s="14">
        <v>2</v>
      </c>
      <c r="BT281" s="3">
        <v>3999</v>
      </c>
      <c r="BU281" s="4">
        <v>15</v>
      </c>
      <c r="BV281" s="4" t="str">
        <f>IF(AND(Table1[[#This Row],[Quantity]]&gt;=3,Table1[[#This Row],[Discount_%]]&gt;=15%),"Bulk Discount","no")</f>
        <v>no</v>
      </c>
      <c r="BW281" s="4" t="str">
        <f>IF(AND(Table1[[#This Row],[Quantity]]&gt;3,Table1[[#This Row],[Discount_%]]&gt;15%),"Bulk Customer","Normal")</f>
        <v>Normal</v>
      </c>
      <c r="BX281" t="s">
        <v>192</v>
      </c>
      <c r="BY281" t="s">
        <v>136</v>
      </c>
      <c r="CC281" t="str">
        <f>IF(OR(Table1[[#This Row],[Order_Status]]="Returned",Table1[[#This Row],[Order_Status]]="Cancelled"),"Attention Required","Not")</f>
        <v>Not</v>
      </c>
      <c r="CD281" t="str">
        <f>IF(OR(Table1[[#This Row],[Order_Status]]="Returned",Table1[[#This Row],[Order_Status]]="Cancelled"),"Review","no")</f>
        <v>no</v>
      </c>
      <c r="CE281" t="str">
        <f>SUBSTITUTE(Table1[[#This Row],[Order_Status]],"Delivered","Completed")</f>
        <v>Completed</v>
      </c>
      <c r="CF281" s="2">
        <v>46060</v>
      </c>
      <c r="CG281" s="17">
        <f>NETWORKDAYS(Table1[[#This Row],[Order_Date]],Table1[[#This Row],[Delivery_Date]])</f>
        <v>5</v>
      </c>
      <c r="CH281" s="17">
        <f>Table1[[#This Row],[Delivery_Date]]-Table1[[#This Row],[Order_Date]]</f>
        <v>6</v>
      </c>
      <c r="CI281" t="s">
        <v>137</v>
      </c>
      <c r="CJ281" t="str">
        <f>IF(Table1[[#This Row],[Rating]]&gt;=4,"Good","Needs Improvement")</f>
        <v>Needs Improvement</v>
      </c>
      <c r="CK281" t="str">
        <f>IF(OR(Table1[[#This Row],[Rating]]&lt;=2,Table1[[#This Row],[Profit]]&lt;0),"Review","NO")</f>
        <v>NO</v>
      </c>
      <c r="CL281" t="str" cm="1">
        <f t="array" ref="CL281">_xlfn.IFS(Table1[[#This Row],[Rating]]&gt;2,"Poor",Table1[[#This Row],[Rating]]=3,"Average",Table1[[#This Row],[Rating]]=4,"Good",CP281=5,"Excellent")</f>
        <v>Poor</v>
      </c>
      <c r="CM281">
        <f>COUNT(Table1[[#This Row],[Rating]])</f>
        <v>1</v>
      </c>
      <c r="CN281">
        <f>COUNTBLANK(Table1[[#This Row],[Rating]])</f>
        <v>0</v>
      </c>
      <c r="CP281" t="s">
        <v>138</v>
      </c>
      <c r="CQ281" s="14">
        <v>3</v>
      </c>
      <c r="CR281" t="s">
        <v>173</v>
      </c>
      <c r="CS281" t="s">
        <v>195</v>
      </c>
      <c r="CU281" s="3">
        <v>6798.3</v>
      </c>
      <c r="CV281" s="3">
        <f>ROUND(Table1[[#This Row],[Sales_Amount]],0)</f>
        <v>6798</v>
      </c>
      <c r="CW281" s="3"/>
      <c r="CX281" s="3"/>
      <c r="CY281" s="3" t="b">
        <f>IF(AND(Table1[[#This Row],[Sales_Amount]]&gt;=10000,Table1[[#This Row],[Profit]]&gt;0),"Good Order")</f>
        <v>0</v>
      </c>
      <c r="CZ281" s="3" t="str">
        <f>IF(Table1[[#This Row],[Sales_Amount]]&gt;=10000,"High","Normal")</f>
        <v>Normal</v>
      </c>
      <c r="DA281" s="3">
        <v>1798.3</v>
      </c>
      <c r="DB281" s="3">
        <f>ROUND(Table1[[#This Row],[Profit]],0)</f>
        <v>1798</v>
      </c>
      <c r="DC281" s="3">
        <f>ABS(Table1[[#This Row],[Profit]])</f>
        <v>1798.3</v>
      </c>
      <c r="DD281" s="3"/>
      <c r="DE281" s="3"/>
      <c r="DF281" s="3"/>
      <c r="DG281" s="3" t="str">
        <f>IF(Table1[[#This Row],[Profit]]&gt;0,"Profit","Loss")</f>
        <v>Profit</v>
      </c>
      <c r="DH281" s="3" t="str">
        <f>IF(AND(Table1[[#This Row],[Sales_Amount]]&gt;=10000,Table1[[#This Row],[Profit]]&gt;0),"Priority","Normal")</f>
        <v>Normal</v>
      </c>
      <c r="DI281" s="3">
        <f t="shared" ca="1" si="30"/>
        <v>0.62650334099382088</v>
      </c>
      <c r="DJ281" s="3">
        <f t="shared" ca="1" si="31"/>
        <v>24</v>
      </c>
      <c r="DK281" s="3"/>
      <c r="DL281" s="3"/>
      <c r="DM281" s="3"/>
      <c r="DN281" s="3"/>
      <c r="DO281" s="3"/>
      <c r="DP281" s="3"/>
    </row>
    <row r="282" spans="1:120">
      <c r="A282" t="s">
        <v>1293</v>
      </c>
      <c r="B282" t="str">
        <f>REPLACE(Table1[[#This Row],[Order_ID]],1,3,"YOO")</f>
        <v>YOO10281</v>
      </c>
      <c r="C282" t="str">
        <f>MID(Table1[[#This Row],[Order_ID]],4,4)</f>
        <v>1028</v>
      </c>
      <c r="D282" t="str">
        <f>LEFT(Table1[[#This Row],[Order_ID]],4)</f>
        <v>ORD1</v>
      </c>
      <c r="E282" t="str">
        <f>RIGHT(Table1[[#This Row],[Order_ID]],5)</f>
        <v>10281</v>
      </c>
      <c r="F282" t="s">
        <v>5</v>
      </c>
      <c r="G282">
        <v>10281</v>
      </c>
      <c r="H282" t="s">
        <v>1294</v>
      </c>
      <c r="I282" s="2">
        <f>EDATE(Table1[[#This Row],[Order_Date]],3)</f>
        <v>45813</v>
      </c>
      <c r="J282" s="2">
        <f>EDATE(Table1[[#This Row],[Order_Date]],6)</f>
        <v>45905</v>
      </c>
      <c r="K282">
        <f ca="1">YEAR(Table1[[#This Row],[Today]])</f>
        <v>2026</v>
      </c>
      <c r="L282">
        <v>281</v>
      </c>
      <c r="M282">
        <f ca="1">DAY(Table1[[#This Row],[Today]])</f>
        <v>11</v>
      </c>
      <c r="N282" s="19">
        <f t="shared" ca="1" si="34"/>
        <v>46245.589795370368</v>
      </c>
      <c r="O282" s="2">
        <f t="shared" ca="1" si="29"/>
        <v>46245</v>
      </c>
      <c r="P282" s="17">
        <f ca="1">Table1[[#This Row],[Today]]-Table1[[#This Row],[Order_Date]]</f>
        <v>524</v>
      </c>
      <c r="Q282" s="2">
        <v>45938</v>
      </c>
      <c r="R282" s="2">
        <v>45721</v>
      </c>
      <c r="S282" s="6">
        <f t="shared" si="32"/>
        <v>2025</v>
      </c>
      <c r="T282" s="7" t="str">
        <f t="shared" si="33"/>
        <v>March</v>
      </c>
      <c r="U282" s="2">
        <f>WORKDAY(Table1[[#This Row],[Order_Date]],5)</f>
        <v>45728</v>
      </c>
      <c r="V282" s="7" t="str">
        <f>CONCATENATE(Table1[[#This Row],[Customer_ID]],Table1[[#This Row],[Customer_Name]])</f>
        <v>C1059Riya Agarwal</v>
      </c>
      <c r="W282" t="s">
        <v>963</v>
      </c>
      <c r="X282" t="s">
        <v>217</v>
      </c>
      <c r="Y282">
        <f>COUNTA(Table1[[#This Row],[Customer_Name]])</f>
        <v>1</v>
      </c>
      <c r="Z282" t="str">
        <f>SUBSTITUTE(Table1[[#This Row],[Customer_Name]]," ","_")</f>
        <v>Riya_Agarwal</v>
      </c>
      <c r="AA282" s="10">
        <f>IFERROR(SEARCH("a",Table1[[#This Row],[Customer_Name]]),"N/A")</f>
        <v>4</v>
      </c>
      <c r="AB282">
        <f>SEARCH(" ",Table1[[#This Row],[Customer_Name]])</f>
        <v>5</v>
      </c>
      <c r="AC282" s="11">
        <f>IFERROR(FIND("a",Table1[[#This Row],[Customer_Name]]),"N/A")</f>
        <v>4</v>
      </c>
      <c r="AD282">
        <f>FIND(" ",Table1[[#This Row],[Customer_Name]])</f>
        <v>5</v>
      </c>
      <c r="AE282" t="str">
        <f>TRIM(Table1[[#This Row],[Customer_Name]])</f>
        <v>Riya Agarwal</v>
      </c>
      <c r="AF282">
        <f>LEN(Table1[[#This Row],[Trimmed]])</f>
        <v>12</v>
      </c>
      <c r="AG282">
        <f>MAX(Table1[Length])</f>
        <v>15</v>
      </c>
      <c r="AH282" t="str">
        <f>PROPER(Table1[[#This Row],[Customer_Name]])</f>
        <v>Riya Agarwal</v>
      </c>
      <c r="AI282" t="str">
        <f>LOWER(Table1[[#This Row],[Customer_Name]])</f>
        <v>riya agarwal</v>
      </c>
      <c r="AJ282" t="str">
        <f>UPPER(Table1[[#This Row],[Customer_Name]])</f>
        <v>RIYA AGARWAL</v>
      </c>
      <c r="AK282" t="str">
        <f>CONCATENATE(Table1[[#This Row],[Customer_ID]],Table1[[#This Row],[Customer_Name]])</f>
        <v>C1059Riya Agarwal</v>
      </c>
      <c r="AL282" t="s">
        <v>218</v>
      </c>
      <c r="AM282" t="s">
        <v>219</v>
      </c>
      <c r="AN282" t="s">
        <v>220</v>
      </c>
      <c r="AO282" t="s">
        <v>218</v>
      </c>
      <c r="AP282" t="s">
        <v>219</v>
      </c>
      <c r="AQ282" t="s">
        <v>379</v>
      </c>
      <c r="AR282" t="str">
        <f>TRIM(Table1[[#This Row],[City]])</f>
        <v>Indore</v>
      </c>
      <c r="AS282" t="str">
        <f>PROPER(Table1[[#This Row],[City]])</f>
        <v>Indore</v>
      </c>
      <c r="AT282" t="s">
        <v>345</v>
      </c>
      <c r="AU282" t="str">
        <f>CONCATENATE(Table1[[#This Row],[City]],Table1[[#This Row],[State]])</f>
        <v>IndoreMadhya Pradesh</v>
      </c>
      <c r="AV282" t="s">
        <v>346</v>
      </c>
      <c r="AW282" t="s">
        <v>201</v>
      </c>
      <c r="AX282" t="str">
        <f>REPLACE(Table1[[#This Row],[Product_ID]],1,1,"s")</f>
        <v>s104</v>
      </c>
      <c r="AY282" t="s">
        <v>1295</v>
      </c>
      <c r="AZ282">
        <f>SEARCH("-",Table1[[#This Row],[Product ID]])</f>
        <v>2</v>
      </c>
      <c r="BA282">
        <f>FIND("-",Table1[[#This Row],[Product ID]])</f>
        <v>2</v>
      </c>
      <c r="BB282" t="str">
        <f>MID(Table1[[#This Row],[Product_ID]],2,3)</f>
        <v>104</v>
      </c>
      <c r="BC282" t="str">
        <f>RIGHT(Table1[[#This Row],[Product_ID]],3)</f>
        <v>104</v>
      </c>
      <c r="BD282" t="str">
        <f>LEFT(Table1[[#This Row],[Product_ID]],3)</f>
        <v>P10</v>
      </c>
      <c r="BE282" t="str">
        <f>_xlfn.XLOOKUP(Table1[[#This Row],[Product_ID]],AW:AW,BF:BF,,0)</f>
        <v>USB-C Hub</v>
      </c>
      <c r="BF282" t="s">
        <v>203</v>
      </c>
      <c r="BG282">
        <f>LEN(Table1[[#This Row],[Product_Name]])</f>
        <v>9</v>
      </c>
      <c r="BH282" t="s">
        <v>154</v>
      </c>
      <c r="BI282">
        <f t="shared" si="35"/>
        <v>75</v>
      </c>
      <c r="BJ282" t="str">
        <f>SUBSTITUTE(Table1[[#This Row],[Category]],"Electronics","ELECTRONICS")</f>
        <v>ELECTRONICS</v>
      </c>
      <c r="BN282" t="s">
        <v>155</v>
      </c>
      <c r="BS282" s="14">
        <v>2</v>
      </c>
      <c r="BT282" s="3">
        <v>1899</v>
      </c>
      <c r="BU282" s="4">
        <v>0</v>
      </c>
      <c r="BV282" s="4" t="str">
        <f>IF(AND(Table1[[#This Row],[Quantity]]&gt;=3,Table1[[#This Row],[Discount_%]]&gt;=15%),"Bulk Discount","no")</f>
        <v>no</v>
      </c>
      <c r="BW282" s="4" t="str">
        <f>IF(AND(Table1[[#This Row],[Quantity]]&gt;3,Table1[[#This Row],[Discount_%]]&gt;15%),"Bulk Customer","Normal")</f>
        <v>Normal</v>
      </c>
      <c r="BX282" t="s">
        <v>172</v>
      </c>
      <c r="BY282" t="s">
        <v>136</v>
      </c>
      <c r="CC282" t="str">
        <f>IF(OR(Table1[[#This Row],[Order_Status]]="Returned",Table1[[#This Row],[Order_Status]]="Cancelled"),"Attention Required","Not")</f>
        <v>Not</v>
      </c>
      <c r="CD282" t="str">
        <f>IF(OR(Table1[[#This Row],[Order_Status]]="Returned",Table1[[#This Row],[Order_Status]]="Cancelled"),"Review","no")</f>
        <v>no</v>
      </c>
      <c r="CE282" t="str">
        <f>SUBSTITUTE(Table1[[#This Row],[Order_Status]],"Delivered","Completed")</f>
        <v>Completed</v>
      </c>
      <c r="CF282" s="2">
        <v>45727</v>
      </c>
      <c r="CG282" s="17">
        <f>NETWORKDAYS(Table1[[#This Row],[Order_Date]],Table1[[#This Row],[Delivery_Date]])</f>
        <v>5</v>
      </c>
      <c r="CH282" s="17">
        <f>Table1[[#This Row],[Delivery_Date]]-Table1[[#This Row],[Order_Date]]</f>
        <v>6</v>
      </c>
      <c r="CI282" t="s">
        <v>137</v>
      </c>
      <c r="CJ282" t="str">
        <f>IF(Table1[[#This Row],[Rating]]&gt;=4,"Good","Needs Improvement")</f>
        <v>Good</v>
      </c>
      <c r="CK282" t="str">
        <f>IF(OR(Table1[[#This Row],[Rating]]&lt;=2,Table1[[#This Row],[Profit]]&lt;0),"Review","NO")</f>
        <v>NO</v>
      </c>
      <c r="CL282" t="str" cm="1">
        <f t="array" ref="CL282">_xlfn.IFS(Table1[[#This Row],[Rating]]&gt;2,"Poor",Table1[[#This Row],[Rating]]=3,"Average",Table1[[#This Row],[Rating]]=4,"Good",CP282=5,"Excellent")</f>
        <v>Poor</v>
      </c>
      <c r="CM282">
        <f>COUNT(Table1[[#This Row],[Rating]])</f>
        <v>1</v>
      </c>
      <c r="CN282">
        <f>COUNTBLANK(Table1[[#This Row],[Rating]])</f>
        <v>0</v>
      </c>
      <c r="CP282" t="s">
        <v>138</v>
      </c>
      <c r="CQ282" s="14">
        <v>5</v>
      </c>
      <c r="CR282" t="s">
        <v>204</v>
      </c>
      <c r="CS282" t="s">
        <v>267</v>
      </c>
      <c r="CU282" s="3">
        <v>3798</v>
      </c>
      <c r="CV282" s="3">
        <f>ROUND(Table1[[#This Row],[Sales_Amount]],0)</f>
        <v>3798</v>
      </c>
      <c r="CW282" s="3"/>
      <c r="CX282" s="3"/>
      <c r="CY282" s="3" t="b">
        <f>IF(AND(Table1[[#This Row],[Sales_Amount]]&gt;=10000,Table1[[#This Row],[Profit]]&gt;0),"Good Order")</f>
        <v>0</v>
      </c>
      <c r="CZ282" s="3" t="str">
        <f>IF(Table1[[#This Row],[Sales_Amount]]&gt;=10000,"High","Normal")</f>
        <v>Normal</v>
      </c>
      <c r="DA282" s="3">
        <v>1598</v>
      </c>
      <c r="DB282" s="3">
        <f>ROUND(Table1[[#This Row],[Profit]],0)</f>
        <v>1598</v>
      </c>
      <c r="DC282" s="3">
        <f>ABS(Table1[[#This Row],[Profit]])</f>
        <v>1598</v>
      </c>
      <c r="DD282" s="3"/>
      <c r="DE282" s="3"/>
      <c r="DF282" s="3"/>
      <c r="DG282" s="3" t="str">
        <f>IF(Table1[[#This Row],[Profit]]&gt;0,"Profit","Loss")</f>
        <v>Profit</v>
      </c>
      <c r="DH282" s="3" t="str">
        <f>IF(AND(Table1[[#This Row],[Sales_Amount]]&gt;=10000,Table1[[#This Row],[Profit]]&gt;0),"Priority","Normal")</f>
        <v>Normal</v>
      </c>
      <c r="DI282" s="3">
        <f t="shared" ca="1" si="30"/>
        <v>0.52500518162641063</v>
      </c>
      <c r="DJ282" s="3">
        <f t="shared" ca="1" si="31"/>
        <v>26</v>
      </c>
      <c r="DK282" s="3"/>
      <c r="DL282" s="3"/>
      <c r="DM282" s="3"/>
      <c r="DN282" s="3"/>
      <c r="DO282" s="3"/>
      <c r="DP282" s="3"/>
    </row>
    <row r="283" spans="1:120">
      <c r="A283" t="s">
        <v>1296</v>
      </c>
      <c r="B283" t="str">
        <f>REPLACE(Table1[[#This Row],[Order_ID]],1,3,"YOO")</f>
        <v>YOO10282</v>
      </c>
      <c r="C283" t="str">
        <f>MID(Table1[[#This Row],[Order_ID]],4,4)</f>
        <v>1028</v>
      </c>
      <c r="D283" t="str">
        <f>LEFT(Table1[[#This Row],[Order_ID]],4)</f>
        <v>ORD1</v>
      </c>
      <c r="E283" t="str">
        <f>RIGHT(Table1[[#This Row],[Order_ID]],5)</f>
        <v>10282</v>
      </c>
      <c r="F283" t="s">
        <v>5</v>
      </c>
      <c r="G283">
        <v>10282</v>
      </c>
      <c r="H283" t="s">
        <v>1297</v>
      </c>
      <c r="I283" s="2">
        <f>EDATE(Table1[[#This Row],[Order_Date]],3)</f>
        <v>46236</v>
      </c>
      <c r="J283" s="2">
        <f>EDATE(Table1[[#This Row],[Order_Date]],6)</f>
        <v>46328</v>
      </c>
      <c r="K283">
        <f ca="1">YEAR(Table1[[#This Row],[Today]])</f>
        <v>2026</v>
      </c>
      <c r="L283">
        <v>282</v>
      </c>
      <c r="M283">
        <f ca="1">DAY(Table1[[#This Row],[Today]])</f>
        <v>11</v>
      </c>
      <c r="N283" s="19">
        <f t="shared" ca="1" si="34"/>
        <v>46245.589795370368</v>
      </c>
      <c r="O283" s="2">
        <f t="shared" ca="1" si="29"/>
        <v>46245</v>
      </c>
      <c r="P283" s="17">
        <f ca="1">Table1[[#This Row],[Today]]-Table1[[#This Row],[Order_Date]]</f>
        <v>101</v>
      </c>
      <c r="Q283" s="2">
        <v>45939</v>
      </c>
      <c r="R283" s="2">
        <v>46144</v>
      </c>
      <c r="S283" s="6">
        <f t="shared" si="32"/>
        <v>2026</v>
      </c>
      <c r="T283" s="7" t="str">
        <f t="shared" si="33"/>
        <v>May</v>
      </c>
      <c r="U283" s="2">
        <f>WORKDAY(Table1[[#This Row],[Order_Date]],5)</f>
        <v>46150</v>
      </c>
      <c r="V283" s="7" t="str">
        <f>CONCATENATE(Table1[[#This Row],[Customer_ID]],Table1[[#This Row],[Customer_Name]])</f>
        <v>C1102Priya Verma</v>
      </c>
      <c r="W283" t="s">
        <v>610</v>
      </c>
      <c r="X283" t="s">
        <v>335</v>
      </c>
      <c r="Y283">
        <f>COUNTA(Table1[[#This Row],[Customer_Name]])</f>
        <v>1</v>
      </c>
      <c r="Z283" t="str">
        <f>SUBSTITUTE(Table1[[#This Row],[Customer_Name]]," ","_")</f>
        <v>Priya_Verma</v>
      </c>
      <c r="AA283" s="10">
        <f>IFERROR(SEARCH("a",Table1[[#This Row],[Customer_Name]]),"N/A")</f>
        <v>5</v>
      </c>
      <c r="AB283">
        <f>SEARCH(" ",Table1[[#This Row],[Customer_Name]])</f>
        <v>6</v>
      </c>
      <c r="AC283" s="11">
        <f>IFERROR(FIND("a",Table1[[#This Row],[Customer_Name]]),"N/A")</f>
        <v>5</v>
      </c>
      <c r="AD283">
        <f>FIND(" ",Table1[[#This Row],[Customer_Name]])</f>
        <v>6</v>
      </c>
      <c r="AE283" t="str">
        <f>TRIM(Table1[[#This Row],[Customer_Name]])</f>
        <v>Priya Verma</v>
      </c>
      <c r="AF283">
        <f>LEN(Table1[[#This Row],[Trimmed]])</f>
        <v>11</v>
      </c>
      <c r="AG283">
        <f>MAX(Table1[Length])</f>
        <v>15</v>
      </c>
      <c r="AH283" t="str">
        <f>PROPER(Table1[[#This Row],[Customer_Name]])</f>
        <v>Priya Verma</v>
      </c>
      <c r="AI283" t="str">
        <f>LOWER(Table1[[#This Row],[Customer_Name]])</f>
        <v>priya verma</v>
      </c>
      <c r="AJ283" t="str">
        <f>UPPER(Table1[[#This Row],[Customer_Name]])</f>
        <v>PRIYA VERMA</v>
      </c>
      <c r="AK283" t="str">
        <f>CONCATENATE(Table1[[#This Row],[Customer_ID]],Table1[[#This Row],[Customer_Name]])</f>
        <v>C1102Priya Verma</v>
      </c>
      <c r="AL283" t="s">
        <v>174</v>
      </c>
      <c r="AM283" t="s">
        <v>336</v>
      </c>
      <c r="AN283" t="s">
        <v>337</v>
      </c>
      <c r="AO283" t="s">
        <v>174</v>
      </c>
      <c r="AP283" t="s">
        <v>336</v>
      </c>
      <c r="AQ283" t="s">
        <v>199</v>
      </c>
      <c r="AR283" t="str">
        <f>TRIM(Table1[[#This Row],[City]])</f>
        <v>Lucknow</v>
      </c>
      <c r="AS283" t="str">
        <f>PROPER(Table1[[#This Row],[City]])</f>
        <v>Lucknow</v>
      </c>
      <c r="AT283" t="s">
        <v>200</v>
      </c>
      <c r="AU283" t="str">
        <f>CONCATENATE(Table1[[#This Row],[City]],Table1[[#This Row],[State]])</f>
        <v>LucknowUttar Pradesh</v>
      </c>
      <c r="AV283" t="s">
        <v>150</v>
      </c>
      <c r="AW283" t="s">
        <v>477</v>
      </c>
      <c r="AX283" t="str">
        <f>REPLACE(Table1[[#This Row],[Product_ID]],1,1,"s")</f>
        <v>s109</v>
      </c>
      <c r="AY283" t="s">
        <v>1298</v>
      </c>
      <c r="AZ283">
        <f>SEARCH("-",Table1[[#This Row],[Product ID]])</f>
        <v>2</v>
      </c>
      <c r="BA283">
        <f>FIND("-",Table1[[#This Row],[Product ID]])</f>
        <v>2</v>
      </c>
      <c r="BB283" t="str">
        <f>MID(Table1[[#This Row],[Product_ID]],2,3)</f>
        <v>109</v>
      </c>
      <c r="BC283" t="str">
        <f>RIGHT(Table1[[#This Row],[Product_ID]],3)</f>
        <v>109</v>
      </c>
      <c r="BD283" t="str">
        <f>LEFT(Table1[[#This Row],[Product_ID]],3)</f>
        <v>P10</v>
      </c>
      <c r="BE283" t="str">
        <f>_xlfn.XLOOKUP(Table1[[#This Row],[Product_ID]],AW:AW,BF:BF,,0)</f>
        <v>Backpack</v>
      </c>
      <c r="BF283" t="s">
        <v>479</v>
      </c>
      <c r="BG283">
        <f>LEN(Table1[[#This Row],[Product_Name]])</f>
        <v>8</v>
      </c>
      <c r="BH283" t="s">
        <v>224</v>
      </c>
      <c r="BI283">
        <f t="shared" si="35"/>
        <v>75</v>
      </c>
      <c r="BJ283" t="str">
        <f>SUBSTITUTE(Table1[[#This Row],[Category]],"Electronics","ELECTRONICS")</f>
        <v>Fashion</v>
      </c>
      <c r="BN283" t="s">
        <v>480</v>
      </c>
      <c r="BS283" s="14">
        <v>5</v>
      </c>
      <c r="BT283" s="3">
        <v>2299</v>
      </c>
      <c r="BU283" s="4">
        <v>10</v>
      </c>
      <c r="BV283" s="4" t="str">
        <f>IF(AND(Table1[[#This Row],[Quantity]]&gt;=3,Table1[[#This Row],[Discount_%]]&gt;=15%),"Bulk Discount","no")</f>
        <v>Bulk Discount</v>
      </c>
      <c r="BW283" s="4" t="str">
        <f>IF(AND(Table1[[#This Row],[Quantity]]&gt;3,Table1[[#This Row],[Discount_%]]&gt;15%),"Bulk Customer","Normal")</f>
        <v>Bulk Customer</v>
      </c>
      <c r="BX283" t="s">
        <v>135</v>
      </c>
      <c r="BY283" t="s">
        <v>136</v>
      </c>
      <c r="CC283" t="str">
        <f>IF(OR(Table1[[#This Row],[Order_Status]]="Returned",Table1[[#This Row],[Order_Status]]="Cancelled"),"Attention Required","Not")</f>
        <v>Not</v>
      </c>
      <c r="CD283" t="str">
        <f>IF(OR(Table1[[#This Row],[Order_Status]]="Returned",Table1[[#This Row],[Order_Status]]="Cancelled"),"Review","no")</f>
        <v>no</v>
      </c>
      <c r="CE283" t="str">
        <f>SUBSTITUTE(Table1[[#This Row],[Order_Status]],"Delivered","Completed")</f>
        <v>Completed</v>
      </c>
      <c r="CF283" s="2">
        <v>46149</v>
      </c>
      <c r="CG283" s="17">
        <f>NETWORKDAYS(Table1[[#This Row],[Order_Date]],Table1[[#This Row],[Delivery_Date]])</f>
        <v>4</v>
      </c>
      <c r="CH283" s="17">
        <f>Table1[[#This Row],[Delivery_Date]]-Table1[[#This Row],[Order_Date]]</f>
        <v>5</v>
      </c>
      <c r="CI283" t="s">
        <v>137</v>
      </c>
      <c r="CJ283" t="str">
        <f>IF(Table1[[#This Row],[Rating]]&gt;=4,"Good","Needs Improvement")</f>
        <v>Needs Improvement</v>
      </c>
      <c r="CK283" t="str">
        <f>IF(OR(Table1[[#This Row],[Rating]]&lt;=2,Table1[[#This Row],[Profit]]&lt;0),"Review","NO")</f>
        <v>Review</v>
      </c>
      <c r="CL283" t="e" cm="1">
        <f t="array" ref="CL283">_xlfn.IFS(Table1[[#This Row],[Rating]]&gt;2,"Poor",Table1[[#This Row],[Rating]]=3,"Average",Table1[[#This Row],[Rating]]=4,"Good",CP283=5,"Excellent")</f>
        <v>#N/A</v>
      </c>
      <c r="CM283">
        <f>COUNT(Table1[[#This Row],[Rating]])</f>
        <v>1</v>
      </c>
      <c r="CN283">
        <f>COUNTBLANK(Table1[[#This Row],[Rating]])</f>
        <v>0</v>
      </c>
      <c r="CP283" t="s">
        <v>266</v>
      </c>
      <c r="CQ283" s="14">
        <v>2</v>
      </c>
      <c r="CR283" t="s">
        <v>204</v>
      </c>
      <c r="CS283" t="s">
        <v>174</v>
      </c>
      <c r="CU283" s="3">
        <v>10345.5</v>
      </c>
      <c r="CV283" s="3">
        <f>ROUND(Table1[[#This Row],[Sales_Amount]],0)</f>
        <v>10346</v>
      </c>
      <c r="CW283" s="3"/>
      <c r="CX283" s="3"/>
      <c r="CY283" s="3" t="str">
        <f>IF(AND(Table1[[#This Row],[Sales_Amount]]&gt;=10000,Table1[[#This Row],[Profit]]&gt;0),"Good Order")</f>
        <v>Good Order</v>
      </c>
      <c r="CZ283" s="3" t="str">
        <f>IF(Table1[[#This Row],[Sales_Amount]]&gt;=10000,"High","Normal")</f>
        <v>High</v>
      </c>
      <c r="DA283" s="3">
        <v>4095.5</v>
      </c>
      <c r="DB283" s="3">
        <f>ROUND(Table1[[#This Row],[Profit]],0)</f>
        <v>4096</v>
      </c>
      <c r="DC283" s="3">
        <f>ABS(Table1[[#This Row],[Profit]])</f>
        <v>4095.5</v>
      </c>
      <c r="DD283" s="3"/>
      <c r="DE283" s="3"/>
      <c r="DF283" s="3"/>
      <c r="DG283" s="3" t="str">
        <f>IF(Table1[[#This Row],[Profit]]&gt;0,"Profit","Loss")</f>
        <v>Profit</v>
      </c>
      <c r="DH283" s="3" t="str">
        <f>IF(AND(Table1[[#This Row],[Sales_Amount]]&gt;=10000,Table1[[#This Row],[Profit]]&gt;0),"Priority","Normal")</f>
        <v>Priority</v>
      </c>
      <c r="DI283" s="3">
        <f t="shared" ca="1" si="30"/>
        <v>0.89704121198410103</v>
      </c>
      <c r="DJ283" s="3">
        <f t="shared" ca="1" si="31"/>
        <v>22</v>
      </c>
      <c r="DK283" s="3"/>
      <c r="DL283" s="3"/>
      <c r="DM283" s="3"/>
      <c r="DN283" s="3"/>
      <c r="DO283" s="3"/>
      <c r="DP283" s="3"/>
    </row>
    <row r="284" spans="1:120">
      <c r="A284" t="s">
        <v>1299</v>
      </c>
      <c r="B284" t="str">
        <f>REPLACE(Table1[[#This Row],[Order_ID]],1,3,"YOO")</f>
        <v>YOO10283</v>
      </c>
      <c r="C284" t="str">
        <f>MID(Table1[[#This Row],[Order_ID]],4,4)</f>
        <v>1028</v>
      </c>
      <c r="D284" t="str">
        <f>LEFT(Table1[[#This Row],[Order_ID]],4)</f>
        <v>ORD1</v>
      </c>
      <c r="E284" t="str">
        <f>RIGHT(Table1[[#This Row],[Order_ID]],5)</f>
        <v>10283</v>
      </c>
      <c r="F284" t="s">
        <v>5</v>
      </c>
      <c r="G284">
        <v>10283</v>
      </c>
      <c r="H284" t="s">
        <v>1300</v>
      </c>
      <c r="I284" s="2">
        <f>EDATE(Table1[[#This Row],[Order_Date]],3)</f>
        <v>45900</v>
      </c>
      <c r="J284" s="2">
        <f>EDATE(Table1[[#This Row],[Order_Date]],6)</f>
        <v>45991</v>
      </c>
      <c r="K284">
        <f ca="1">YEAR(Table1[[#This Row],[Today]])</f>
        <v>2026</v>
      </c>
      <c r="L284">
        <v>283</v>
      </c>
      <c r="M284">
        <f ca="1">DAY(Table1[[#This Row],[Today]])</f>
        <v>11</v>
      </c>
      <c r="N284" s="19">
        <f t="shared" ca="1" si="34"/>
        <v>46245.589795138891</v>
      </c>
      <c r="O284" s="2">
        <f t="shared" ca="1" si="29"/>
        <v>46245</v>
      </c>
      <c r="P284" s="17">
        <f ca="1">Table1[[#This Row],[Today]]-Table1[[#This Row],[Order_Date]]</f>
        <v>437</v>
      </c>
      <c r="Q284" s="2">
        <v>45940</v>
      </c>
      <c r="R284" s="2">
        <v>45808</v>
      </c>
      <c r="S284" s="6">
        <f t="shared" si="32"/>
        <v>2025</v>
      </c>
      <c r="T284" s="7" t="str">
        <f t="shared" si="33"/>
        <v>May</v>
      </c>
      <c r="U284" s="2">
        <f>WORKDAY(Table1[[#This Row],[Order_Date]],5)</f>
        <v>45814</v>
      </c>
      <c r="V284" s="7" t="str">
        <f>CONCATENATE(Table1[[#This Row],[Customer_ID]],Table1[[#This Row],[Customer_Name]])</f>
        <v>C1050Rohan Mehta</v>
      </c>
      <c r="W284" t="s">
        <v>1301</v>
      </c>
      <c r="X284" t="s">
        <v>388</v>
      </c>
      <c r="Y284">
        <f>COUNTA(Table1[[#This Row],[Customer_Name]])</f>
        <v>1</v>
      </c>
      <c r="Z284" t="str">
        <f>SUBSTITUTE(Table1[[#This Row],[Customer_Name]]," ","_")</f>
        <v>Rohan_Mehta</v>
      </c>
      <c r="AA284" s="10">
        <f>IFERROR(SEARCH("a",Table1[[#This Row],[Customer_Name]]),"N/A")</f>
        <v>4</v>
      </c>
      <c r="AB284">
        <f>SEARCH(" ",Table1[[#This Row],[Customer_Name]])</f>
        <v>6</v>
      </c>
      <c r="AC284" s="11">
        <f>IFERROR(FIND("a",Table1[[#This Row],[Customer_Name]]),"N/A")</f>
        <v>4</v>
      </c>
      <c r="AD284">
        <f>FIND(" ",Table1[[#This Row],[Customer_Name]])</f>
        <v>6</v>
      </c>
      <c r="AE284" t="str">
        <f>TRIM(Table1[[#This Row],[Customer_Name]])</f>
        <v>Rohan Mehta</v>
      </c>
      <c r="AF284">
        <f>LEN(Table1[[#This Row],[Trimmed]])</f>
        <v>11</v>
      </c>
      <c r="AG284">
        <f>MAX(Table1[Length])</f>
        <v>15</v>
      </c>
      <c r="AH284" t="str">
        <f>PROPER(Table1[[#This Row],[Customer_Name]])</f>
        <v>Rohan Mehta</v>
      </c>
      <c r="AI284" t="str">
        <f>LOWER(Table1[[#This Row],[Customer_Name]])</f>
        <v>rohan mehta</v>
      </c>
      <c r="AJ284" t="str">
        <f>UPPER(Table1[[#This Row],[Customer_Name]])</f>
        <v>ROHAN MEHTA</v>
      </c>
      <c r="AK284" t="str">
        <f>CONCATENATE(Table1[[#This Row],[Customer_ID]],Table1[[#This Row],[Customer_Name]])</f>
        <v>C1050Rohan Mehta</v>
      </c>
      <c r="AL284" t="s">
        <v>389</v>
      </c>
      <c r="AM284" t="s">
        <v>390</v>
      </c>
      <c r="AN284" t="s">
        <v>391</v>
      </c>
      <c r="AO284" t="s">
        <v>389</v>
      </c>
      <c r="AP284" t="s">
        <v>390</v>
      </c>
      <c r="AQ284" t="s">
        <v>1302</v>
      </c>
      <c r="AR284" t="str">
        <f>TRIM(Table1[[#This Row],[City]])</f>
        <v>Kolkata</v>
      </c>
      <c r="AS284" t="str">
        <f>PROPER(Table1[[#This Row],[City]])</f>
        <v xml:space="preserve"> Kolkata </v>
      </c>
      <c r="AT284" t="s">
        <v>234</v>
      </c>
      <c r="AU284" t="str">
        <f>CONCATENATE(Table1[[#This Row],[City]],Table1[[#This Row],[State]])</f>
        <v xml:space="preserve"> Kolkata West Bengal</v>
      </c>
      <c r="AV284" t="s">
        <v>235</v>
      </c>
      <c r="AW284" t="s">
        <v>130</v>
      </c>
      <c r="AX284" t="str">
        <f>REPLACE(Table1[[#This Row],[Product_ID]],1,1,"s")</f>
        <v>s111</v>
      </c>
      <c r="AY284" t="s">
        <v>1303</v>
      </c>
      <c r="AZ284">
        <f>SEARCH("-",Table1[[#This Row],[Product ID]])</f>
        <v>2</v>
      </c>
      <c r="BA284">
        <f>FIND("-",Table1[[#This Row],[Product ID]])</f>
        <v>2</v>
      </c>
      <c r="BB284" t="str">
        <f>MID(Table1[[#This Row],[Product_ID]],2,3)</f>
        <v>111</v>
      </c>
      <c r="BC284" t="str">
        <f>RIGHT(Table1[[#This Row],[Product_ID]],3)</f>
        <v>111</v>
      </c>
      <c r="BD284" t="str">
        <f>LEFT(Table1[[#This Row],[Product_ID]],3)</f>
        <v>P11</v>
      </c>
      <c r="BE284" t="str">
        <f>_xlfn.XLOOKUP(Table1[[#This Row],[Product_ID]],AW:AW,BF:BF,,0)</f>
        <v>Coffee Maker</v>
      </c>
      <c r="BF284" t="s">
        <v>132</v>
      </c>
      <c r="BG284">
        <f>LEN(Table1[[#This Row],[Product_Name]])</f>
        <v>12</v>
      </c>
      <c r="BH284" t="s">
        <v>133</v>
      </c>
      <c r="BI284">
        <f t="shared" si="35"/>
        <v>75</v>
      </c>
      <c r="BJ284" t="str">
        <f>SUBSTITUTE(Table1[[#This Row],[Category]],"Electronics","ELECTRONICS")</f>
        <v>Home</v>
      </c>
      <c r="BN284" t="s">
        <v>134</v>
      </c>
      <c r="BS284" s="14">
        <v>1</v>
      </c>
      <c r="BT284" s="3">
        <v>3999</v>
      </c>
      <c r="BU284" s="4">
        <v>25</v>
      </c>
      <c r="BV284" s="4" t="str">
        <f>IF(AND(Table1[[#This Row],[Quantity]]&gt;=3,Table1[[#This Row],[Discount_%]]&gt;=15%),"Bulk Discount","no")</f>
        <v>no</v>
      </c>
      <c r="BW284" s="4" t="str">
        <f>IF(AND(Table1[[#This Row],[Quantity]]&gt;3,Table1[[#This Row],[Discount_%]]&gt;15%),"Bulk Customer","Normal")</f>
        <v>Normal</v>
      </c>
      <c r="BX284" t="s">
        <v>172</v>
      </c>
      <c r="BY284" t="s">
        <v>136</v>
      </c>
      <c r="CC284" t="str">
        <f>IF(OR(Table1[[#This Row],[Order_Status]]="Returned",Table1[[#This Row],[Order_Status]]="Cancelled"),"Attention Required","Not")</f>
        <v>Not</v>
      </c>
      <c r="CD284" t="str">
        <f>IF(OR(Table1[[#This Row],[Order_Status]]="Returned",Table1[[#This Row],[Order_Status]]="Cancelled"),"Review","no")</f>
        <v>no</v>
      </c>
      <c r="CE284" t="str">
        <f>SUBSTITUTE(Table1[[#This Row],[Order_Status]],"Delivered","Completed")</f>
        <v>Completed</v>
      </c>
      <c r="CF284" s="2">
        <v>45811</v>
      </c>
      <c r="CG284" s="17">
        <f>NETWORKDAYS(Table1[[#This Row],[Order_Date]],Table1[[#This Row],[Delivery_Date]])</f>
        <v>2</v>
      </c>
      <c r="CH284" s="17">
        <f>Table1[[#This Row],[Delivery_Date]]-Table1[[#This Row],[Order_Date]]</f>
        <v>3</v>
      </c>
      <c r="CI284" t="s">
        <v>137</v>
      </c>
      <c r="CJ284" t="str">
        <f>IF(Table1[[#This Row],[Rating]]&gt;=4,"Good","Needs Improvement")</f>
        <v>Good</v>
      </c>
      <c r="CK284" t="str">
        <f>IF(OR(Table1[[#This Row],[Rating]]&lt;=2,Table1[[#This Row],[Profit]]&lt;0),"Review","NO")</f>
        <v>NO</v>
      </c>
      <c r="CL284" t="str" cm="1">
        <f t="array" ref="CL284">_xlfn.IFS(Table1[[#This Row],[Rating]]&gt;2,"Poor",Table1[[#This Row],[Rating]]=3,"Average",Table1[[#This Row],[Rating]]=4,"Good",CP284=5,"Excellent")</f>
        <v>Poor</v>
      </c>
      <c r="CM284">
        <f>COUNT(Table1[[#This Row],[Rating]])</f>
        <v>1</v>
      </c>
      <c r="CN284">
        <f>COUNTBLANK(Table1[[#This Row],[Rating]])</f>
        <v>0</v>
      </c>
      <c r="CP284" t="s">
        <v>138</v>
      </c>
      <c r="CQ284" s="14">
        <v>4</v>
      </c>
      <c r="CR284" t="s">
        <v>139</v>
      </c>
      <c r="CS284" t="s">
        <v>213</v>
      </c>
      <c r="CU284" s="3">
        <v>2999.25</v>
      </c>
      <c r="CV284" s="3">
        <f>ROUND(Table1[[#This Row],[Sales_Amount]],0)</f>
        <v>2999</v>
      </c>
      <c r="CW284" s="3"/>
      <c r="CX284" s="3"/>
      <c r="CY284" s="3" t="b">
        <f>IF(AND(Table1[[#This Row],[Sales_Amount]]&gt;=10000,Table1[[#This Row],[Profit]]&gt;0),"Good Order")</f>
        <v>0</v>
      </c>
      <c r="CZ284" s="3" t="str">
        <f>IF(Table1[[#This Row],[Sales_Amount]]&gt;=10000,"High","Normal")</f>
        <v>Normal</v>
      </c>
      <c r="DA284" s="3">
        <v>499.25</v>
      </c>
      <c r="DB284" s="3">
        <f>ROUND(Table1[[#This Row],[Profit]],0)</f>
        <v>499</v>
      </c>
      <c r="DC284" s="3">
        <f>ABS(Table1[[#This Row],[Profit]])</f>
        <v>499.25</v>
      </c>
      <c r="DD284" s="3"/>
      <c r="DE284" s="3"/>
      <c r="DF284" s="3"/>
      <c r="DG284" s="3" t="str">
        <f>IF(Table1[[#This Row],[Profit]]&gt;0,"Profit","Loss")</f>
        <v>Profit</v>
      </c>
      <c r="DH284" s="3" t="str">
        <f>IF(AND(Table1[[#This Row],[Sales_Amount]]&gt;=10000,Table1[[#This Row],[Profit]]&gt;0),"Priority","Normal")</f>
        <v>Normal</v>
      </c>
      <c r="DI284" s="3">
        <f t="shared" ca="1" si="30"/>
        <v>0.21743381168156617</v>
      </c>
      <c r="DJ284" s="3">
        <f t="shared" ca="1" si="31"/>
        <v>53</v>
      </c>
      <c r="DK284" s="3"/>
      <c r="DL284" s="3"/>
      <c r="DM284" s="3"/>
      <c r="DN284" s="3"/>
      <c r="DO284" s="3"/>
      <c r="DP284" s="3"/>
    </row>
    <row r="285" spans="1:120">
      <c r="A285" t="s">
        <v>1304</v>
      </c>
      <c r="B285" t="str">
        <f>REPLACE(Table1[[#This Row],[Order_ID]],1,3,"YOO")</f>
        <v>YOO10284</v>
      </c>
      <c r="C285" t="str">
        <f>MID(Table1[[#This Row],[Order_ID]],4,4)</f>
        <v>1028</v>
      </c>
      <c r="D285" t="str">
        <f>LEFT(Table1[[#This Row],[Order_ID]],4)</f>
        <v>ORD1</v>
      </c>
      <c r="E285" t="str">
        <f>RIGHT(Table1[[#This Row],[Order_ID]],5)</f>
        <v>10284</v>
      </c>
      <c r="F285" t="s">
        <v>5</v>
      </c>
      <c r="G285">
        <v>10284</v>
      </c>
      <c r="H285" t="s">
        <v>1305</v>
      </c>
      <c r="I285" s="2">
        <f>EDATE(Table1[[#This Row],[Order_Date]],3)</f>
        <v>45901</v>
      </c>
      <c r="J285" s="2">
        <f>EDATE(Table1[[#This Row],[Order_Date]],6)</f>
        <v>45992</v>
      </c>
      <c r="K285">
        <f ca="1">YEAR(Table1[[#This Row],[Today]])</f>
        <v>2026</v>
      </c>
      <c r="L285">
        <v>284</v>
      </c>
      <c r="M285">
        <f ca="1">DAY(Table1[[#This Row],[Today]])</f>
        <v>11</v>
      </c>
      <c r="N285" s="19">
        <f t="shared" ca="1" si="34"/>
        <v>46245.589795370368</v>
      </c>
      <c r="O285" s="2">
        <f t="shared" ca="1" si="29"/>
        <v>46245</v>
      </c>
      <c r="P285" s="17">
        <f ca="1">Table1[[#This Row],[Today]]-Table1[[#This Row],[Order_Date]]</f>
        <v>436</v>
      </c>
      <c r="Q285" s="2">
        <v>45941</v>
      </c>
      <c r="R285" s="2">
        <v>45809</v>
      </c>
      <c r="S285" s="6">
        <f t="shared" si="32"/>
        <v>2025</v>
      </c>
      <c r="T285" s="7" t="str">
        <f t="shared" si="33"/>
        <v>June</v>
      </c>
      <c r="U285" s="2">
        <f>WORKDAY(Table1[[#This Row],[Order_Date]],5)</f>
        <v>45814</v>
      </c>
      <c r="V285" s="7" t="str">
        <f>CONCATENATE(Table1[[#This Row],[Customer_ID]],Table1[[#This Row],[Customer_Name]])</f>
        <v>C1100Riya Agarwal</v>
      </c>
      <c r="W285" t="s">
        <v>1164</v>
      </c>
      <c r="X285" t="s">
        <v>217</v>
      </c>
      <c r="Y285">
        <f>COUNTA(Table1[[#This Row],[Customer_Name]])</f>
        <v>1</v>
      </c>
      <c r="Z285" t="str">
        <f>SUBSTITUTE(Table1[[#This Row],[Customer_Name]]," ","_")</f>
        <v>Riya_Agarwal</v>
      </c>
      <c r="AA285" s="10">
        <f>IFERROR(SEARCH("a",Table1[[#This Row],[Customer_Name]]),"N/A")</f>
        <v>4</v>
      </c>
      <c r="AB285">
        <f>SEARCH(" ",Table1[[#This Row],[Customer_Name]])</f>
        <v>5</v>
      </c>
      <c r="AC285" s="11">
        <f>IFERROR(FIND("a",Table1[[#This Row],[Customer_Name]]),"N/A")</f>
        <v>4</v>
      </c>
      <c r="AD285">
        <f>FIND(" ",Table1[[#This Row],[Customer_Name]])</f>
        <v>5</v>
      </c>
      <c r="AE285" t="str">
        <f>TRIM(Table1[[#This Row],[Customer_Name]])</f>
        <v>Riya Agarwal</v>
      </c>
      <c r="AF285">
        <f>LEN(Table1[[#This Row],[Trimmed]])</f>
        <v>12</v>
      </c>
      <c r="AG285">
        <f>MAX(Table1[Length])</f>
        <v>15</v>
      </c>
      <c r="AH285" t="str">
        <f>PROPER(Table1[[#This Row],[Customer_Name]])</f>
        <v>Riya Agarwal</v>
      </c>
      <c r="AI285" t="str">
        <f>LOWER(Table1[[#This Row],[Customer_Name]])</f>
        <v>riya agarwal</v>
      </c>
      <c r="AJ285" t="str">
        <f>UPPER(Table1[[#This Row],[Customer_Name]])</f>
        <v>RIYA AGARWAL</v>
      </c>
      <c r="AK285" t="str">
        <f>CONCATENATE(Table1[[#This Row],[Customer_ID]],Table1[[#This Row],[Customer_Name]])</f>
        <v>C1100Riya Agarwal</v>
      </c>
      <c r="AL285" t="s">
        <v>218</v>
      </c>
      <c r="AM285" t="s">
        <v>219</v>
      </c>
      <c r="AN285" t="s">
        <v>220</v>
      </c>
      <c r="AO285" t="s">
        <v>218</v>
      </c>
      <c r="AP285" t="s">
        <v>219</v>
      </c>
      <c r="AQ285" t="s">
        <v>148</v>
      </c>
      <c r="AR285" t="str">
        <f>TRIM(Table1[[#This Row],[City]])</f>
        <v>Jaipur</v>
      </c>
      <c r="AS285" t="str">
        <f>PROPER(Table1[[#This Row],[City]])</f>
        <v>Jaipur</v>
      </c>
      <c r="AT285" t="s">
        <v>149</v>
      </c>
      <c r="AU285" t="str">
        <f>CONCATENATE(Table1[[#This Row],[City]],Table1[[#This Row],[State]])</f>
        <v>JaipurRajasthan</v>
      </c>
      <c r="AV285" t="s">
        <v>150</v>
      </c>
      <c r="AW285" t="s">
        <v>236</v>
      </c>
      <c r="AX285" t="str">
        <f>REPLACE(Table1[[#This Row],[Product_ID]],1,1,"s")</f>
        <v>s107</v>
      </c>
      <c r="AY285" t="s">
        <v>1306</v>
      </c>
      <c r="AZ285">
        <f>SEARCH("-",Table1[[#This Row],[Product ID]])</f>
        <v>2</v>
      </c>
      <c r="BA285">
        <f>FIND("-",Table1[[#This Row],[Product ID]])</f>
        <v>2</v>
      </c>
      <c r="BB285" t="str">
        <f>MID(Table1[[#This Row],[Product_ID]],2,3)</f>
        <v>107</v>
      </c>
      <c r="BC285" t="str">
        <f>RIGHT(Table1[[#This Row],[Product_ID]],3)</f>
        <v>107</v>
      </c>
      <c r="BD285" t="str">
        <f>LEFT(Table1[[#This Row],[Product_ID]],3)</f>
        <v>P10</v>
      </c>
      <c r="BE285" t="str">
        <f>_xlfn.XLOOKUP(Table1[[#This Row],[Product_ID]],AW:AW,BF:BF,,0)</f>
        <v>Casual Sneakers</v>
      </c>
      <c r="BF285" t="s">
        <v>238</v>
      </c>
      <c r="BG285">
        <f>LEN(Table1[[#This Row],[Product_Name]])</f>
        <v>15</v>
      </c>
      <c r="BH285" t="s">
        <v>224</v>
      </c>
      <c r="BI285">
        <f t="shared" si="35"/>
        <v>75</v>
      </c>
      <c r="BJ285" t="str">
        <f>SUBSTITUTE(Table1[[#This Row],[Category]],"Electronics","ELECTRONICS")</f>
        <v>Fashion</v>
      </c>
      <c r="BN285" t="s">
        <v>225</v>
      </c>
      <c r="BS285" s="14">
        <v>5</v>
      </c>
      <c r="BT285" s="3">
        <v>2799</v>
      </c>
      <c r="BU285" s="4">
        <v>10</v>
      </c>
      <c r="BV285" s="4" t="str">
        <f>IF(AND(Table1[[#This Row],[Quantity]]&gt;=3,Table1[[#This Row],[Discount_%]]&gt;=15%),"Bulk Discount","no")</f>
        <v>Bulk Discount</v>
      </c>
      <c r="BW285" s="4" t="str">
        <f>IF(AND(Table1[[#This Row],[Quantity]]&gt;3,Table1[[#This Row],[Discount_%]]&gt;15%),"Bulk Customer","Normal")</f>
        <v>Bulk Customer</v>
      </c>
      <c r="BX285" t="s">
        <v>330</v>
      </c>
      <c r="BY285" t="s">
        <v>136</v>
      </c>
      <c r="CC285" t="str">
        <f>IF(OR(Table1[[#This Row],[Order_Status]]="Returned",Table1[[#This Row],[Order_Status]]="Cancelled"),"Attention Required","Not")</f>
        <v>Not</v>
      </c>
      <c r="CD285" t="str">
        <f>IF(OR(Table1[[#This Row],[Order_Status]]="Returned",Table1[[#This Row],[Order_Status]]="Cancelled"),"Review","no")</f>
        <v>no</v>
      </c>
      <c r="CE285" t="str">
        <f>SUBSTITUTE(Table1[[#This Row],[Order_Status]],"Delivered","Completed")</f>
        <v>Completed</v>
      </c>
      <c r="CF285" s="2">
        <v>45811</v>
      </c>
      <c r="CG285" s="17">
        <f>NETWORKDAYS(Table1[[#This Row],[Order_Date]],Table1[[#This Row],[Delivery_Date]])</f>
        <v>2</v>
      </c>
      <c r="CH285" s="17">
        <f>Table1[[#This Row],[Delivery_Date]]-Table1[[#This Row],[Order_Date]]</f>
        <v>2</v>
      </c>
      <c r="CI285" t="s">
        <v>137</v>
      </c>
      <c r="CJ285" t="str">
        <f>IF(Table1[[#This Row],[Rating]]&gt;=4,"Good","Needs Improvement")</f>
        <v>Needs Improvement</v>
      </c>
      <c r="CK285" t="str">
        <f>IF(OR(Table1[[#This Row],[Rating]]&lt;=2,Table1[[#This Row],[Profit]]&lt;0),"Review","NO")</f>
        <v>Review</v>
      </c>
      <c r="CL285" t="e" cm="1">
        <f t="array" ref="CL285">_xlfn.IFS(Table1[[#This Row],[Rating]]&gt;2,"Poor",Table1[[#This Row],[Rating]]=3,"Average",Table1[[#This Row],[Rating]]=4,"Good",CP285=5,"Excellent")</f>
        <v>#N/A</v>
      </c>
      <c r="CM285">
        <f>COUNT(Table1[[#This Row],[Rating]])</f>
        <v>1</v>
      </c>
      <c r="CN285">
        <f>COUNTBLANK(Table1[[#This Row],[Rating]])</f>
        <v>0</v>
      </c>
      <c r="CP285" t="s">
        <v>266</v>
      </c>
      <c r="CQ285" s="14">
        <v>2</v>
      </c>
      <c r="CR285" t="s">
        <v>173</v>
      </c>
      <c r="CS285" t="s">
        <v>195</v>
      </c>
      <c r="CU285" s="3">
        <v>12595.5</v>
      </c>
      <c r="CV285" s="3">
        <f>ROUND(Table1[[#This Row],[Sales_Amount]],0)</f>
        <v>12596</v>
      </c>
      <c r="CW285" s="3"/>
      <c r="CX285" s="3"/>
      <c r="CY285" s="3" t="str">
        <f>IF(AND(Table1[[#This Row],[Sales_Amount]]&gt;=10000,Table1[[#This Row],[Profit]]&gt;0),"Good Order")</f>
        <v>Good Order</v>
      </c>
      <c r="CZ285" s="3" t="str">
        <f>IF(Table1[[#This Row],[Sales_Amount]]&gt;=10000,"High","Normal")</f>
        <v>High</v>
      </c>
      <c r="DA285" s="3">
        <v>5095.5</v>
      </c>
      <c r="DB285" s="3">
        <f>ROUND(Table1[[#This Row],[Profit]],0)</f>
        <v>5096</v>
      </c>
      <c r="DC285" s="3">
        <f>ABS(Table1[[#This Row],[Profit]])</f>
        <v>5095.5</v>
      </c>
      <c r="DD285" s="3"/>
      <c r="DE285" s="3"/>
      <c r="DF285" s="3"/>
      <c r="DG285" s="3" t="str">
        <f>IF(Table1[[#This Row],[Profit]]&gt;0,"Profit","Loss")</f>
        <v>Profit</v>
      </c>
      <c r="DH285" s="3" t="str">
        <f>IF(AND(Table1[[#This Row],[Sales_Amount]]&gt;=10000,Table1[[#This Row],[Profit]]&gt;0),"Priority","Normal")</f>
        <v>Priority</v>
      </c>
      <c r="DI285" s="3">
        <f t="shared" ca="1" si="30"/>
        <v>0.29718259658236335</v>
      </c>
      <c r="DJ285" s="3">
        <f t="shared" ca="1" si="31"/>
        <v>80</v>
      </c>
      <c r="DK285" s="3"/>
      <c r="DL285" s="3"/>
      <c r="DM285" s="3"/>
      <c r="DN285" s="3"/>
      <c r="DO285" s="3"/>
      <c r="DP285" s="3"/>
    </row>
    <row r="286" spans="1:120">
      <c r="A286" t="s">
        <v>1307</v>
      </c>
      <c r="B286" t="str">
        <f>REPLACE(Table1[[#This Row],[Order_ID]],1,3,"YOO")</f>
        <v>YOO10285</v>
      </c>
      <c r="C286" t="str">
        <f>MID(Table1[[#This Row],[Order_ID]],4,4)</f>
        <v>1028</v>
      </c>
      <c r="D286" t="str">
        <f>LEFT(Table1[[#This Row],[Order_ID]],4)</f>
        <v>ORD1</v>
      </c>
      <c r="E286" t="str">
        <f>RIGHT(Table1[[#This Row],[Order_ID]],5)</f>
        <v>10285</v>
      </c>
      <c r="F286" t="s">
        <v>5</v>
      </c>
      <c r="G286">
        <v>10285</v>
      </c>
      <c r="H286" t="s">
        <v>1308</v>
      </c>
      <c r="I286" s="2">
        <f>EDATE(Table1[[#This Row],[Order_Date]],3)</f>
        <v>45760</v>
      </c>
      <c r="J286" s="2">
        <f>EDATE(Table1[[#This Row],[Order_Date]],6)</f>
        <v>45851</v>
      </c>
      <c r="K286">
        <f ca="1">YEAR(Table1[[#This Row],[Today]])</f>
        <v>2026</v>
      </c>
      <c r="L286">
        <v>285</v>
      </c>
      <c r="M286">
        <f ca="1">DAY(Table1[[#This Row],[Today]])</f>
        <v>11</v>
      </c>
      <c r="N286" s="19">
        <f t="shared" ca="1" si="34"/>
        <v>46245.589795370368</v>
      </c>
      <c r="O286" s="2">
        <f t="shared" ca="1" si="29"/>
        <v>46245</v>
      </c>
      <c r="P286" s="17">
        <f ca="1">Table1[[#This Row],[Today]]-Table1[[#This Row],[Order_Date]]</f>
        <v>575</v>
      </c>
      <c r="Q286" s="2">
        <v>45942</v>
      </c>
      <c r="R286" s="2">
        <v>45670</v>
      </c>
      <c r="S286" s="6">
        <f t="shared" si="32"/>
        <v>2025</v>
      </c>
      <c r="T286" s="7" t="str">
        <f t="shared" si="33"/>
        <v>January</v>
      </c>
      <c r="U286" s="2">
        <f>WORKDAY(Table1[[#This Row],[Order_Date]],5)</f>
        <v>45677</v>
      </c>
      <c r="V286" s="7" t="str">
        <f>CONCATENATE(Table1[[#This Row],[Customer_ID]],Table1[[#This Row],[Customer_Name]])</f>
        <v>C1038Varun Tiwari</v>
      </c>
      <c r="W286" t="s">
        <v>997</v>
      </c>
      <c r="X286" t="s">
        <v>178</v>
      </c>
      <c r="Y286">
        <f>COUNTA(Table1[[#This Row],[Customer_Name]])</f>
        <v>1</v>
      </c>
      <c r="Z286" t="str">
        <f>SUBSTITUTE(Table1[[#This Row],[Customer_Name]]," ","_")</f>
        <v>Varun_Tiwari</v>
      </c>
      <c r="AA286" s="10">
        <f>IFERROR(SEARCH("a",Table1[[#This Row],[Customer_Name]]),"N/A")</f>
        <v>2</v>
      </c>
      <c r="AB286">
        <f>SEARCH(" ",Table1[[#This Row],[Customer_Name]])</f>
        <v>6</v>
      </c>
      <c r="AC286" s="11">
        <f>IFERROR(FIND("a",Table1[[#This Row],[Customer_Name]]),"N/A")</f>
        <v>2</v>
      </c>
      <c r="AD286">
        <f>FIND(" ",Table1[[#This Row],[Customer_Name]])</f>
        <v>6</v>
      </c>
      <c r="AE286" t="str">
        <f>TRIM(Table1[[#This Row],[Customer_Name]])</f>
        <v>Varun Tiwari</v>
      </c>
      <c r="AF286">
        <f>LEN(Table1[[#This Row],[Trimmed]])</f>
        <v>12</v>
      </c>
      <c r="AG286">
        <f>MAX(Table1[Length])</f>
        <v>15</v>
      </c>
      <c r="AH286" t="str">
        <f>PROPER(Table1[[#This Row],[Customer_Name]])</f>
        <v>Varun Tiwari</v>
      </c>
      <c r="AI286" t="str">
        <f>LOWER(Table1[[#This Row],[Customer_Name]])</f>
        <v>varun tiwari</v>
      </c>
      <c r="AJ286" t="str">
        <f>UPPER(Table1[[#This Row],[Customer_Name]])</f>
        <v>VARUN TIWARI</v>
      </c>
      <c r="AK286" t="str">
        <f>CONCATENATE(Table1[[#This Row],[Customer_ID]],Table1[[#This Row],[Customer_Name]])</f>
        <v>C1038Varun Tiwari</v>
      </c>
      <c r="AL286" t="s">
        <v>179</v>
      </c>
      <c r="AM286" t="s">
        <v>180</v>
      </c>
      <c r="AN286" t="s">
        <v>181</v>
      </c>
      <c r="AO286" t="s">
        <v>179</v>
      </c>
      <c r="AP286" t="s">
        <v>180</v>
      </c>
      <c r="AQ286" t="s">
        <v>284</v>
      </c>
      <c r="AR286" t="str">
        <f>TRIM(Table1[[#This Row],[City]])</f>
        <v>Hyderabad</v>
      </c>
      <c r="AS286" t="str">
        <f>PROPER(Table1[[#This Row],[City]])</f>
        <v>Hyderabad</v>
      </c>
      <c r="AT286" t="s">
        <v>285</v>
      </c>
      <c r="AU286" t="str">
        <f>CONCATENATE(Table1[[#This Row],[City]],Table1[[#This Row],[State]])</f>
        <v>HyderabadTelangana</v>
      </c>
      <c r="AV286" t="s">
        <v>168</v>
      </c>
      <c r="AW286" t="s">
        <v>477</v>
      </c>
      <c r="AX286" t="str">
        <f>REPLACE(Table1[[#This Row],[Product_ID]],1,1,"s")</f>
        <v>s109</v>
      </c>
      <c r="AY286" t="s">
        <v>1309</v>
      </c>
      <c r="AZ286">
        <f>SEARCH("-",Table1[[#This Row],[Product ID]])</f>
        <v>2</v>
      </c>
      <c r="BA286">
        <f>FIND("-",Table1[[#This Row],[Product ID]])</f>
        <v>2</v>
      </c>
      <c r="BB286" t="str">
        <f>MID(Table1[[#This Row],[Product_ID]],2,3)</f>
        <v>109</v>
      </c>
      <c r="BC286" t="str">
        <f>RIGHT(Table1[[#This Row],[Product_ID]],3)</f>
        <v>109</v>
      </c>
      <c r="BD286" t="str">
        <f>LEFT(Table1[[#This Row],[Product_ID]],3)</f>
        <v>P10</v>
      </c>
      <c r="BE286" t="str">
        <f>_xlfn.XLOOKUP(Table1[[#This Row],[Product_ID]],AW:AW,BF:BF,,0)</f>
        <v>Backpack</v>
      </c>
      <c r="BF286" t="s">
        <v>479</v>
      </c>
      <c r="BG286">
        <f>LEN(Table1[[#This Row],[Product_Name]])</f>
        <v>8</v>
      </c>
      <c r="BH286" t="s">
        <v>224</v>
      </c>
      <c r="BI286">
        <f t="shared" si="35"/>
        <v>75</v>
      </c>
      <c r="BJ286" t="str">
        <f>SUBSTITUTE(Table1[[#This Row],[Category]],"Electronics","ELECTRONICS")</f>
        <v>Fashion</v>
      </c>
      <c r="BN286" t="s">
        <v>480</v>
      </c>
      <c r="BS286" s="14">
        <v>5</v>
      </c>
      <c r="BT286" s="3">
        <v>2299</v>
      </c>
      <c r="BU286" s="4">
        <v>20</v>
      </c>
      <c r="BV286" s="4" t="str">
        <f>IF(AND(Table1[[#This Row],[Quantity]]&gt;=3,Table1[[#This Row],[Discount_%]]&gt;=15%),"Bulk Discount","no")</f>
        <v>Bulk Discount</v>
      </c>
      <c r="BW286" s="4" t="str">
        <f>IF(AND(Table1[[#This Row],[Quantity]]&gt;3,Table1[[#This Row],[Discount_%]]&gt;15%),"Bulk Customer","Normal")</f>
        <v>Bulk Customer</v>
      </c>
      <c r="BX286" t="s">
        <v>135</v>
      </c>
      <c r="BY286" t="s">
        <v>136</v>
      </c>
      <c r="CC286" t="str">
        <f>IF(OR(Table1[[#This Row],[Order_Status]]="Returned",Table1[[#This Row],[Order_Status]]="Cancelled"),"Attention Required","Not")</f>
        <v>Not</v>
      </c>
      <c r="CD286" t="str">
        <f>IF(OR(Table1[[#This Row],[Order_Status]]="Returned",Table1[[#This Row],[Order_Status]]="Cancelled"),"Review","no")</f>
        <v>no</v>
      </c>
      <c r="CE286" t="str">
        <f>SUBSTITUTE(Table1[[#This Row],[Order_Status]],"Delivered","Completed")</f>
        <v>Completed</v>
      </c>
      <c r="CF286" s="2">
        <v>45677</v>
      </c>
      <c r="CG286" s="17">
        <f>NETWORKDAYS(Table1[[#This Row],[Order_Date]],Table1[[#This Row],[Delivery_Date]])</f>
        <v>6</v>
      </c>
      <c r="CH286" s="17">
        <f>Table1[[#This Row],[Delivery_Date]]-Table1[[#This Row],[Order_Date]]</f>
        <v>7</v>
      </c>
      <c r="CI286" t="s">
        <v>137</v>
      </c>
      <c r="CJ286" t="str">
        <f>IF(Table1[[#This Row],[Rating]]&gt;=4,"Good","Needs Improvement")</f>
        <v>Needs Improvement</v>
      </c>
      <c r="CK286" t="str">
        <f>IF(OR(Table1[[#This Row],[Rating]]&lt;=2,Table1[[#This Row],[Profit]]&lt;0),"Review","NO")</f>
        <v>NO</v>
      </c>
      <c r="CL286" t="str" cm="1">
        <f t="array" ref="CL286">_xlfn.IFS(Table1[[#This Row],[Rating]]&gt;2,"Poor",Table1[[#This Row],[Rating]]=3,"Average",Table1[[#This Row],[Rating]]=4,"Good",CP286=5,"Excellent")</f>
        <v>Poor</v>
      </c>
      <c r="CM286">
        <f>COUNT(Table1[[#This Row],[Rating]])</f>
        <v>1</v>
      </c>
      <c r="CN286">
        <f>COUNTBLANK(Table1[[#This Row],[Rating]])</f>
        <v>0</v>
      </c>
      <c r="CP286" t="s">
        <v>266</v>
      </c>
      <c r="CQ286" s="14">
        <v>3</v>
      </c>
      <c r="CR286" t="s">
        <v>139</v>
      </c>
      <c r="CS286" t="s">
        <v>140</v>
      </c>
      <c r="CU286" s="3">
        <v>9196</v>
      </c>
      <c r="CV286" s="3">
        <f>ROUND(Table1[[#This Row],[Sales_Amount]],0)</f>
        <v>9196</v>
      </c>
      <c r="CW286" s="3"/>
      <c r="CX286" s="3"/>
      <c r="CY286" s="3" t="b">
        <f>IF(AND(Table1[[#This Row],[Sales_Amount]]&gt;=10000,Table1[[#This Row],[Profit]]&gt;0),"Good Order")</f>
        <v>0</v>
      </c>
      <c r="CZ286" s="3" t="str">
        <f>IF(Table1[[#This Row],[Sales_Amount]]&gt;=10000,"High","Normal")</f>
        <v>Normal</v>
      </c>
      <c r="DA286" s="3">
        <v>2946</v>
      </c>
      <c r="DB286" s="3">
        <f>ROUND(Table1[[#This Row],[Profit]],0)</f>
        <v>2946</v>
      </c>
      <c r="DC286" s="3">
        <f>ABS(Table1[[#This Row],[Profit]])</f>
        <v>2946</v>
      </c>
      <c r="DD286" s="3"/>
      <c r="DE286" s="3"/>
      <c r="DF286" s="3"/>
      <c r="DG286" s="3" t="str">
        <f>IF(Table1[[#This Row],[Profit]]&gt;0,"Profit","Loss")</f>
        <v>Profit</v>
      </c>
      <c r="DH286" s="3" t="str">
        <f>IF(AND(Table1[[#This Row],[Sales_Amount]]&gt;=10000,Table1[[#This Row],[Profit]]&gt;0),"Priority","Normal")</f>
        <v>Normal</v>
      </c>
      <c r="DI286" s="3">
        <f t="shared" ca="1" si="30"/>
        <v>0.91357135300193792</v>
      </c>
      <c r="DJ286" s="3">
        <f t="shared" ca="1" si="31"/>
        <v>51</v>
      </c>
      <c r="DK286" s="3"/>
      <c r="DL286" s="3"/>
      <c r="DM286" s="3"/>
      <c r="DN286" s="3"/>
      <c r="DO286" s="3"/>
      <c r="DP286" s="3"/>
    </row>
    <row r="287" spans="1:120">
      <c r="A287" t="s">
        <v>1310</v>
      </c>
      <c r="B287" t="str">
        <f>REPLACE(Table1[[#This Row],[Order_ID]],1,3,"YOO")</f>
        <v>YOO10286</v>
      </c>
      <c r="C287" t="str">
        <f>MID(Table1[[#This Row],[Order_ID]],4,4)</f>
        <v>1028</v>
      </c>
      <c r="D287" t="str">
        <f>LEFT(Table1[[#This Row],[Order_ID]],4)</f>
        <v>ORD1</v>
      </c>
      <c r="E287" t="str">
        <f>RIGHT(Table1[[#This Row],[Order_ID]],5)</f>
        <v>10286</v>
      </c>
      <c r="F287" t="s">
        <v>5</v>
      </c>
      <c r="G287">
        <v>10286</v>
      </c>
      <c r="H287" t="s">
        <v>1311</v>
      </c>
      <c r="I287" s="2">
        <f>EDATE(Table1[[#This Row],[Order_Date]],3)</f>
        <v>46042</v>
      </c>
      <c r="J287" s="2">
        <f>EDATE(Table1[[#This Row],[Order_Date]],6)</f>
        <v>46132</v>
      </c>
      <c r="K287">
        <f ca="1">YEAR(Table1[[#This Row],[Today]])</f>
        <v>2026</v>
      </c>
      <c r="L287">
        <v>286</v>
      </c>
      <c r="M287">
        <f ca="1">DAY(Table1[[#This Row],[Today]])</f>
        <v>11</v>
      </c>
      <c r="N287" s="19">
        <f t="shared" ca="1" si="34"/>
        <v>46245.589795138891</v>
      </c>
      <c r="O287" s="2">
        <f t="shared" ca="1" si="29"/>
        <v>46245</v>
      </c>
      <c r="P287" s="17">
        <f ca="1">Table1[[#This Row],[Today]]-Table1[[#This Row],[Order_Date]]</f>
        <v>295</v>
      </c>
      <c r="Q287" s="2">
        <v>45943</v>
      </c>
      <c r="R287" s="2">
        <v>45950</v>
      </c>
      <c r="S287" s="6">
        <f t="shared" si="32"/>
        <v>2025</v>
      </c>
      <c r="T287" s="7" t="str">
        <f t="shared" si="33"/>
        <v>October</v>
      </c>
      <c r="U287" s="2">
        <f>WORKDAY(Table1[[#This Row],[Order_Date]],5)</f>
        <v>45957</v>
      </c>
      <c r="V287" s="7" t="str">
        <f>CONCATENATE(Table1[[#This Row],[Customer_ID]],Table1[[#This Row],[Customer_Name]])</f>
        <v>C1125Varun Tiwari</v>
      </c>
      <c r="W287" t="s">
        <v>517</v>
      </c>
      <c r="X287" t="s">
        <v>178</v>
      </c>
      <c r="Y287">
        <f>COUNTA(Table1[[#This Row],[Customer_Name]])</f>
        <v>1</v>
      </c>
      <c r="Z287" t="str">
        <f>SUBSTITUTE(Table1[[#This Row],[Customer_Name]]," ","_")</f>
        <v>Varun_Tiwari</v>
      </c>
      <c r="AA287" s="10">
        <f>IFERROR(SEARCH("a",Table1[[#This Row],[Customer_Name]]),"N/A")</f>
        <v>2</v>
      </c>
      <c r="AB287">
        <f>SEARCH(" ",Table1[[#This Row],[Customer_Name]])</f>
        <v>6</v>
      </c>
      <c r="AC287" s="11">
        <f>IFERROR(FIND("a",Table1[[#This Row],[Customer_Name]]),"N/A")</f>
        <v>2</v>
      </c>
      <c r="AD287">
        <f>FIND(" ",Table1[[#This Row],[Customer_Name]])</f>
        <v>6</v>
      </c>
      <c r="AE287" t="str">
        <f>TRIM(Table1[[#This Row],[Customer_Name]])</f>
        <v>Varun Tiwari</v>
      </c>
      <c r="AF287">
        <f>LEN(Table1[[#This Row],[Trimmed]])</f>
        <v>12</v>
      </c>
      <c r="AG287">
        <f>MAX(Table1[Length])</f>
        <v>15</v>
      </c>
      <c r="AH287" t="str">
        <f>PROPER(Table1[[#This Row],[Customer_Name]])</f>
        <v>Varun Tiwari</v>
      </c>
      <c r="AI287" t="str">
        <f>LOWER(Table1[[#This Row],[Customer_Name]])</f>
        <v>varun tiwari</v>
      </c>
      <c r="AJ287" t="str">
        <f>UPPER(Table1[[#This Row],[Customer_Name]])</f>
        <v>VARUN TIWARI</v>
      </c>
      <c r="AK287" t="str">
        <f>CONCATENATE(Table1[[#This Row],[Customer_ID]],Table1[[#This Row],[Customer_Name]])</f>
        <v>C1125Varun Tiwari</v>
      </c>
      <c r="AL287" t="s">
        <v>179</v>
      </c>
      <c r="AM287" t="s">
        <v>180</v>
      </c>
      <c r="AN287" t="s">
        <v>181</v>
      </c>
      <c r="AO287" t="s">
        <v>179</v>
      </c>
      <c r="AP287" t="s">
        <v>180</v>
      </c>
      <c r="AQ287" t="s">
        <v>127</v>
      </c>
      <c r="AR287" t="str">
        <f>TRIM(Table1[[#This Row],[City]])</f>
        <v>Pune</v>
      </c>
      <c r="AS287" t="str">
        <f>PROPER(Table1[[#This Row],[City]])</f>
        <v>Pune</v>
      </c>
      <c r="AT287" t="s">
        <v>128</v>
      </c>
      <c r="AU287" t="str">
        <f>CONCATENATE(Table1[[#This Row],[City]],Table1[[#This Row],[State]])</f>
        <v>PuneMaharashtra</v>
      </c>
      <c r="AV287" t="s">
        <v>129</v>
      </c>
      <c r="AW287" t="s">
        <v>363</v>
      </c>
      <c r="AX287" t="str">
        <f>REPLACE(Table1[[#This Row],[Product_ID]],1,1,"s")</f>
        <v>s110</v>
      </c>
      <c r="AY287" t="s">
        <v>1312</v>
      </c>
      <c r="AZ287">
        <f>SEARCH("-",Table1[[#This Row],[Product ID]])</f>
        <v>2</v>
      </c>
      <c r="BA287">
        <f>FIND("-",Table1[[#This Row],[Product ID]])</f>
        <v>2</v>
      </c>
      <c r="BB287" t="str">
        <f>MID(Table1[[#This Row],[Product_ID]],2,3)</f>
        <v>110</v>
      </c>
      <c r="BC287" t="str">
        <f>RIGHT(Table1[[#This Row],[Product_ID]],3)</f>
        <v>110</v>
      </c>
      <c r="BD287" t="str">
        <f>LEFT(Table1[[#This Row],[Product_ID]],3)</f>
        <v>P11</v>
      </c>
      <c r="BE287" t="str">
        <f>_xlfn.XLOOKUP(Table1[[#This Row],[Product_ID]],AW:AW,BF:BF,,0)</f>
        <v>Smart Watch</v>
      </c>
      <c r="BF287" t="s">
        <v>365</v>
      </c>
      <c r="BG287">
        <f>LEN(Table1[[#This Row],[Product_Name]])</f>
        <v>11</v>
      </c>
      <c r="BH287" t="s">
        <v>154</v>
      </c>
      <c r="BI287">
        <f t="shared" si="35"/>
        <v>75</v>
      </c>
      <c r="BJ287" t="str">
        <f>SUBSTITUTE(Table1[[#This Row],[Category]],"Electronics","ELECTRONICS")</f>
        <v>ELECTRONICS</v>
      </c>
      <c r="BN287" t="s">
        <v>366</v>
      </c>
      <c r="BS287" s="14">
        <v>5</v>
      </c>
      <c r="BT287" s="3">
        <v>4999</v>
      </c>
      <c r="BU287" s="4">
        <v>15</v>
      </c>
      <c r="BV287" s="4" t="str">
        <f>IF(AND(Table1[[#This Row],[Quantity]]&gt;=3,Table1[[#This Row],[Discount_%]]&gt;=15%),"Bulk Discount","no")</f>
        <v>Bulk Discount</v>
      </c>
      <c r="BW287" s="4" t="str">
        <f>IF(AND(Table1[[#This Row],[Quantity]]&gt;3,Table1[[#This Row],[Discount_%]]&gt;15%),"Bulk Customer","Normal")</f>
        <v>Bulk Customer</v>
      </c>
      <c r="BX287" t="s">
        <v>135</v>
      </c>
      <c r="BY287" t="s">
        <v>136</v>
      </c>
      <c r="CC287" t="str">
        <f>IF(OR(Table1[[#This Row],[Order_Status]]="Returned",Table1[[#This Row],[Order_Status]]="Cancelled"),"Attention Required","Not")</f>
        <v>Not</v>
      </c>
      <c r="CD287" t="str">
        <f>IF(OR(Table1[[#This Row],[Order_Status]]="Returned",Table1[[#This Row],[Order_Status]]="Cancelled"),"Review","no")</f>
        <v>no</v>
      </c>
      <c r="CE287" t="str">
        <f>SUBSTITUTE(Table1[[#This Row],[Order_Status]],"Delivered","Completed")</f>
        <v>Completed</v>
      </c>
      <c r="CF287" s="2">
        <v>45955</v>
      </c>
      <c r="CG287" s="17">
        <f>NETWORKDAYS(Table1[[#This Row],[Order_Date]],Table1[[#This Row],[Delivery_Date]])</f>
        <v>5</v>
      </c>
      <c r="CH287" s="17">
        <f>Table1[[#This Row],[Delivery_Date]]-Table1[[#This Row],[Order_Date]]</f>
        <v>5</v>
      </c>
      <c r="CI287" t="s">
        <v>137</v>
      </c>
      <c r="CJ287" t="str">
        <f>IF(Table1[[#This Row],[Rating]]&gt;=4,"Good","Needs Improvement")</f>
        <v>Good</v>
      </c>
      <c r="CK287" t="str">
        <f>IF(OR(Table1[[#This Row],[Rating]]&lt;=2,Table1[[#This Row],[Profit]]&lt;0),"Review","NO")</f>
        <v>NO</v>
      </c>
      <c r="CL287" t="str" cm="1">
        <f t="array" ref="CL287">_xlfn.IFS(Table1[[#This Row],[Rating]]&gt;2,"Poor",Table1[[#This Row],[Rating]]=3,"Average",Table1[[#This Row],[Rating]]=4,"Good",CP287=5,"Excellent")</f>
        <v>Poor</v>
      </c>
      <c r="CM287">
        <f>COUNT(Table1[[#This Row],[Rating]])</f>
        <v>1</v>
      </c>
      <c r="CN287">
        <f>COUNTBLANK(Table1[[#This Row],[Rating]])</f>
        <v>0</v>
      </c>
      <c r="CP287" t="s">
        <v>138</v>
      </c>
      <c r="CQ287" s="14">
        <v>5</v>
      </c>
      <c r="CR287" t="s">
        <v>139</v>
      </c>
      <c r="CS287" t="s">
        <v>158</v>
      </c>
      <c r="CU287" s="3">
        <v>21245.75</v>
      </c>
      <c r="CV287" s="3">
        <f>ROUND(Table1[[#This Row],[Sales_Amount]],0)</f>
        <v>21246</v>
      </c>
      <c r="CW287" s="3"/>
      <c r="CX287" s="3"/>
      <c r="CY287" s="3" t="str">
        <f>IF(AND(Table1[[#This Row],[Sales_Amount]]&gt;=10000,Table1[[#This Row],[Profit]]&gt;0),"Good Order")</f>
        <v>Good Order</v>
      </c>
      <c r="CZ287" s="3" t="str">
        <f>IF(Table1[[#This Row],[Sales_Amount]]&gt;=10000,"High","Normal")</f>
        <v>High</v>
      </c>
      <c r="DA287" s="3">
        <v>5745.75</v>
      </c>
      <c r="DB287" s="3">
        <f>ROUND(Table1[[#This Row],[Profit]],0)</f>
        <v>5746</v>
      </c>
      <c r="DC287" s="3">
        <f>ABS(Table1[[#This Row],[Profit]])</f>
        <v>5745.75</v>
      </c>
      <c r="DD287" s="3"/>
      <c r="DE287" s="3"/>
      <c r="DF287" s="3"/>
      <c r="DG287" s="3" t="str">
        <f>IF(Table1[[#This Row],[Profit]]&gt;0,"Profit","Loss")</f>
        <v>Profit</v>
      </c>
      <c r="DH287" s="3" t="str">
        <f>IF(AND(Table1[[#This Row],[Sales_Amount]]&gt;=10000,Table1[[#This Row],[Profit]]&gt;0),"Priority","Normal")</f>
        <v>Priority</v>
      </c>
      <c r="DI287" s="3">
        <f t="shared" ca="1" si="30"/>
        <v>0.13103776251609023</v>
      </c>
      <c r="DJ287" s="3">
        <f t="shared" ca="1" si="31"/>
        <v>72</v>
      </c>
      <c r="DK287" s="3"/>
      <c r="DL287" s="3"/>
      <c r="DM287" s="3"/>
      <c r="DN287" s="3"/>
      <c r="DO287" s="3"/>
      <c r="DP287" s="3"/>
    </row>
    <row r="288" spans="1:120">
      <c r="A288" t="s">
        <v>1313</v>
      </c>
      <c r="B288" t="str">
        <f>REPLACE(Table1[[#This Row],[Order_ID]],1,3,"YOO")</f>
        <v>YOO10287</v>
      </c>
      <c r="C288" t="str">
        <f>MID(Table1[[#This Row],[Order_ID]],4,4)</f>
        <v>1028</v>
      </c>
      <c r="D288" t="str">
        <f>LEFT(Table1[[#This Row],[Order_ID]],4)</f>
        <v>ORD1</v>
      </c>
      <c r="E288" t="str">
        <f>RIGHT(Table1[[#This Row],[Order_ID]],5)</f>
        <v>10287</v>
      </c>
      <c r="F288" t="s">
        <v>5</v>
      </c>
      <c r="G288">
        <v>10287</v>
      </c>
      <c r="H288" t="s">
        <v>1314</v>
      </c>
      <c r="I288" s="2">
        <f>EDATE(Table1[[#This Row],[Order_Date]],3)</f>
        <v>45897</v>
      </c>
      <c r="J288" s="2">
        <f>EDATE(Table1[[#This Row],[Order_Date]],6)</f>
        <v>45989</v>
      </c>
      <c r="K288">
        <f ca="1">YEAR(Table1[[#This Row],[Today]])</f>
        <v>2026</v>
      </c>
      <c r="L288">
        <v>287</v>
      </c>
      <c r="M288">
        <f ca="1">DAY(Table1[[#This Row],[Today]])</f>
        <v>11</v>
      </c>
      <c r="N288" s="19">
        <f t="shared" ca="1" si="34"/>
        <v>46245.589795370368</v>
      </c>
      <c r="O288" s="2">
        <f t="shared" ca="1" si="29"/>
        <v>46245</v>
      </c>
      <c r="P288" s="17">
        <f ca="1">Table1[[#This Row],[Today]]-Table1[[#This Row],[Order_Date]]</f>
        <v>440</v>
      </c>
      <c r="Q288" s="2">
        <v>45944</v>
      </c>
      <c r="R288" s="2">
        <v>45805</v>
      </c>
      <c r="S288" s="6">
        <f t="shared" si="32"/>
        <v>2025</v>
      </c>
      <c r="T288" s="7" t="str">
        <f t="shared" si="33"/>
        <v>May</v>
      </c>
      <c r="U288" s="2">
        <f>WORKDAY(Table1[[#This Row],[Order_Date]],5)</f>
        <v>45812</v>
      </c>
      <c r="V288" s="7" t="str">
        <f>CONCATENATE(Table1[[#This Row],[Customer_ID]],Table1[[#This Row],[Customer_Name]])</f>
        <v>C1061Priya Verma</v>
      </c>
      <c r="W288" t="s">
        <v>395</v>
      </c>
      <c r="X288" t="s">
        <v>335</v>
      </c>
      <c r="Y288">
        <f>COUNTA(Table1[[#This Row],[Customer_Name]])</f>
        <v>1</v>
      </c>
      <c r="Z288" t="str">
        <f>SUBSTITUTE(Table1[[#This Row],[Customer_Name]]," ","_")</f>
        <v>Priya_Verma</v>
      </c>
      <c r="AA288" s="10">
        <f>IFERROR(SEARCH("a",Table1[[#This Row],[Customer_Name]]),"N/A")</f>
        <v>5</v>
      </c>
      <c r="AB288">
        <f>SEARCH(" ",Table1[[#This Row],[Customer_Name]])</f>
        <v>6</v>
      </c>
      <c r="AC288" s="11">
        <f>IFERROR(FIND("a",Table1[[#This Row],[Customer_Name]]),"N/A")</f>
        <v>5</v>
      </c>
      <c r="AD288">
        <f>FIND(" ",Table1[[#This Row],[Customer_Name]])</f>
        <v>6</v>
      </c>
      <c r="AE288" t="str">
        <f>TRIM(Table1[[#This Row],[Customer_Name]])</f>
        <v>Priya Verma</v>
      </c>
      <c r="AF288">
        <f>LEN(Table1[[#This Row],[Trimmed]])</f>
        <v>11</v>
      </c>
      <c r="AG288">
        <f>MAX(Table1[Length])</f>
        <v>15</v>
      </c>
      <c r="AH288" t="str">
        <f>PROPER(Table1[[#This Row],[Customer_Name]])</f>
        <v>Priya Verma</v>
      </c>
      <c r="AI288" t="str">
        <f>LOWER(Table1[[#This Row],[Customer_Name]])</f>
        <v>priya verma</v>
      </c>
      <c r="AJ288" t="str">
        <f>UPPER(Table1[[#This Row],[Customer_Name]])</f>
        <v>PRIYA VERMA</v>
      </c>
      <c r="AK288" t="str">
        <f>CONCATENATE(Table1[[#This Row],[Customer_ID]],Table1[[#This Row],[Customer_Name]])</f>
        <v>C1061Priya Verma</v>
      </c>
      <c r="AL288" t="s">
        <v>174</v>
      </c>
      <c r="AM288" t="s">
        <v>336</v>
      </c>
      <c r="AN288" t="s">
        <v>337</v>
      </c>
      <c r="AO288" t="s">
        <v>174</v>
      </c>
      <c r="AP288" t="s">
        <v>336</v>
      </c>
      <c r="AQ288" t="s">
        <v>166</v>
      </c>
      <c r="AR288" t="str">
        <f>TRIM(Table1[[#This Row],[City]])</f>
        <v>Bengaluru</v>
      </c>
      <c r="AS288" t="str">
        <f>PROPER(Table1[[#This Row],[City]])</f>
        <v>Bengaluru</v>
      </c>
      <c r="AT288" t="s">
        <v>167</v>
      </c>
      <c r="AU288" t="str">
        <f>CONCATENATE(Table1[[#This Row],[City]],Table1[[#This Row],[State]])</f>
        <v>BengaluruKarnataka</v>
      </c>
      <c r="AV288" t="s">
        <v>168</v>
      </c>
      <c r="AW288" t="s">
        <v>183</v>
      </c>
      <c r="AX288" t="str">
        <f>REPLACE(Table1[[#This Row],[Product_ID]],1,1,"s")</f>
        <v>s105</v>
      </c>
      <c r="AY288" t="s">
        <v>1315</v>
      </c>
      <c r="AZ288">
        <f>SEARCH("-",Table1[[#This Row],[Product ID]])</f>
        <v>2</v>
      </c>
      <c r="BA288">
        <f>FIND("-",Table1[[#This Row],[Product ID]])</f>
        <v>2</v>
      </c>
      <c r="BB288" t="str">
        <f>MID(Table1[[#This Row],[Product_ID]],2,3)</f>
        <v>105</v>
      </c>
      <c r="BC288" t="str">
        <f>RIGHT(Table1[[#This Row],[Product_ID]],3)</f>
        <v>105</v>
      </c>
      <c r="BD288" t="str">
        <f>LEFT(Table1[[#This Row],[Product_ID]],3)</f>
        <v>P10</v>
      </c>
      <c r="BE288" t="str">
        <f>_xlfn.XLOOKUP(Table1[[#This Row],[Product_ID]],AW:AW,BF:BF,,0)</f>
        <v>Bluetooth Speaker</v>
      </c>
      <c r="BF288" t="s">
        <v>185</v>
      </c>
      <c r="BG288">
        <f>LEN(Table1[[#This Row],[Product_Name]])</f>
        <v>17</v>
      </c>
      <c r="BH288" t="s">
        <v>154</v>
      </c>
      <c r="BI288">
        <f t="shared" si="35"/>
        <v>75</v>
      </c>
      <c r="BJ288" t="str">
        <f>SUBSTITUTE(Table1[[#This Row],[Category]],"Electronics","ELECTRONICS")</f>
        <v>ELECTRONICS</v>
      </c>
      <c r="BN288" t="s">
        <v>186</v>
      </c>
      <c r="BS288" s="14">
        <v>5</v>
      </c>
      <c r="BT288" s="3">
        <v>2999</v>
      </c>
      <c r="BU288" s="4">
        <v>20</v>
      </c>
      <c r="BV288" s="4" t="str">
        <f>IF(AND(Table1[[#This Row],[Quantity]]&gt;=3,Table1[[#This Row],[Discount_%]]&gt;=15%),"Bulk Discount","no")</f>
        <v>Bulk Discount</v>
      </c>
      <c r="BW288" s="4" t="str">
        <f>IF(AND(Table1[[#This Row],[Quantity]]&gt;3,Table1[[#This Row],[Discount_%]]&gt;15%),"Bulk Customer","Normal")</f>
        <v>Bulk Customer</v>
      </c>
      <c r="BX288" t="s">
        <v>330</v>
      </c>
      <c r="BY288" t="s">
        <v>136</v>
      </c>
      <c r="CC288" t="str">
        <f>IF(OR(Table1[[#This Row],[Order_Status]]="Returned",Table1[[#This Row],[Order_Status]]="Cancelled"),"Attention Required","Not")</f>
        <v>Not</v>
      </c>
      <c r="CD288" t="str">
        <f>IF(OR(Table1[[#This Row],[Order_Status]]="Returned",Table1[[#This Row],[Order_Status]]="Cancelled"),"Review","no")</f>
        <v>no</v>
      </c>
      <c r="CE288" t="str">
        <f>SUBSTITUTE(Table1[[#This Row],[Order_Status]],"Delivered","Completed")</f>
        <v>Completed</v>
      </c>
      <c r="CF288" s="2">
        <v>45812</v>
      </c>
      <c r="CG288" s="17">
        <f>NETWORKDAYS(Table1[[#This Row],[Order_Date]],Table1[[#This Row],[Delivery_Date]])</f>
        <v>6</v>
      </c>
      <c r="CH288" s="17">
        <f>Table1[[#This Row],[Delivery_Date]]-Table1[[#This Row],[Order_Date]]</f>
        <v>7</v>
      </c>
      <c r="CI288" t="s">
        <v>137</v>
      </c>
      <c r="CJ288" t="str">
        <f>IF(Table1[[#This Row],[Rating]]&gt;=4,"Good","Needs Improvement")</f>
        <v>Good</v>
      </c>
      <c r="CK288" t="str">
        <f>IF(OR(Table1[[#This Row],[Rating]]&lt;=2,Table1[[#This Row],[Profit]]&lt;0),"Review","NO")</f>
        <v>NO</v>
      </c>
      <c r="CL288" t="str" cm="1">
        <f t="array" ref="CL288">_xlfn.IFS(Table1[[#This Row],[Rating]]&gt;2,"Poor",Table1[[#This Row],[Rating]]=3,"Average",Table1[[#This Row],[Rating]]=4,"Good",CP288=5,"Excellent")</f>
        <v>Poor</v>
      </c>
      <c r="CM288">
        <f>COUNT(Table1[[#This Row],[Rating]])</f>
        <v>1</v>
      </c>
      <c r="CN288">
        <f>COUNTBLANK(Table1[[#This Row],[Rating]])</f>
        <v>0</v>
      </c>
      <c r="CP288" t="s">
        <v>157</v>
      </c>
      <c r="CQ288" s="14">
        <v>5</v>
      </c>
      <c r="CR288" t="s">
        <v>173</v>
      </c>
      <c r="CS288" t="s">
        <v>140</v>
      </c>
      <c r="CU288" s="3">
        <v>11996</v>
      </c>
      <c r="CV288" s="3">
        <f>ROUND(Table1[[#This Row],[Sales_Amount]],0)</f>
        <v>11996</v>
      </c>
      <c r="CW288" s="3"/>
      <c r="CX288" s="3"/>
      <c r="CY288" s="3" t="str">
        <f>IF(AND(Table1[[#This Row],[Sales_Amount]]&gt;=10000,Table1[[#This Row],[Profit]]&gt;0),"Good Order")</f>
        <v>Good Order</v>
      </c>
      <c r="CZ288" s="3" t="str">
        <f>IF(Table1[[#This Row],[Sales_Amount]]&gt;=10000,"High","Normal")</f>
        <v>High</v>
      </c>
      <c r="DA288" s="3">
        <v>3246</v>
      </c>
      <c r="DB288" s="3">
        <f>ROUND(Table1[[#This Row],[Profit]],0)</f>
        <v>3246</v>
      </c>
      <c r="DC288" s="3">
        <f>ABS(Table1[[#This Row],[Profit]])</f>
        <v>3246</v>
      </c>
      <c r="DD288" s="3"/>
      <c r="DE288" s="3"/>
      <c r="DF288" s="3"/>
      <c r="DG288" s="3" t="str">
        <f>IF(Table1[[#This Row],[Profit]]&gt;0,"Profit","Loss")</f>
        <v>Profit</v>
      </c>
      <c r="DH288" s="3" t="str">
        <f>IF(AND(Table1[[#This Row],[Sales_Amount]]&gt;=10000,Table1[[#This Row],[Profit]]&gt;0),"Priority","Normal")</f>
        <v>Priority</v>
      </c>
      <c r="DI288" s="3">
        <f t="shared" ca="1" si="30"/>
        <v>7.6441889708726118E-2</v>
      </c>
      <c r="DJ288" s="3">
        <f t="shared" ca="1" si="31"/>
        <v>76</v>
      </c>
      <c r="DK288" s="3"/>
      <c r="DL288" s="3"/>
      <c r="DM288" s="3"/>
      <c r="DN288" s="3"/>
      <c r="DO288" s="3"/>
      <c r="DP288" s="3"/>
    </row>
    <row r="289" spans="1:120">
      <c r="A289" t="s">
        <v>1316</v>
      </c>
      <c r="B289" t="str">
        <f>REPLACE(Table1[[#This Row],[Order_ID]],1,3,"YOO")</f>
        <v>YOO10288</v>
      </c>
      <c r="C289" t="str">
        <f>MID(Table1[[#This Row],[Order_ID]],4,4)</f>
        <v>1028</v>
      </c>
      <c r="D289" t="str">
        <f>LEFT(Table1[[#This Row],[Order_ID]],4)</f>
        <v>ORD1</v>
      </c>
      <c r="E289" t="str">
        <f>RIGHT(Table1[[#This Row],[Order_ID]],5)</f>
        <v>10288</v>
      </c>
      <c r="F289" t="s">
        <v>5</v>
      </c>
      <c r="G289">
        <v>10288</v>
      </c>
      <c r="H289" t="s">
        <v>1317</v>
      </c>
      <c r="I289" s="2">
        <f>EDATE(Table1[[#This Row],[Order_Date]],3)</f>
        <v>46068</v>
      </c>
      <c r="J289" s="2">
        <f>EDATE(Table1[[#This Row],[Order_Date]],6)</f>
        <v>46157</v>
      </c>
      <c r="K289">
        <f ca="1">YEAR(Table1[[#This Row],[Today]])</f>
        <v>2026</v>
      </c>
      <c r="L289">
        <v>288</v>
      </c>
      <c r="M289">
        <f ca="1">DAY(Table1[[#This Row],[Today]])</f>
        <v>11</v>
      </c>
      <c r="N289" s="19">
        <f t="shared" ca="1" si="34"/>
        <v>46245.589795370368</v>
      </c>
      <c r="O289" s="2">
        <f t="shared" ca="1" si="29"/>
        <v>46245</v>
      </c>
      <c r="P289" s="17">
        <f ca="1">Table1[[#This Row],[Today]]-Table1[[#This Row],[Order_Date]]</f>
        <v>269</v>
      </c>
      <c r="Q289" s="2">
        <v>45945</v>
      </c>
      <c r="R289" s="2">
        <v>45976</v>
      </c>
      <c r="S289" s="6">
        <f t="shared" si="32"/>
        <v>2025</v>
      </c>
      <c r="T289" s="7" t="str">
        <f t="shared" si="33"/>
        <v>November</v>
      </c>
      <c r="U289" s="2">
        <f>WORKDAY(Table1[[#This Row],[Order_Date]],5)</f>
        <v>45982</v>
      </c>
      <c r="V289" s="7" t="str">
        <f>CONCATENATE(Table1[[#This Row],[Customer_ID]],Table1[[#This Row],[Customer_Name]])</f>
        <v>C1035Pooja Jain</v>
      </c>
      <c r="W289" t="s">
        <v>369</v>
      </c>
      <c r="X289" t="s">
        <v>419</v>
      </c>
      <c r="Y289">
        <f>COUNTA(Table1[[#This Row],[Customer_Name]])</f>
        <v>1</v>
      </c>
      <c r="Z289" t="str">
        <f>SUBSTITUTE(Table1[[#This Row],[Customer_Name]]," ","_")</f>
        <v>Pooja_Jain</v>
      </c>
      <c r="AA289" s="10">
        <f>IFERROR(SEARCH("a",Table1[[#This Row],[Customer_Name]]),"N/A")</f>
        <v>5</v>
      </c>
      <c r="AB289">
        <f>SEARCH(" ",Table1[[#This Row],[Customer_Name]])</f>
        <v>6</v>
      </c>
      <c r="AC289" s="11">
        <f>IFERROR(FIND("a",Table1[[#This Row],[Customer_Name]]),"N/A")</f>
        <v>5</v>
      </c>
      <c r="AD289">
        <f>FIND(" ",Table1[[#This Row],[Customer_Name]])</f>
        <v>6</v>
      </c>
      <c r="AE289" t="str">
        <f>TRIM(Table1[[#This Row],[Customer_Name]])</f>
        <v>Pooja Jain</v>
      </c>
      <c r="AF289">
        <f>LEN(Table1[[#This Row],[Trimmed]])</f>
        <v>10</v>
      </c>
      <c r="AG289">
        <f>MAX(Table1[Length])</f>
        <v>15</v>
      </c>
      <c r="AH289" t="str">
        <f>PROPER(Table1[[#This Row],[Customer_Name]])</f>
        <v>Pooja Jain</v>
      </c>
      <c r="AI289" t="str">
        <f>LOWER(Table1[[#This Row],[Customer_Name]])</f>
        <v>pooja jain</v>
      </c>
      <c r="AJ289" t="str">
        <f>UPPER(Table1[[#This Row],[Customer_Name]])</f>
        <v>POOJA JAIN</v>
      </c>
      <c r="AK289" t="str">
        <f>CONCATENATE(Table1[[#This Row],[Customer_ID]],Table1[[#This Row],[Customer_Name]])</f>
        <v>C1035Pooja Jain</v>
      </c>
      <c r="AL289" t="s">
        <v>420</v>
      </c>
      <c r="AM289" t="s">
        <v>421</v>
      </c>
      <c r="AN289" t="s">
        <v>422</v>
      </c>
      <c r="AO289" t="s">
        <v>420</v>
      </c>
      <c r="AP289" t="s">
        <v>421</v>
      </c>
      <c r="AQ289" t="s">
        <v>379</v>
      </c>
      <c r="AR289" t="str">
        <f>TRIM(Table1[[#This Row],[City]])</f>
        <v>Indore</v>
      </c>
      <c r="AS289" t="str">
        <f>PROPER(Table1[[#This Row],[City]])</f>
        <v>Indore</v>
      </c>
      <c r="AT289" t="s">
        <v>345</v>
      </c>
      <c r="AU289" t="str">
        <f>CONCATENATE(Table1[[#This Row],[City]],Table1[[#This Row],[State]])</f>
        <v>IndoreMadhya Pradesh</v>
      </c>
      <c r="AV289" t="s">
        <v>346</v>
      </c>
      <c r="AW289" t="s">
        <v>221</v>
      </c>
      <c r="AX289" t="str">
        <f>REPLACE(Table1[[#This Row],[Product_ID]],1,1,"s")</f>
        <v>s106</v>
      </c>
      <c r="AY289" t="s">
        <v>1318</v>
      </c>
      <c r="AZ289">
        <f>SEARCH("-",Table1[[#This Row],[Product ID]])</f>
        <v>2</v>
      </c>
      <c r="BA289">
        <f>FIND("-",Table1[[#This Row],[Product ID]])</f>
        <v>2</v>
      </c>
      <c r="BB289" t="str">
        <f>MID(Table1[[#This Row],[Product_ID]],2,3)</f>
        <v>106</v>
      </c>
      <c r="BC289" t="str">
        <f>RIGHT(Table1[[#This Row],[Product_ID]],3)</f>
        <v>106</v>
      </c>
      <c r="BD289" t="str">
        <f>LEFT(Table1[[#This Row],[Product_ID]],3)</f>
        <v>P10</v>
      </c>
      <c r="BE289" t="str">
        <f>_xlfn.XLOOKUP(Table1[[#This Row],[Product_ID]],AW:AW,BF:BF,,0)</f>
        <v>Running Shoes</v>
      </c>
      <c r="BF289" t="s">
        <v>223</v>
      </c>
      <c r="BG289">
        <f>LEN(Table1[[#This Row],[Product_Name]])</f>
        <v>13</v>
      </c>
      <c r="BH289" t="s">
        <v>224</v>
      </c>
      <c r="BI289">
        <f t="shared" si="35"/>
        <v>75</v>
      </c>
      <c r="BJ289" t="str">
        <f>SUBSTITUTE(Table1[[#This Row],[Category]],"Electronics","ELECTRONICS")</f>
        <v>Fashion</v>
      </c>
      <c r="BN289" t="s">
        <v>225</v>
      </c>
      <c r="BS289" s="14">
        <v>3</v>
      </c>
      <c r="BT289" s="3">
        <v>3499</v>
      </c>
      <c r="BU289" s="4">
        <v>25</v>
      </c>
      <c r="BV289" s="4" t="str">
        <f>IF(AND(Table1[[#This Row],[Quantity]]&gt;=3,Table1[[#This Row],[Discount_%]]&gt;=15%),"Bulk Discount","no")</f>
        <v>Bulk Discount</v>
      </c>
      <c r="BW289" s="4" t="str">
        <f>IF(AND(Table1[[#This Row],[Quantity]]&gt;3,Table1[[#This Row],[Discount_%]]&gt;15%),"Bulk Customer","Normal")</f>
        <v>Normal</v>
      </c>
      <c r="BX289" t="s">
        <v>330</v>
      </c>
      <c r="BY289" t="s">
        <v>193</v>
      </c>
      <c r="CC289" t="str">
        <f>IF(OR(Table1[[#This Row],[Order_Status]]="Returned",Table1[[#This Row],[Order_Status]]="Cancelled"),"Attention Required","Not")</f>
        <v>Not</v>
      </c>
      <c r="CD289" t="str">
        <f>IF(OR(Table1[[#This Row],[Order_Status]]="Returned",Table1[[#This Row],[Order_Status]]="Cancelled"),"Review","no")</f>
        <v>no</v>
      </c>
      <c r="CE289" t="str">
        <f>SUBSTITUTE(Table1[[#This Row],[Order_Status]],"Delivered","Completed")</f>
        <v>Shipped</v>
      </c>
      <c r="CF289" s="2">
        <v>45978</v>
      </c>
      <c r="CG289" s="17">
        <f>NETWORKDAYS(Table1[[#This Row],[Order_Date]],Table1[[#This Row],[Delivery_Date]])</f>
        <v>1</v>
      </c>
      <c r="CH289" s="17">
        <f>Table1[[#This Row],[Delivery_Date]]-Table1[[#This Row],[Order_Date]]</f>
        <v>2</v>
      </c>
      <c r="CI289" t="s">
        <v>137</v>
      </c>
      <c r="CJ289" t="str">
        <f>IF(Table1[[#This Row],[Rating]]&gt;=4,"Good","Needs Improvement")</f>
        <v>Good</v>
      </c>
      <c r="CK289" t="str">
        <f>IF(OR(Table1[[#This Row],[Rating]]&lt;=2,Table1[[#This Row],[Profit]]&lt;0),"Review","NO")</f>
        <v>NO</v>
      </c>
      <c r="CL289" t="str" cm="1">
        <f t="array" ref="CL289">_xlfn.IFS(Table1[[#This Row],[Rating]]&gt;2,"Poor",Table1[[#This Row],[Rating]]=3,"Average",Table1[[#This Row],[Rating]]=4,"Good",CP289=5,"Excellent")</f>
        <v>Poor</v>
      </c>
      <c r="CM289">
        <f>COUNT(Table1[[#This Row],[Rating]])</f>
        <v>1</v>
      </c>
      <c r="CN289">
        <f>COUNTBLANK(Table1[[#This Row],[Rating]])</f>
        <v>0</v>
      </c>
      <c r="CP289" t="s">
        <v>157</v>
      </c>
      <c r="CQ289" s="14">
        <v>4</v>
      </c>
      <c r="CR289" t="s">
        <v>173</v>
      </c>
      <c r="CS289" t="s">
        <v>213</v>
      </c>
      <c r="CU289" s="3">
        <v>7872.75</v>
      </c>
      <c r="CV289" s="3">
        <f>ROUND(Table1[[#This Row],[Sales_Amount]],0)</f>
        <v>7873</v>
      </c>
      <c r="CW289" s="3"/>
      <c r="CX289" s="3"/>
      <c r="CY289" s="3" t="b">
        <f>IF(AND(Table1[[#This Row],[Sales_Amount]]&gt;=10000,Table1[[#This Row],[Profit]]&gt;0),"Good Order")</f>
        <v>0</v>
      </c>
      <c r="CZ289" s="3" t="str">
        <f>IF(Table1[[#This Row],[Sales_Amount]]&gt;=10000,"High","Normal")</f>
        <v>Normal</v>
      </c>
      <c r="DA289" s="3">
        <v>2172.75</v>
      </c>
      <c r="DB289" s="3">
        <f>ROUND(Table1[[#This Row],[Profit]],0)</f>
        <v>2173</v>
      </c>
      <c r="DC289" s="3">
        <f>ABS(Table1[[#This Row],[Profit]])</f>
        <v>2172.75</v>
      </c>
      <c r="DD289" s="3"/>
      <c r="DE289" s="3"/>
      <c r="DF289" s="3"/>
      <c r="DG289" s="3" t="str">
        <f>IF(Table1[[#This Row],[Profit]]&gt;0,"Profit","Loss")</f>
        <v>Profit</v>
      </c>
      <c r="DH289" s="3" t="str">
        <f>IF(AND(Table1[[#This Row],[Sales_Amount]]&gt;=10000,Table1[[#This Row],[Profit]]&gt;0),"Priority","Normal")</f>
        <v>Normal</v>
      </c>
      <c r="DI289" s="3">
        <f t="shared" ca="1" si="30"/>
        <v>0.80348108885563585</v>
      </c>
      <c r="DJ289" s="3">
        <f t="shared" ca="1" si="31"/>
        <v>75</v>
      </c>
      <c r="DK289" s="3"/>
      <c r="DL289" s="3"/>
      <c r="DM289" s="3"/>
      <c r="DN289" s="3"/>
      <c r="DO289" s="3"/>
      <c r="DP289" s="3"/>
    </row>
    <row r="290" spans="1:120">
      <c r="A290" t="s">
        <v>1319</v>
      </c>
      <c r="B290" t="str">
        <f>REPLACE(Table1[[#This Row],[Order_ID]],1,3,"YOO")</f>
        <v>YOO10289</v>
      </c>
      <c r="C290" t="str">
        <f>MID(Table1[[#This Row],[Order_ID]],4,4)</f>
        <v>1028</v>
      </c>
      <c r="D290" t="str">
        <f>LEFT(Table1[[#This Row],[Order_ID]],4)</f>
        <v>ORD1</v>
      </c>
      <c r="E290" t="str">
        <f>RIGHT(Table1[[#This Row],[Order_ID]],5)</f>
        <v>10289</v>
      </c>
      <c r="F290" t="s">
        <v>5</v>
      </c>
      <c r="G290">
        <v>10289</v>
      </c>
      <c r="H290" t="s">
        <v>1320</v>
      </c>
      <c r="I290" s="2">
        <f>EDATE(Table1[[#This Row],[Order_Date]],3)</f>
        <v>45840</v>
      </c>
      <c r="J290" s="2">
        <f>EDATE(Table1[[#This Row],[Order_Date]],6)</f>
        <v>45932</v>
      </c>
      <c r="K290">
        <f ca="1">YEAR(Table1[[#This Row],[Today]])</f>
        <v>2026</v>
      </c>
      <c r="L290">
        <v>289</v>
      </c>
      <c r="M290">
        <f ca="1">DAY(Table1[[#This Row],[Today]])</f>
        <v>11</v>
      </c>
      <c r="N290" s="19">
        <f t="shared" ca="1" si="34"/>
        <v>46245.589795138891</v>
      </c>
      <c r="O290" s="2">
        <f t="shared" ca="1" si="29"/>
        <v>46245</v>
      </c>
      <c r="P290" s="17">
        <f ca="1">Table1[[#This Row],[Today]]-Table1[[#This Row],[Order_Date]]</f>
        <v>496</v>
      </c>
      <c r="Q290" s="2">
        <v>45946</v>
      </c>
      <c r="R290" s="2">
        <v>45749</v>
      </c>
      <c r="S290" s="6">
        <f t="shared" si="32"/>
        <v>2025</v>
      </c>
      <c r="T290" s="7" t="str">
        <f t="shared" si="33"/>
        <v>April</v>
      </c>
      <c r="U290" s="2">
        <f>WORKDAY(Table1[[#This Row],[Order_Date]],5)</f>
        <v>45756</v>
      </c>
      <c r="V290" s="7" t="str">
        <f>CONCATENATE(Table1[[#This Row],[Customer_ID]],Table1[[#This Row],[Customer_Name]])</f>
        <v>C1133Sneha Mishra</v>
      </c>
      <c r="W290" t="s">
        <v>881</v>
      </c>
      <c r="X290" t="s">
        <v>496</v>
      </c>
      <c r="Y290">
        <f>COUNTA(Table1[[#This Row],[Customer_Name]])</f>
        <v>1</v>
      </c>
      <c r="Z290" t="str">
        <f>SUBSTITUTE(Table1[[#This Row],[Customer_Name]]," ","_")</f>
        <v>Sneha_Mishra</v>
      </c>
      <c r="AA290" s="10">
        <f>IFERROR(SEARCH("a",Table1[[#This Row],[Customer_Name]]),"N/A")</f>
        <v>5</v>
      </c>
      <c r="AB290">
        <f>SEARCH(" ",Table1[[#This Row],[Customer_Name]])</f>
        <v>6</v>
      </c>
      <c r="AC290" s="11">
        <f>IFERROR(FIND("a",Table1[[#This Row],[Customer_Name]]),"N/A")</f>
        <v>5</v>
      </c>
      <c r="AD290">
        <f>FIND(" ",Table1[[#This Row],[Customer_Name]])</f>
        <v>6</v>
      </c>
      <c r="AE290" t="str">
        <f>TRIM(Table1[[#This Row],[Customer_Name]])</f>
        <v>Sneha Mishra</v>
      </c>
      <c r="AF290">
        <f>LEN(Table1[[#This Row],[Trimmed]])</f>
        <v>12</v>
      </c>
      <c r="AG290">
        <f>MAX(Table1[Length])</f>
        <v>15</v>
      </c>
      <c r="AH290" t="str">
        <f>PROPER(Table1[[#This Row],[Customer_Name]])</f>
        <v>Sneha Mishra</v>
      </c>
      <c r="AI290" t="str">
        <f>LOWER(Table1[[#This Row],[Customer_Name]])</f>
        <v>sneha mishra</v>
      </c>
      <c r="AJ290" t="str">
        <f>UPPER(Table1[[#This Row],[Customer_Name]])</f>
        <v>SNEHA MISHRA</v>
      </c>
      <c r="AK290" t="str">
        <f>CONCATENATE(Table1[[#This Row],[Customer_ID]],Table1[[#This Row],[Customer_Name]])</f>
        <v>C1133Sneha Mishra</v>
      </c>
      <c r="AL290" t="s">
        <v>195</v>
      </c>
      <c r="AM290" t="s">
        <v>497</v>
      </c>
      <c r="AN290" t="s">
        <v>498</v>
      </c>
      <c r="AO290" t="s">
        <v>195</v>
      </c>
      <c r="AP290" t="s">
        <v>497</v>
      </c>
      <c r="AQ290" t="s">
        <v>233</v>
      </c>
      <c r="AR290" t="str">
        <f>TRIM(Table1[[#This Row],[City]])</f>
        <v>Kolkata</v>
      </c>
      <c r="AS290" t="str">
        <f>PROPER(Table1[[#This Row],[City]])</f>
        <v>Kolkata</v>
      </c>
      <c r="AT290" t="s">
        <v>234</v>
      </c>
      <c r="AU290" t="str">
        <f>CONCATENATE(Table1[[#This Row],[City]],Table1[[#This Row],[State]])</f>
        <v>KolkataWest Bengal</v>
      </c>
      <c r="AV290" t="s">
        <v>235</v>
      </c>
      <c r="AW290" t="s">
        <v>236</v>
      </c>
      <c r="AX290" t="str">
        <f>REPLACE(Table1[[#This Row],[Product_ID]],1,1,"s")</f>
        <v>s107</v>
      </c>
      <c r="AY290" t="s">
        <v>1321</v>
      </c>
      <c r="AZ290">
        <f>SEARCH("-",Table1[[#This Row],[Product ID]])</f>
        <v>2</v>
      </c>
      <c r="BA290">
        <f>FIND("-",Table1[[#This Row],[Product ID]])</f>
        <v>2</v>
      </c>
      <c r="BB290" t="str">
        <f>MID(Table1[[#This Row],[Product_ID]],2,3)</f>
        <v>107</v>
      </c>
      <c r="BC290" t="str">
        <f>RIGHT(Table1[[#This Row],[Product_ID]],3)</f>
        <v>107</v>
      </c>
      <c r="BD290" t="str">
        <f>LEFT(Table1[[#This Row],[Product_ID]],3)</f>
        <v>P10</v>
      </c>
      <c r="BE290" t="str">
        <f>_xlfn.XLOOKUP(Table1[[#This Row],[Product_ID]],AW:AW,BF:BF,,0)</f>
        <v>Casual Sneakers</v>
      </c>
      <c r="BF290" t="s">
        <v>238</v>
      </c>
      <c r="BG290">
        <f>LEN(Table1[[#This Row],[Product_Name]])</f>
        <v>15</v>
      </c>
      <c r="BH290" t="s">
        <v>224</v>
      </c>
      <c r="BI290">
        <f t="shared" si="35"/>
        <v>75</v>
      </c>
      <c r="BJ290" t="str">
        <f>SUBSTITUTE(Table1[[#This Row],[Category]],"Electronics","ELECTRONICS")</f>
        <v>Fashion</v>
      </c>
      <c r="BN290" t="s">
        <v>225</v>
      </c>
      <c r="BS290" s="14">
        <v>2</v>
      </c>
      <c r="BT290" s="3">
        <v>2799</v>
      </c>
      <c r="BU290" s="4">
        <v>25</v>
      </c>
      <c r="BV290" s="4" t="str">
        <f>IF(AND(Table1[[#This Row],[Quantity]]&gt;=3,Table1[[#This Row],[Discount_%]]&gt;=15%),"Bulk Discount","no")</f>
        <v>no</v>
      </c>
      <c r="BW290" s="4" t="str">
        <f>IF(AND(Table1[[#This Row],[Quantity]]&gt;3,Table1[[#This Row],[Discount_%]]&gt;15%),"Bulk Customer","Normal")</f>
        <v>Normal</v>
      </c>
      <c r="BX290" t="s">
        <v>172</v>
      </c>
      <c r="BY290" t="s">
        <v>136</v>
      </c>
      <c r="CC290" t="str">
        <f>IF(OR(Table1[[#This Row],[Order_Status]]="Returned",Table1[[#This Row],[Order_Status]]="Cancelled"),"Attention Required","Not")</f>
        <v>Not</v>
      </c>
      <c r="CD290" t="str">
        <f>IF(OR(Table1[[#This Row],[Order_Status]]="Returned",Table1[[#This Row],[Order_Status]]="Cancelled"),"Review","no")</f>
        <v>no</v>
      </c>
      <c r="CE290" t="str">
        <f>SUBSTITUTE(Table1[[#This Row],[Order_Status]],"Delivered","Completed")</f>
        <v>Completed</v>
      </c>
      <c r="CF290" s="2">
        <v>45756</v>
      </c>
      <c r="CG290" s="17">
        <f>NETWORKDAYS(Table1[[#This Row],[Order_Date]],Table1[[#This Row],[Delivery_Date]])</f>
        <v>6</v>
      </c>
      <c r="CH290" s="17">
        <f>Table1[[#This Row],[Delivery_Date]]-Table1[[#This Row],[Order_Date]]</f>
        <v>7</v>
      </c>
      <c r="CI290" t="s">
        <v>137</v>
      </c>
      <c r="CJ290" t="str">
        <f>IF(Table1[[#This Row],[Rating]]&gt;=4,"Good","Needs Improvement")</f>
        <v>Needs Improvement</v>
      </c>
      <c r="CK290" t="str">
        <f>IF(OR(Table1[[#This Row],[Rating]]&lt;=2,Table1[[#This Row],[Profit]]&lt;0),"Review","NO")</f>
        <v>Review</v>
      </c>
      <c r="CL290" t="e" cm="1">
        <f t="array" ref="CL290">_xlfn.IFS(Table1[[#This Row],[Rating]]&gt;2,"Poor",Table1[[#This Row],[Rating]]=3,"Average",Table1[[#This Row],[Rating]]=4,"Good",CP290=5,"Excellent")</f>
        <v>#N/A</v>
      </c>
      <c r="CM290">
        <f>COUNT(Table1[[#This Row],[Rating]])</f>
        <v>0</v>
      </c>
      <c r="CN290">
        <f>COUNTBLANK(Table1[[#This Row],[Rating]])</f>
        <v>1</v>
      </c>
      <c r="CP290" t="s">
        <v>266</v>
      </c>
      <c r="CR290" t="s">
        <v>139</v>
      </c>
      <c r="CS290" t="s">
        <v>140</v>
      </c>
      <c r="CU290" s="3">
        <v>4198.5</v>
      </c>
      <c r="CV290" s="3">
        <f>ROUND(Table1[[#This Row],[Sales_Amount]],0)</f>
        <v>4199</v>
      </c>
      <c r="CW290" s="3"/>
      <c r="CX290" s="3"/>
      <c r="CY290" s="3" t="b">
        <f>IF(AND(Table1[[#This Row],[Sales_Amount]]&gt;=10000,Table1[[#This Row],[Profit]]&gt;0),"Good Order")</f>
        <v>0</v>
      </c>
      <c r="CZ290" s="3" t="str">
        <f>IF(Table1[[#This Row],[Sales_Amount]]&gt;=10000,"High","Normal")</f>
        <v>Normal</v>
      </c>
      <c r="DA290" s="3">
        <v>1198.5</v>
      </c>
      <c r="DB290" s="3">
        <f>ROUND(Table1[[#This Row],[Profit]],0)</f>
        <v>1199</v>
      </c>
      <c r="DC290" s="3">
        <f>ABS(Table1[[#This Row],[Profit]])</f>
        <v>1198.5</v>
      </c>
      <c r="DD290" s="3"/>
      <c r="DE290" s="3"/>
      <c r="DF290" s="3"/>
      <c r="DG290" s="3" t="str">
        <f>IF(Table1[[#This Row],[Profit]]&gt;0,"Profit","Loss")</f>
        <v>Profit</v>
      </c>
      <c r="DH290" s="3" t="str">
        <f>IF(AND(Table1[[#This Row],[Sales_Amount]]&gt;=10000,Table1[[#This Row],[Profit]]&gt;0),"Priority","Normal")</f>
        <v>Normal</v>
      </c>
      <c r="DI290" s="3">
        <f t="shared" ca="1" si="30"/>
        <v>0.48198754694233847</v>
      </c>
      <c r="DJ290" s="3">
        <f t="shared" ca="1" si="31"/>
        <v>40</v>
      </c>
      <c r="DK290" s="3"/>
      <c r="DL290" s="3"/>
      <c r="DM290" s="3"/>
      <c r="DN290" s="3"/>
      <c r="DO290" s="3"/>
      <c r="DP290" s="3"/>
    </row>
    <row r="291" spans="1:120">
      <c r="A291" t="s">
        <v>1322</v>
      </c>
      <c r="B291" t="str">
        <f>REPLACE(Table1[[#This Row],[Order_ID]],1,3,"YOO")</f>
        <v>YOO10290</v>
      </c>
      <c r="C291" t="str">
        <f>MID(Table1[[#This Row],[Order_ID]],4,4)</f>
        <v>1029</v>
      </c>
      <c r="D291" t="str">
        <f>LEFT(Table1[[#This Row],[Order_ID]],4)</f>
        <v>ORD1</v>
      </c>
      <c r="E291" t="str">
        <f>RIGHT(Table1[[#This Row],[Order_ID]],5)</f>
        <v>10290</v>
      </c>
      <c r="F291" t="s">
        <v>5</v>
      </c>
      <c r="G291">
        <v>10290</v>
      </c>
      <c r="H291" t="s">
        <v>1323</v>
      </c>
      <c r="I291" s="2">
        <f>EDATE(Table1[[#This Row],[Order_Date]],3)</f>
        <v>46268</v>
      </c>
      <c r="J291" s="2">
        <f>EDATE(Table1[[#This Row],[Order_Date]],6)</f>
        <v>46359</v>
      </c>
      <c r="K291">
        <f ca="1">YEAR(Table1[[#This Row],[Today]])</f>
        <v>2026</v>
      </c>
      <c r="L291">
        <v>290</v>
      </c>
      <c r="M291">
        <f ca="1">DAY(Table1[[#This Row],[Today]])</f>
        <v>11</v>
      </c>
      <c r="N291" s="19">
        <f t="shared" ca="1" si="34"/>
        <v>46245.589795370368</v>
      </c>
      <c r="O291" s="2">
        <f t="shared" ca="1" si="29"/>
        <v>46245</v>
      </c>
      <c r="P291" s="17">
        <f ca="1">Table1[[#This Row],[Today]]-Table1[[#This Row],[Order_Date]]</f>
        <v>69</v>
      </c>
      <c r="Q291" s="2">
        <v>45947</v>
      </c>
      <c r="R291" s="2">
        <v>46176</v>
      </c>
      <c r="S291" s="6">
        <f t="shared" si="32"/>
        <v>2026</v>
      </c>
      <c r="T291" s="7" t="str">
        <f t="shared" si="33"/>
        <v>June</v>
      </c>
      <c r="U291" s="2">
        <f>WORKDAY(Table1[[#This Row],[Order_Date]],5)</f>
        <v>46183</v>
      </c>
      <c r="V291" s="7" t="str">
        <f>CONCATENATE(Table1[[#This Row],[Customer_ID]],Table1[[#This Row],[Customer_Name]])</f>
        <v>C1050Karan Patel</v>
      </c>
      <c r="W291" t="s">
        <v>1301</v>
      </c>
      <c r="X291" t="s">
        <v>280</v>
      </c>
      <c r="Y291">
        <f>COUNTA(Table1[[#This Row],[Customer_Name]])</f>
        <v>1</v>
      </c>
      <c r="Z291" t="str">
        <f>SUBSTITUTE(Table1[[#This Row],[Customer_Name]]," ","_")</f>
        <v>Karan_Patel</v>
      </c>
      <c r="AA291" s="10">
        <f>IFERROR(SEARCH("a",Table1[[#This Row],[Customer_Name]]),"N/A")</f>
        <v>2</v>
      </c>
      <c r="AB291">
        <f>SEARCH(" ",Table1[[#This Row],[Customer_Name]])</f>
        <v>6</v>
      </c>
      <c r="AC291" s="11">
        <f>IFERROR(FIND("a",Table1[[#This Row],[Customer_Name]]),"N/A")</f>
        <v>2</v>
      </c>
      <c r="AD291">
        <f>FIND(" ",Table1[[#This Row],[Customer_Name]])</f>
        <v>6</v>
      </c>
      <c r="AE291" t="str">
        <f>TRIM(Table1[[#This Row],[Customer_Name]])</f>
        <v>Karan Patel</v>
      </c>
      <c r="AF291">
        <f>LEN(Table1[[#This Row],[Trimmed]])</f>
        <v>11</v>
      </c>
      <c r="AG291">
        <f>MAX(Table1[Length])</f>
        <v>15</v>
      </c>
      <c r="AH291" t="str">
        <f>PROPER(Table1[[#This Row],[Customer_Name]])</f>
        <v>Karan Patel</v>
      </c>
      <c r="AI291" t="str">
        <f>LOWER(Table1[[#This Row],[Customer_Name]])</f>
        <v>karan patel</v>
      </c>
      <c r="AJ291" t="str">
        <f>UPPER(Table1[[#This Row],[Customer_Name]])</f>
        <v>KARAN PATEL</v>
      </c>
      <c r="AK291" t="str">
        <f>CONCATENATE(Table1[[#This Row],[Customer_ID]],Table1[[#This Row],[Customer_Name]])</f>
        <v>C1050Karan Patel</v>
      </c>
      <c r="AL291" t="s">
        <v>281</v>
      </c>
      <c r="AM291" t="s">
        <v>282</v>
      </c>
      <c r="AN291" t="s">
        <v>283</v>
      </c>
      <c r="AO291" t="s">
        <v>281</v>
      </c>
      <c r="AP291" t="s">
        <v>282</v>
      </c>
      <c r="AQ291" t="s">
        <v>423</v>
      </c>
      <c r="AR291" t="str">
        <f>TRIM(Table1[[#This Row],[City]])</f>
        <v>Ahmedabad</v>
      </c>
      <c r="AS291" t="str">
        <f>PROPER(Table1[[#This Row],[City]])</f>
        <v>Ahmedabad</v>
      </c>
      <c r="AT291" t="s">
        <v>424</v>
      </c>
      <c r="AU291" t="str">
        <f>CONCATENATE(Table1[[#This Row],[City]],Table1[[#This Row],[State]])</f>
        <v>AhmedabadGujarat</v>
      </c>
      <c r="AV291" t="s">
        <v>129</v>
      </c>
      <c r="AW291" t="s">
        <v>183</v>
      </c>
      <c r="AX291" t="str">
        <f>REPLACE(Table1[[#This Row],[Product_ID]],1,1,"s")</f>
        <v>s105</v>
      </c>
      <c r="AY291" t="s">
        <v>1324</v>
      </c>
      <c r="AZ291">
        <f>SEARCH("-",Table1[[#This Row],[Product ID]])</f>
        <v>2</v>
      </c>
      <c r="BA291">
        <f>FIND("-",Table1[[#This Row],[Product ID]])</f>
        <v>2</v>
      </c>
      <c r="BB291" t="str">
        <f>MID(Table1[[#This Row],[Product_ID]],2,3)</f>
        <v>105</v>
      </c>
      <c r="BC291" t="str">
        <f>RIGHT(Table1[[#This Row],[Product_ID]],3)</f>
        <v>105</v>
      </c>
      <c r="BD291" t="str">
        <f>LEFT(Table1[[#This Row],[Product_ID]],3)</f>
        <v>P10</v>
      </c>
      <c r="BE291" t="str">
        <f>_xlfn.XLOOKUP(Table1[[#This Row],[Product_ID]],AW:AW,BF:BF,,0)</f>
        <v>Bluetooth Speaker</v>
      </c>
      <c r="BF291" t="s">
        <v>185</v>
      </c>
      <c r="BG291">
        <f>LEN(Table1[[#This Row],[Product_Name]])</f>
        <v>17</v>
      </c>
      <c r="BH291" t="s">
        <v>154</v>
      </c>
      <c r="BI291">
        <f t="shared" si="35"/>
        <v>75</v>
      </c>
      <c r="BJ291" t="str">
        <f>SUBSTITUTE(Table1[[#This Row],[Category]],"Electronics","ELECTRONICS")</f>
        <v>ELECTRONICS</v>
      </c>
      <c r="BN291" t="s">
        <v>186</v>
      </c>
      <c r="BS291" s="14">
        <v>4</v>
      </c>
      <c r="BT291" s="3">
        <v>2999</v>
      </c>
      <c r="BU291" s="4">
        <v>5</v>
      </c>
      <c r="BV291" s="4" t="str">
        <f>IF(AND(Table1[[#This Row],[Quantity]]&gt;=3,Table1[[#This Row],[Discount_%]]&gt;=15%),"Bulk Discount","no")</f>
        <v>Bulk Discount</v>
      </c>
      <c r="BW291" s="4" t="str">
        <f>IF(AND(Table1[[#This Row],[Quantity]]&gt;3,Table1[[#This Row],[Discount_%]]&gt;15%),"Bulk Customer","Normal")</f>
        <v>Bulk Customer</v>
      </c>
      <c r="BX291" t="s">
        <v>172</v>
      </c>
      <c r="BY291" t="s">
        <v>193</v>
      </c>
      <c r="CC291" t="str">
        <f>IF(OR(Table1[[#This Row],[Order_Status]]="Returned",Table1[[#This Row],[Order_Status]]="Cancelled"),"Attention Required","Not")</f>
        <v>Not</v>
      </c>
      <c r="CD291" t="str">
        <f>IF(OR(Table1[[#This Row],[Order_Status]]="Returned",Table1[[#This Row],[Order_Status]]="Cancelled"),"Review","no")</f>
        <v>no</v>
      </c>
      <c r="CE291" t="str">
        <f>SUBSTITUTE(Table1[[#This Row],[Order_Status]],"Delivered","Completed")</f>
        <v>Shipped</v>
      </c>
      <c r="CF291" s="2">
        <v>46177</v>
      </c>
      <c r="CG291" s="17">
        <f>NETWORKDAYS(Table1[[#This Row],[Order_Date]],Table1[[#This Row],[Delivery_Date]])</f>
        <v>2</v>
      </c>
      <c r="CH291" s="17">
        <f>Table1[[#This Row],[Delivery_Date]]-Table1[[#This Row],[Order_Date]]</f>
        <v>1</v>
      </c>
      <c r="CI291" t="s">
        <v>137</v>
      </c>
      <c r="CJ291" t="str">
        <f>IF(Table1[[#This Row],[Rating]]&gt;=4,"Good","Needs Improvement")</f>
        <v>Needs Improvement</v>
      </c>
      <c r="CK291" t="str">
        <f>IF(OR(Table1[[#This Row],[Rating]]&lt;=2,Table1[[#This Row],[Profit]]&lt;0),"Review","NO")</f>
        <v>NO</v>
      </c>
      <c r="CL291" t="str" cm="1">
        <f t="array" ref="CL291">_xlfn.IFS(Table1[[#This Row],[Rating]]&gt;2,"Poor",Table1[[#This Row],[Rating]]=3,"Average",Table1[[#This Row],[Rating]]=4,"Good",CP291=5,"Excellent")</f>
        <v>Poor</v>
      </c>
      <c r="CM291">
        <f>COUNT(Table1[[#This Row],[Rating]])</f>
        <v>1</v>
      </c>
      <c r="CN291">
        <f>COUNTBLANK(Table1[[#This Row],[Rating]])</f>
        <v>0</v>
      </c>
      <c r="CP291" t="s">
        <v>194</v>
      </c>
      <c r="CQ291" s="14">
        <v>3</v>
      </c>
      <c r="CR291" t="s">
        <v>139</v>
      </c>
      <c r="CS291" t="s">
        <v>267</v>
      </c>
      <c r="CU291" s="3">
        <v>11396.2</v>
      </c>
      <c r="CV291" s="3">
        <f>ROUND(Table1[[#This Row],[Sales_Amount]],0)</f>
        <v>11396</v>
      </c>
      <c r="CW291" s="3"/>
      <c r="CX291" s="3"/>
      <c r="CY291" s="3" t="str">
        <f>IF(AND(Table1[[#This Row],[Sales_Amount]]&gt;=10000,Table1[[#This Row],[Profit]]&gt;0),"Good Order")</f>
        <v>Good Order</v>
      </c>
      <c r="CZ291" s="3" t="str">
        <f>IF(Table1[[#This Row],[Sales_Amount]]&gt;=10000,"High","Normal")</f>
        <v>High</v>
      </c>
      <c r="DA291" s="3">
        <v>4396.2</v>
      </c>
      <c r="DB291" s="3">
        <f>ROUND(Table1[[#This Row],[Profit]],0)</f>
        <v>4396</v>
      </c>
      <c r="DC291" s="3">
        <f>ABS(Table1[[#This Row],[Profit]])</f>
        <v>4396.2</v>
      </c>
      <c r="DD291" s="3"/>
      <c r="DE291" s="3"/>
      <c r="DF291" s="3"/>
      <c r="DG291" s="3" t="str">
        <f>IF(Table1[[#This Row],[Profit]]&gt;0,"Profit","Loss")</f>
        <v>Profit</v>
      </c>
      <c r="DH291" s="3" t="str">
        <f>IF(AND(Table1[[#This Row],[Sales_Amount]]&gt;=10000,Table1[[#This Row],[Profit]]&gt;0),"Priority","Normal")</f>
        <v>Priority</v>
      </c>
      <c r="DI291" s="3">
        <f t="shared" ca="1" si="30"/>
        <v>0.60852010149007019</v>
      </c>
      <c r="DJ291" s="3">
        <f t="shared" ca="1" si="31"/>
        <v>83</v>
      </c>
      <c r="DK291" s="3"/>
      <c r="DL291" s="3"/>
      <c r="DM291" s="3"/>
      <c r="DN291" s="3"/>
      <c r="DO291" s="3"/>
      <c r="DP291" s="3"/>
    </row>
    <row r="292" spans="1:120">
      <c r="A292" t="s">
        <v>1325</v>
      </c>
      <c r="B292" t="str">
        <f>REPLACE(Table1[[#This Row],[Order_ID]],1,3,"YOO")</f>
        <v>YOO10291</v>
      </c>
      <c r="C292" t="str">
        <f>MID(Table1[[#This Row],[Order_ID]],4,4)</f>
        <v>1029</v>
      </c>
      <c r="D292" t="str">
        <f>LEFT(Table1[[#This Row],[Order_ID]],4)</f>
        <v>ORD1</v>
      </c>
      <c r="E292" t="str">
        <f>RIGHT(Table1[[#This Row],[Order_ID]],5)</f>
        <v>10291</v>
      </c>
      <c r="F292" t="s">
        <v>5</v>
      </c>
      <c r="G292">
        <v>10291</v>
      </c>
      <c r="H292" t="s">
        <v>1326</v>
      </c>
      <c r="I292" s="2">
        <f>EDATE(Table1[[#This Row],[Order_Date]],3)</f>
        <v>45953</v>
      </c>
      <c r="J292" s="2">
        <f>EDATE(Table1[[#This Row],[Order_Date]],6)</f>
        <v>46045</v>
      </c>
      <c r="K292">
        <f ca="1">YEAR(Table1[[#This Row],[Today]])</f>
        <v>2026</v>
      </c>
      <c r="L292">
        <v>291</v>
      </c>
      <c r="M292">
        <f ca="1">DAY(Table1[[#This Row],[Today]])</f>
        <v>11</v>
      </c>
      <c r="N292" s="19">
        <f t="shared" ca="1" si="34"/>
        <v>46245.589795370368</v>
      </c>
      <c r="O292" s="2">
        <f t="shared" ca="1" si="29"/>
        <v>46245</v>
      </c>
      <c r="P292" s="17">
        <f ca="1">Table1[[#This Row],[Today]]-Table1[[#This Row],[Order_Date]]</f>
        <v>384</v>
      </c>
      <c r="Q292" s="2">
        <v>45948</v>
      </c>
      <c r="R292" s="2">
        <v>45861</v>
      </c>
      <c r="S292" s="6">
        <f t="shared" si="32"/>
        <v>2025</v>
      </c>
      <c r="T292" s="7" t="str">
        <f t="shared" si="33"/>
        <v>July</v>
      </c>
      <c r="U292" s="2">
        <f>WORKDAY(Table1[[#This Row],[Order_Date]],5)</f>
        <v>45868</v>
      </c>
      <c r="V292" s="7" t="str">
        <f>CONCATENATE(Table1[[#This Row],[Customer_ID]],Table1[[#This Row],[Customer_Name]])</f>
        <v>C1032Rahul Sharma</v>
      </c>
      <c r="W292" t="s">
        <v>418</v>
      </c>
      <c r="X292" t="s">
        <v>290</v>
      </c>
      <c r="Y292">
        <f>COUNTA(Table1[[#This Row],[Customer_Name]])</f>
        <v>1</v>
      </c>
      <c r="Z292" t="str">
        <f>SUBSTITUTE(Table1[[#This Row],[Customer_Name]]," ","_")</f>
        <v>Rahul_Sharma</v>
      </c>
      <c r="AA292" s="10">
        <f>IFERROR(SEARCH("a",Table1[[#This Row],[Customer_Name]]),"N/A")</f>
        <v>2</v>
      </c>
      <c r="AB292">
        <f>SEARCH(" ",Table1[[#This Row],[Customer_Name]])</f>
        <v>6</v>
      </c>
      <c r="AC292" s="11">
        <f>IFERROR(FIND("a",Table1[[#This Row],[Customer_Name]]),"N/A")</f>
        <v>2</v>
      </c>
      <c r="AD292">
        <f>FIND(" ",Table1[[#This Row],[Customer_Name]])</f>
        <v>6</v>
      </c>
      <c r="AE292" t="str">
        <f>TRIM(Table1[[#This Row],[Customer_Name]])</f>
        <v>Rahul Sharma</v>
      </c>
      <c r="AF292">
        <f>LEN(Table1[[#This Row],[Trimmed]])</f>
        <v>12</v>
      </c>
      <c r="AG292">
        <f>MAX(Table1[Length])</f>
        <v>15</v>
      </c>
      <c r="AH292" t="str">
        <f>PROPER(Table1[[#This Row],[Customer_Name]])</f>
        <v>Rahul Sharma</v>
      </c>
      <c r="AI292" t="str">
        <f>LOWER(Table1[[#This Row],[Customer_Name]])</f>
        <v>rahul sharma</v>
      </c>
      <c r="AJ292" t="str">
        <f>UPPER(Table1[[#This Row],[Customer_Name]])</f>
        <v>RAHUL SHARMA</v>
      </c>
      <c r="AK292" t="str">
        <f>CONCATENATE(Table1[[#This Row],[Customer_ID]],Table1[[#This Row],[Customer_Name]])</f>
        <v>C1032Rahul Sharma</v>
      </c>
      <c r="AL292" t="s">
        <v>291</v>
      </c>
      <c r="AM292" t="s">
        <v>292</v>
      </c>
      <c r="AN292" t="s">
        <v>245</v>
      </c>
      <c r="AO292" t="s">
        <v>291</v>
      </c>
      <c r="AP292" t="s">
        <v>292</v>
      </c>
      <c r="AQ292" t="s">
        <v>344</v>
      </c>
      <c r="AR292" t="str">
        <f>TRIM(Table1[[#This Row],[City]])</f>
        <v>Bhopal</v>
      </c>
      <c r="AS292" t="str">
        <f>PROPER(Table1[[#This Row],[City]])</f>
        <v>Bhopal</v>
      </c>
      <c r="AT292" t="s">
        <v>345</v>
      </c>
      <c r="AU292" t="str">
        <f>CONCATENATE(Table1[[#This Row],[City]],Table1[[#This Row],[State]])</f>
        <v>BhopalMadhya Pradesh</v>
      </c>
      <c r="AV292" t="s">
        <v>346</v>
      </c>
      <c r="AW292" t="s">
        <v>275</v>
      </c>
      <c r="AX292" t="str">
        <f>REPLACE(Table1[[#This Row],[Product_ID]],1,1,"s")</f>
        <v>s101</v>
      </c>
      <c r="AY292" t="s">
        <v>1327</v>
      </c>
      <c r="AZ292">
        <f>SEARCH("-",Table1[[#This Row],[Product ID]])</f>
        <v>2</v>
      </c>
      <c r="BA292">
        <f>FIND("-",Table1[[#This Row],[Product ID]])</f>
        <v>2</v>
      </c>
      <c r="BB292" t="str">
        <f>MID(Table1[[#This Row],[Product_ID]],2,3)</f>
        <v>101</v>
      </c>
      <c r="BC292" t="str">
        <f>RIGHT(Table1[[#This Row],[Product_ID]],3)</f>
        <v>101</v>
      </c>
      <c r="BD292" t="str">
        <f>LEFT(Table1[[#This Row],[Product_ID]],3)</f>
        <v>P10</v>
      </c>
      <c r="BE292" t="str">
        <f>_xlfn.XLOOKUP(Table1[[#This Row],[Product_ID]],AW:AW,BF:BF,,0)</f>
        <v>Wireless Mouse</v>
      </c>
      <c r="BF292" t="s">
        <v>277</v>
      </c>
      <c r="BG292">
        <f>LEN(Table1[[#This Row],[Product_Name]])</f>
        <v>14</v>
      </c>
      <c r="BH292" t="s">
        <v>154</v>
      </c>
      <c r="BI292">
        <f t="shared" si="35"/>
        <v>75</v>
      </c>
      <c r="BJ292" t="str">
        <f>SUBSTITUTE(Table1[[#This Row],[Category]],"Electronics","ELECTRONICS")</f>
        <v>ELECTRONICS</v>
      </c>
      <c r="BN292" t="s">
        <v>155</v>
      </c>
      <c r="BS292" s="14">
        <v>3</v>
      </c>
      <c r="BT292" s="3">
        <v>799</v>
      </c>
      <c r="BU292" s="4">
        <v>15</v>
      </c>
      <c r="BV292" s="4" t="str">
        <f>IF(AND(Table1[[#This Row],[Quantity]]&gt;=3,Table1[[#This Row],[Discount_%]]&gt;=15%),"Bulk Discount","no")</f>
        <v>Bulk Discount</v>
      </c>
      <c r="BW292" s="4" t="str">
        <f>IF(AND(Table1[[#This Row],[Quantity]]&gt;3,Table1[[#This Row],[Discount_%]]&gt;15%),"Bulk Customer","Normal")</f>
        <v>Normal</v>
      </c>
      <c r="BX292" t="s">
        <v>187</v>
      </c>
      <c r="BY292" t="s">
        <v>193</v>
      </c>
      <c r="CC292" t="str">
        <f>IF(OR(Table1[[#This Row],[Order_Status]]="Returned",Table1[[#This Row],[Order_Status]]="Cancelled"),"Attention Required","Not")</f>
        <v>Not</v>
      </c>
      <c r="CD292" t="str">
        <f>IF(OR(Table1[[#This Row],[Order_Status]]="Returned",Table1[[#This Row],[Order_Status]]="Cancelled"),"Review","no")</f>
        <v>no</v>
      </c>
      <c r="CE292" t="str">
        <f>SUBSTITUTE(Table1[[#This Row],[Order_Status]],"Delivered","Completed")</f>
        <v>Shipped</v>
      </c>
      <c r="CF292" s="2">
        <v>45869</v>
      </c>
      <c r="CG292" s="17">
        <f>NETWORKDAYS(Table1[[#This Row],[Order_Date]],Table1[[#This Row],[Delivery_Date]])</f>
        <v>7</v>
      </c>
      <c r="CH292" s="17">
        <f>Table1[[#This Row],[Delivery_Date]]-Table1[[#This Row],[Order_Date]]</f>
        <v>8</v>
      </c>
      <c r="CI292" t="s">
        <v>137</v>
      </c>
      <c r="CJ292" t="str">
        <f>IF(Table1[[#This Row],[Rating]]&gt;=4,"Good","Needs Improvement")</f>
        <v>Good</v>
      </c>
      <c r="CK292" t="str">
        <f>IF(OR(Table1[[#This Row],[Rating]]&lt;=2,Table1[[#This Row],[Profit]]&lt;0),"Review","NO")</f>
        <v>NO</v>
      </c>
      <c r="CL292" t="str" cm="1">
        <f t="array" ref="CL292">_xlfn.IFS(Table1[[#This Row],[Rating]]&gt;2,"Poor",Table1[[#This Row],[Rating]]=3,"Average",Table1[[#This Row],[Rating]]=4,"Good",CP292=5,"Excellent")</f>
        <v>Poor</v>
      </c>
      <c r="CM292">
        <f>COUNT(Table1[[#This Row],[Rating]])</f>
        <v>1</v>
      </c>
      <c r="CN292">
        <f>COUNTBLANK(Table1[[#This Row],[Rating]])</f>
        <v>0</v>
      </c>
      <c r="CP292" t="s">
        <v>157</v>
      </c>
      <c r="CQ292" s="14">
        <v>5</v>
      </c>
      <c r="CR292" t="s">
        <v>173</v>
      </c>
      <c r="CS292" t="s">
        <v>174</v>
      </c>
      <c r="CU292" s="3">
        <v>2037.45</v>
      </c>
      <c r="CV292" s="3">
        <f>ROUND(Table1[[#This Row],[Sales_Amount]],0)</f>
        <v>2037</v>
      </c>
      <c r="CW292" s="3"/>
      <c r="CX292" s="3"/>
      <c r="CY292" s="3" t="b">
        <f>IF(AND(Table1[[#This Row],[Sales_Amount]]&gt;=10000,Table1[[#This Row],[Profit]]&gt;0),"Good Order")</f>
        <v>0</v>
      </c>
      <c r="CZ292" s="3" t="str">
        <f>IF(Table1[[#This Row],[Sales_Amount]]&gt;=10000,"High","Normal")</f>
        <v>Normal</v>
      </c>
      <c r="DA292" s="3">
        <v>777.45</v>
      </c>
      <c r="DB292" s="3">
        <f>ROUND(Table1[[#This Row],[Profit]],0)</f>
        <v>777</v>
      </c>
      <c r="DC292" s="3">
        <f>ABS(Table1[[#This Row],[Profit]])</f>
        <v>777.45</v>
      </c>
      <c r="DD292" s="3"/>
      <c r="DE292" s="3"/>
      <c r="DF292" s="3"/>
      <c r="DG292" s="3" t="str">
        <f>IF(Table1[[#This Row],[Profit]]&gt;0,"Profit","Loss")</f>
        <v>Profit</v>
      </c>
      <c r="DH292" s="3" t="str">
        <f>IF(AND(Table1[[#This Row],[Sales_Amount]]&gt;=10000,Table1[[#This Row],[Profit]]&gt;0),"Priority","Normal")</f>
        <v>Normal</v>
      </c>
      <c r="DI292" s="3">
        <f t="shared" ca="1" si="30"/>
        <v>0.74505277293803884</v>
      </c>
      <c r="DJ292" s="3">
        <f t="shared" ca="1" si="31"/>
        <v>28</v>
      </c>
      <c r="DK292" s="3"/>
      <c r="DL292" s="3"/>
      <c r="DM292" s="3"/>
      <c r="DN292" s="3"/>
      <c r="DO292" s="3"/>
      <c r="DP292" s="3"/>
    </row>
    <row r="293" spans="1:120">
      <c r="A293" t="s">
        <v>1328</v>
      </c>
      <c r="B293" t="str">
        <f>REPLACE(Table1[[#This Row],[Order_ID]],1,3,"YOO")</f>
        <v>YOO10292</v>
      </c>
      <c r="C293" t="str">
        <f>MID(Table1[[#This Row],[Order_ID]],4,4)</f>
        <v>1029</v>
      </c>
      <c r="D293" t="str">
        <f>LEFT(Table1[[#This Row],[Order_ID]],4)</f>
        <v>ORD1</v>
      </c>
      <c r="E293" t="str">
        <f>RIGHT(Table1[[#This Row],[Order_ID]],5)</f>
        <v>10292</v>
      </c>
      <c r="F293" t="s">
        <v>5</v>
      </c>
      <c r="G293">
        <v>10292</v>
      </c>
      <c r="H293" t="s">
        <v>1329</v>
      </c>
      <c r="I293" s="2">
        <f>EDATE(Table1[[#This Row],[Order_Date]],3)</f>
        <v>46235</v>
      </c>
      <c r="J293" s="2">
        <f>EDATE(Table1[[#This Row],[Order_Date]],6)</f>
        <v>46327</v>
      </c>
      <c r="K293">
        <f ca="1">YEAR(Table1[[#This Row],[Today]])</f>
        <v>2026</v>
      </c>
      <c r="L293">
        <v>292</v>
      </c>
      <c r="M293">
        <f ca="1">DAY(Table1[[#This Row],[Today]])</f>
        <v>11</v>
      </c>
      <c r="N293" s="19">
        <f t="shared" ca="1" si="34"/>
        <v>46245.589795138891</v>
      </c>
      <c r="O293" s="2">
        <f t="shared" ca="1" si="29"/>
        <v>46245</v>
      </c>
      <c r="P293" s="17">
        <f ca="1">Table1[[#This Row],[Today]]-Table1[[#This Row],[Order_Date]]</f>
        <v>102</v>
      </c>
      <c r="Q293" s="2">
        <v>45949</v>
      </c>
      <c r="R293" s="2">
        <v>46143</v>
      </c>
      <c r="S293" s="6">
        <f t="shared" si="32"/>
        <v>2026</v>
      </c>
      <c r="T293" s="7" t="str">
        <f t="shared" si="33"/>
        <v>May</v>
      </c>
      <c r="U293" s="2">
        <f>WORKDAY(Table1[[#This Row],[Order_Date]],5)</f>
        <v>46150</v>
      </c>
      <c r="V293" s="7" t="str">
        <f>CONCATENATE(Table1[[#This Row],[Customer_ID]],Table1[[#This Row],[Customer_Name]])</f>
        <v>C1024Pooja Jain</v>
      </c>
      <c r="W293" t="s">
        <v>161</v>
      </c>
      <c r="X293" t="s">
        <v>419</v>
      </c>
      <c r="Y293">
        <f>COUNTA(Table1[[#This Row],[Customer_Name]])</f>
        <v>1</v>
      </c>
      <c r="Z293" t="str">
        <f>SUBSTITUTE(Table1[[#This Row],[Customer_Name]]," ","_")</f>
        <v>Pooja_Jain</v>
      </c>
      <c r="AA293" s="10">
        <f>IFERROR(SEARCH("a",Table1[[#This Row],[Customer_Name]]),"N/A")</f>
        <v>5</v>
      </c>
      <c r="AB293">
        <f>SEARCH(" ",Table1[[#This Row],[Customer_Name]])</f>
        <v>6</v>
      </c>
      <c r="AC293" s="11">
        <f>IFERROR(FIND("a",Table1[[#This Row],[Customer_Name]]),"N/A")</f>
        <v>5</v>
      </c>
      <c r="AD293">
        <f>FIND(" ",Table1[[#This Row],[Customer_Name]])</f>
        <v>6</v>
      </c>
      <c r="AE293" t="str">
        <f>TRIM(Table1[[#This Row],[Customer_Name]])</f>
        <v>Pooja Jain</v>
      </c>
      <c r="AF293">
        <f>LEN(Table1[[#This Row],[Trimmed]])</f>
        <v>10</v>
      </c>
      <c r="AG293">
        <f>MAX(Table1[Length])</f>
        <v>15</v>
      </c>
      <c r="AH293" t="str">
        <f>PROPER(Table1[[#This Row],[Customer_Name]])</f>
        <v>Pooja Jain</v>
      </c>
      <c r="AI293" t="str">
        <f>LOWER(Table1[[#This Row],[Customer_Name]])</f>
        <v>pooja jain</v>
      </c>
      <c r="AJ293" t="str">
        <f>UPPER(Table1[[#This Row],[Customer_Name]])</f>
        <v>POOJA JAIN</v>
      </c>
      <c r="AK293" t="str">
        <f>CONCATENATE(Table1[[#This Row],[Customer_ID]],Table1[[#This Row],[Customer_Name]])</f>
        <v>C1024Pooja Jain</v>
      </c>
      <c r="AL293" t="s">
        <v>420</v>
      </c>
      <c r="AM293" t="s">
        <v>421</v>
      </c>
      <c r="AN293" t="s">
        <v>422</v>
      </c>
      <c r="AO293" t="s">
        <v>420</v>
      </c>
      <c r="AP293" t="s">
        <v>421</v>
      </c>
      <c r="AQ293" t="s">
        <v>569</v>
      </c>
      <c r="AR293" t="str">
        <f>TRIM(Table1[[#This Row],[City]])</f>
        <v>Delhi</v>
      </c>
      <c r="AS293" t="str">
        <f>PROPER(Table1[[#This Row],[City]])</f>
        <v>Delhi</v>
      </c>
      <c r="AT293" t="s">
        <v>569</v>
      </c>
      <c r="AU293" t="str">
        <f>CONCATENATE(Table1[[#This Row],[City]],Table1[[#This Row],[State]])</f>
        <v>DelhiDelhi</v>
      </c>
      <c r="AV293" t="s">
        <v>150</v>
      </c>
      <c r="AW293" t="s">
        <v>370</v>
      </c>
      <c r="AX293" t="str">
        <f>REPLACE(Table1[[#This Row],[Product_ID]],1,1,"s")</f>
        <v>s108</v>
      </c>
      <c r="AY293" t="s">
        <v>1330</v>
      </c>
      <c r="AZ293">
        <f>SEARCH("-",Table1[[#This Row],[Product ID]])</f>
        <v>2</v>
      </c>
      <c r="BA293">
        <f>FIND("-",Table1[[#This Row],[Product ID]])</f>
        <v>2</v>
      </c>
      <c r="BB293" t="str">
        <f>MID(Table1[[#This Row],[Product_ID]],2,3)</f>
        <v>108</v>
      </c>
      <c r="BC293" t="str">
        <f>RIGHT(Table1[[#This Row],[Product_ID]],3)</f>
        <v>108</v>
      </c>
      <c r="BD293" t="str">
        <f>LEFT(Table1[[#This Row],[Product_ID]],3)</f>
        <v>P10</v>
      </c>
      <c r="BE293" t="str">
        <f>_xlfn.XLOOKUP(Table1[[#This Row],[Product_ID]],AW:AW,BF:BF,,0)</f>
        <v>Hoodie</v>
      </c>
      <c r="BF293" t="s">
        <v>372</v>
      </c>
      <c r="BG293">
        <f>LEN(Table1[[#This Row],[Product_Name]])</f>
        <v>6</v>
      </c>
      <c r="BH293" t="s">
        <v>224</v>
      </c>
      <c r="BI293">
        <f t="shared" si="35"/>
        <v>75</v>
      </c>
      <c r="BJ293" t="str">
        <f>SUBSTITUTE(Table1[[#This Row],[Category]],"Electronics","ELECTRONICS")</f>
        <v>Fashion</v>
      </c>
      <c r="BN293" t="s">
        <v>373</v>
      </c>
      <c r="BS293" s="14">
        <v>5</v>
      </c>
      <c r="BT293" s="3">
        <v>1999</v>
      </c>
      <c r="BU293" s="4">
        <v>15</v>
      </c>
      <c r="BV293" s="4" t="str">
        <f>IF(AND(Table1[[#This Row],[Quantity]]&gt;=3,Table1[[#This Row],[Discount_%]]&gt;=15%),"Bulk Discount","no")</f>
        <v>Bulk Discount</v>
      </c>
      <c r="BW293" s="4" t="str">
        <f>IF(AND(Table1[[#This Row],[Quantity]]&gt;3,Table1[[#This Row],[Discount_%]]&gt;15%),"Bulk Customer","Normal")</f>
        <v>Bulk Customer</v>
      </c>
      <c r="BX293" t="s">
        <v>172</v>
      </c>
      <c r="BY293" t="s">
        <v>136</v>
      </c>
      <c r="CC293" t="str">
        <f>IF(OR(Table1[[#This Row],[Order_Status]]="Returned",Table1[[#This Row],[Order_Status]]="Cancelled"),"Attention Required","Not")</f>
        <v>Not</v>
      </c>
      <c r="CD293" t="str">
        <f>IF(OR(Table1[[#This Row],[Order_Status]]="Returned",Table1[[#This Row],[Order_Status]]="Cancelled"),"Review","no")</f>
        <v>no</v>
      </c>
      <c r="CE293" t="str">
        <f>SUBSTITUTE(Table1[[#This Row],[Order_Status]],"Delivered","Completed")</f>
        <v>Completed</v>
      </c>
      <c r="CF293" s="2">
        <v>46146</v>
      </c>
      <c r="CG293" s="17">
        <f>NETWORKDAYS(Table1[[#This Row],[Order_Date]],Table1[[#This Row],[Delivery_Date]])</f>
        <v>2</v>
      </c>
      <c r="CH293" s="17">
        <f>Table1[[#This Row],[Delivery_Date]]-Table1[[#This Row],[Order_Date]]</f>
        <v>3</v>
      </c>
      <c r="CI293" t="s">
        <v>137</v>
      </c>
      <c r="CJ293" t="str">
        <f>IF(Table1[[#This Row],[Rating]]&gt;=4,"Good","Needs Improvement")</f>
        <v>Good</v>
      </c>
      <c r="CK293" t="str">
        <f>IF(OR(Table1[[#This Row],[Rating]]&lt;=2,Table1[[#This Row],[Profit]]&lt;0),"Review","NO")</f>
        <v>NO</v>
      </c>
      <c r="CL293" t="str" cm="1">
        <f t="array" ref="CL293">_xlfn.IFS(Table1[[#This Row],[Rating]]&gt;2,"Poor",Table1[[#This Row],[Rating]]=3,"Average",Table1[[#This Row],[Rating]]=4,"Good",CP293=5,"Excellent")</f>
        <v>Poor</v>
      </c>
      <c r="CM293">
        <f>COUNT(Table1[[#This Row],[Rating]])</f>
        <v>1</v>
      </c>
      <c r="CN293">
        <f>COUNTBLANK(Table1[[#This Row],[Rating]])</f>
        <v>0</v>
      </c>
      <c r="CP293" t="s">
        <v>138</v>
      </c>
      <c r="CQ293" s="14">
        <v>4</v>
      </c>
      <c r="CR293" t="s">
        <v>139</v>
      </c>
      <c r="CS293" t="s">
        <v>158</v>
      </c>
      <c r="CU293" s="3">
        <v>8495.75</v>
      </c>
      <c r="CV293" s="3">
        <f>ROUND(Table1[[#This Row],[Sales_Amount]],0)</f>
        <v>8496</v>
      </c>
      <c r="CW293" s="3"/>
      <c r="CX293" s="3"/>
      <c r="CY293" s="3" t="b">
        <f>IF(AND(Table1[[#This Row],[Sales_Amount]]&gt;=10000,Table1[[#This Row],[Profit]]&gt;0),"Good Order")</f>
        <v>0</v>
      </c>
      <c r="CZ293" s="3" t="str">
        <f>IF(Table1[[#This Row],[Sales_Amount]]&gt;=10000,"High","Normal")</f>
        <v>Normal</v>
      </c>
      <c r="DA293" s="3">
        <v>3245.75</v>
      </c>
      <c r="DB293" s="3">
        <f>ROUND(Table1[[#This Row],[Profit]],0)</f>
        <v>3246</v>
      </c>
      <c r="DC293" s="3">
        <f>ABS(Table1[[#This Row],[Profit]])</f>
        <v>3245.75</v>
      </c>
      <c r="DD293" s="3"/>
      <c r="DE293" s="3"/>
      <c r="DF293" s="3"/>
      <c r="DG293" s="3" t="str">
        <f>IF(Table1[[#This Row],[Profit]]&gt;0,"Profit","Loss")</f>
        <v>Profit</v>
      </c>
      <c r="DH293" s="3" t="str">
        <f>IF(AND(Table1[[#This Row],[Sales_Amount]]&gt;=10000,Table1[[#This Row],[Profit]]&gt;0),"Priority","Normal")</f>
        <v>Normal</v>
      </c>
      <c r="DI293" s="3">
        <f t="shared" ca="1" si="30"/>
        <v>0.20574069363197178</v>
      </c>
      <c r="DJ293" s="3">
        <f t="shared" ca="1" si="31"/>
        <v>22</v>
      </c>
      <c r="DK293" s="3"/>
      <c r="DL293" s="3"/>
      <c r="DM293" s="3"/>
      <c r="DN293" s="3"/>
      <c r="DO293" s="3"/>
      <c r="DP293" s="3"/>
    </row>
    <row r="294" spans="1:120">
      <c r="A294" t="s">
        <v>1331</v>
      </c>
      <c r="B294" t="str">
        <f>REPLACE(Table1[[#This Row],[Order_ID]],1,3,"YOO")</f>
        <v>YOO10293</v>
      </c>
      <c r="C294" t="str">
        <f>MID(Table1[[#This Row],[Order_ID]],4,4)</f>
        <v>1029</v>
      </c>
      <c r="D294" t="str">
        <f>LEFT(Table1[[#This Row],[Order_ID]],4)</f>
        <v>ORD1</v>
      </c>
      <c r="E294" t="str">
        <f>RIGHT(Table1[[#This Row],[Order_ID]],5)</f>
        <v>10293</v>
      </c>
      <c r="F294" t="s">
        <v>5</v>
      </c>
      <c r="G294">
        <v>10293</v>
      </c>
      <c r="H294" t="s">
        <v>1332</v>
      </c>
      <c r="I294" s="2">
        <f>EDATE(Table1[[#This Row],[Order_Date]],3)</f>
        <v>45969</v>
      </c>
      <c r="J294" s="2">
        <f>EDATE(Table1[[#This Row],[Order_Date]],6)</f>
        <v>46061</v>
      </c>
      <c r="K294">
        <f ca="1">YEAR(Table1[[#This Row],[Today]])</f>
        <v>2026</v>
      </c>
      <c r="L294">
        <v>293</v>
      </c>
      <c r="M294">
        <f ca="1">DAY(Table1[[#This Row],[Today]])</f>
        <v>11</v>
      </c>
      <c r="N294" s="19">
        <f t="shared" ca="1" si="34"/>
        <v>46245.589795370368</v>
      </c>
      <c r="O294" s="2">
        <f t="shared" ca="1" si="29"/>
        <v>46245</v>
      </c>
      <c r="P294" s="17">
        <f ca="1">Table1[[#This Row],[Today]]-Table1[[#This Row],[Order_Date]]</f>
        <v>368</v>
      </c>
      <c r="Q294" s="2">
        <v>45950</v>
      </c>
      <c r="R294" s="2">
        <v>45877</v>
      </c>
      <c r="S294" s="6">
        <f t="shared" si="32"/>
        <v>2025</v>
      </c>
      <c r="T294" s="7" t="str">
        <f t="shared" si="33"/>
        <v>August</v>
      </c>
      <c r="U294" s="2">
        <f>WORKDAY(Table1[[#This Row],[Order_Date]],5)</f>
        <v>45884</v>
      </c>
      <c r="V294" s="7" t="str">
        <f>CONCATENATE(Table1[[#This Row],[Customer_ID]],Table1[[#This Row],[Customer_Name]])</f>
        <v>C1105Aditya Malhotra</v>
      </c>
      <c r="W294" t="s">
        <v>1333</v>
      </c>
      <c r="X294" t="s">
        <v>257</v>
      </c>
      <c r="Y294">
        <f>COUNTA(Table1[[#This Row],[Customer_Name]])</f>
        <v>1</v>
      </c>
      <c r="Z294" t="str">
        <f>SUBSTITUTE(Table1[[#This Row],[Customer_Name]]," ","_")</f>
        <v>Aditya_Malhotra</v>
      </c>
      <c r="AA294" s="10">
        <f>IFERROR(SEARCH("a",Table1[[#This Row],[Customer_Name]]),"N/A")</f>
        <v>1</v>
      </c>
      <c r="AB294">
        <f>SEARCH(" ",Table1[[#This Row],[Customer_Name]])</f>
        <v>7</v>
      </c>
      <c r="AC294" s="11">
        <f>IFERROR(FIND("a",Table1[[#This Row],[Customer_Name]]),"N/A")</f>
        <v>6</v>
      </c>
      <c r="AD294">
        <f>FIND(" ",Table1[[#This Row],[Customer_Name]])</f>
        <v>7</v>
      </c>
      <c r="AE294" t="str">
        <f>TRIM(Table1[[#This Row],[Customer_Name]])</f>
        <v>Aditya Malhotra</v>
      </c>
      <c r="AF294">
        <f>LEN(Table1[[#This Row],[Trimmed]])</f>
        <v>15</v>
      </c>
      <c r="AG294">
        <f>MAX(Table1[Length])</f>
        <v>15</v>
      </c>
      <c r="AH294" t="str">
        <f>PROPER(Table1[[#This Row],[Customer_Name]])</f>
        <v>Aditya Malhotra</v>
      </c>
      <c r="AI294" t="str">
        <f>LOWER(Table1[[#This Row],[Customer_Name]])</f>
        <v>aditya malhotra</v>
      </c>
      <c r="AJ294" t="str">
        <f>UPPER(Table1[[#This Row],[Customer_Name]])</f>
        <v>ADITYA MALHOTRA</v>
      </c>
      <c r="AK294" t="str">
        <f>CONCATENATE(Table1[[#This Row],[Customer_ID]],Table1[[#This Row],[Customer_Name]])</f>
        <v>C1105Aditya Malhotra</v>
      </c>
      <c r="AL294" t="s">
        <v>258</v>
      </c>
      <c r="AM294" t="s">
        <v>259</v>
      </c>
      <c r="AN294" t="s">
        <v>260</v>
      </c>
      <c r="AO294" t="s">
        <v>258</v>
      </c>
      <c r="AP294" t="s">
        <v>259</v>
      </c>
      <c r="AQ294" t="s">
        <v>233</v>
      </c>
      <c r="AR294" t="str">
        <f>TRIM(Table1[[#This Row],[City]])</f>
        <v>Kolkata</v>
      </c>
      <c r="AS294" t="str">
        <f>PROPER(Table1[[#This Row],[City]])</f>
        <v>Kolkata</v>
      </c>
      <c r="AT294" t="s">
        <v>234</v>
      </c>
      <c r="AU294" t="str">
        <f>CONCATENATE(Table1[[#This Row],[City]],Table1[[#This Row],[State]])</f>
        <v>KolkataWest Bengal</v>
      </c>
      <c r="AV294" t="s">
        <v>235</v>
      </c>
      <c r="AW294" t="s">
        <v>261</v>
      </c>
      <c r="AX294" t="str">
        <f>REPLACE(Table1[[#This Row],[Product_ID]],1,1,"s")</f>
        <v>s114</v>
      </c>
      <c r="AY294" t="s">
        <v>1334</v>
      </c>
      <c r="AZ294">
        <f>SEARCH("-",Table1[[#This Row],[Product ID]])</f>
        <v>2</v>
      </c>
      <c r="BA294">
        <f>FIND("-",Table1[[#This Row],[Product ID]])</f>
        <v>2</v>
      </c>
      <c r="BB294" t="str">
        <f>MID(Table1[[#This Row],[Product_ID]],2,3)</f>
        <v>114</v>
      </c>
      <c r="BC294" t="str">
        <f>RIGHT(Table1[[#This Row],[Product_ID]],3)</f>
        <v>114</v>
      </c>
      <c r="BD294" t="str">
        <f>LEFT(Table1[[#This Row],[Product_ID]],3)</f>
        <v>P11</v>
      </c>
      <c r="BE294" t="str">
        <f>_xlfn.XLOOKUP(Table1[[#This Row],[Product_ID]],AW:AW,BF:BF,,0)</f>
        <v>Yoga Mat</v>
      </c>
      <c r="BF294" t="s">
        <v>263</v>
      </c>
      <c r="BG294">
        <f>LEN(Table1[[#This Row],[Product_Name]])</f>
        <v>8</v>
      </c>
      <c r="BH294" t="s">
        <v>264</v>
      </c>
      <c r="BI294">
        <f t="shared" si="35"/>
        <v>75</v>
      </c>
      <c r="BJ294" t="str">
        <f>SUBSTITUTE(Table1[[#This Row],[Category]],"Electronics","ELECTRONICS")</f>
        <v>Sports</v>
      </c>
      <c r="BN294" t="s">
        <v>265</v>
      </c>
      <c r="BS294" s="14">
        <v>2</v>
      </c>
      <c r="BT294" s="3">
        <v>999</v>
      </c>
      <c r="BU294" s="4">
        <v>10</v>
      </c>
      <c r="BV294" s="4" t="str">
        <f>IF(AND(Table1[[#This Row],[Quantity]]&gt;=3,Table1[[#This Row],[Discount_%]]&gt;=15%),"Bulk Discount","no")</f>
        <v>no</v>
      </c>
      <c r="BW294" s="4" t="str">
        <f>IF(AND(Table1[[#This Row],[Quantity]]&gt;3,Table1[[#This Row],[Discount_%]]&gt;15%),"Bulk Customer","Normal")</f>
        <v>Normal</v>
      </c>
      <c r="BX294" t="s">
        <v>172</v>
      </c>
      <c r="BY294" t="s">
        <v>374</v>
      </c>
      <c r="CC294" t="str">
        <f>IF(OR(Table1[[#This Row],[Order_Status]]="Returned",Table1[[#This Row],[Order_Status]]="Cancelled"),"Attention Required","Not")</f>
        <v>Attention Required</v>
      </c>
      <c r="CD294" t="str">
        <f>IF(OR(Table1[[#This Row],[Order_Status]]="Returned",Table1[[#This Row],[Order_Status]]="Cancelled"),"Review","no")</f>
        <v>Review</v>
      </c>
      <c r="CE294" t="str">
        <f>SUBSTITUTE(Table1[[#This Row],[Order_Status]],"Delivered","Completed")</f>
        <v>Returned</v>
      </c>
      <c r="CF294" s="2">
        <v>45881</v>
      </c>
      <c r="CG294" s="17">
        <f>NETWORKDAYS(Table1[[#This Row],[Order_Date]],Table1[[#This Row],[Delivery_Date]])</f>
        <v>3</v>
      </c>
      <c r="CH294" s="17">
        <f>Table1[[#This Row],[Delivery_Date]]-Table1[[#This Row],[Order_Date]]</f>
        <v>4</v>
      </c>
      <c r="CI294" t="s">
        <v>375</v>
      </c>
      <c r="CJ294" t="str">
        <f>IF(Table1[[#This Row],[Rating]]&gt;=4,"Good","Needs Improvement")</f>
        <v>Good</v>
      </c>
      <c r="CK294" t="str">
        <f>IF(OR(Table1[[#This Row],[Rating]]&lt;=2,Table1[[#This Row],[Profit]]&lt;0),"Review","NO")</f>
        <v>NO</v>
      </c>
      <c r="CL294" t="str" cm="1">
        <f t="array" ref="CL294">_xlfn.IFS(Table1[[#This Row],[Rating]]&gt;2,"Poor",Table1[[#This Row],[Rating]]=3,"Average",Table1[[#This Row],[Rating]]=4,"Good",CP294=5,"Excellent")</f>
        <v>Poor</v>
      </c>
      <c r="CM294">
        <f>COUNT(Table1[[#This Row],[Rating]])</f>
        <v>1</v>
      </c>
      <c r="CN294">
        <f>COUNTBLANK(Table1[[#This Row],[Rating]])</f>
        <v>0</v>
      </c>
      <c r="CQ294" s="14">
        <v>4</v>
      </c>
      <c r="CR294" t="s">
        <v>139</v>
      </c>
      <c r="CS294" t="s">
        <v>267</v>
      </c>
      <c r="CU294" s="3">
        <v>1798.2</v>
      </c>
      <c r="CV294" s="3">
        <f>ROUND(Table1[[#This Row],[Sales_Amount]],0)</f>
        <v>1798</v>
      </c>
      <c r="CW294" s="3"/>
      <c r="CX294" s="3"/>
      <c r="CY294" s="3" t="b">
        <f>IF(AND(Table1[[#This Row],[Sales_Amount]]&gt;=10000,Table1[[#This Row],[Profit]]&gt;0),"Good Order")</f>
        <v>0</v>
      </c>
      <c r="CZ294" s="3" t="str">
        <f>IF(Table1[[#This Row],[Sales_Amount]]&gt;=10000,"High","Normal")</f>
        <v>Normal</v>
      </c>
      <c r="DA294" s="3">
        <v>898.2</v>
      </c>
      <c r="DB294" s="3">
        <f>ROUND(Table1[[#This Row],[Profit]],0)</f>
        <v>898</v>
      </c>
      <c r="DC294" s="3">
        <f>ABS(Table1[[#This Row],[Profit]])</f>
        <v>898.2</v>
      </c>
      <c r="DD294" s="3"/>
      <c r="DE294" s="3"/>
      <c r="DF294" s="3"/>
      <c r="DG294" s="3" t="str">
        <f>IF(Table1[[#This Row],[Profit]]&gt;0,"Profit","Loss")</f>
        <v>Profit</v>
      </c>
      <c r="DH294" s="3" t="str">
        <f>IF(AND(Table1[[#This Row],[Sales_Amount]]&gt;=10000,Table1[[#This Row],[Profit]]&gt;0),"Priority","Normal")</f>
        <v>Normal</v>
      </c>
      <c r="DI294" s="3">
        <f t="shared" ca="1" si="30"/>
        <v>0.52034612571539007</v>
      </c>
      <c r="DJ294" s="3">
        <f t="shared" ca="1" si="31"/>
        <v>44</v>
      </c>
      <c r="DK294" s="3"/>
      <c r="DL294" s="3"/>
      <c r="DM294" s="3"/>
      <c r="DN294" s="3"/>
      <c r="DO294" s="3"/>
      <c r="DP294" s="3"/>
    </row>
    <row r="295" spans="1:120">
      <c r="A295" t="s">
        <v>1335</v>
      </c>
      <c r="B295" t="str">
        <f>REPLACE(Table1[[#This Row],[Order_ID]],1,3,"YOO")</f>
        <v>YOO10294</v>
      </c>
      <c r="C295" t="str">
        <f>MID(Table1[[#This Row],[Order_ID]],4,4)</f>
        <v>1029</v>
      </c>
      <c r="D295" t="str">
        <f>LEFT(Table1[[#This Row],[Order_ID]],4)</f>
        <v>ORD1</v>
      </c>
      <c r="E295" t="str">
        <f>RIGHT(Table1[[#This Row],[Order_ID]],5)</f>
        <v>10294</v>
      </c>
      <c r="F295" t="s">
        <v>5</v>
      </c>
      <c r="G295">
        <v>10294</v>
      </c>
      <c r="H295" t="s">
        <v>1336</v>
      </c>
      <c r="I295" s="2">
        <f>EDATE(Table1[[#This Row],[Order_Date]],3)</f>
        <v>45927</v>
      </c>
      <c r="J295" s="2">
        <f>EDATE(Table1[[#This Row],[Order_Date]],6)</f>
        <v>46018</v>
      </c>
      <c r="K295">
        <f ca="1">YEAR(Table1[[#This Row],[Today]])</f>
        <v>2026</v>
      </c>
      <c r="L295">
        <v>294</v>
      </c>
      <c r="M295">
        <f ca="1">DAY(Table1[[#This Row],[Today]])</f>
        <v>11</v>
      </c>
      <c r="N295" s="19">
        <f t="shared" ca="1" si="34"/>
        <v>46245.589795370368</v>
      </c>
      <c r="O295" s="2">
        <f t="shared" ca="1" si="29"/>
        <v>46245</v>
      </c>
      <c r="P295" s="17">
        <f ca="1">Table1[[#This Row],[Today]]-Table1[[#This Row],[Order_Date]]</f>
        <v>410</v>
      </c>
      <c r="Q295" s="2">
        <v>45951</v>
      </c>
      <c r="R295" s="2">
        <v>45835</v>
      </c>
      <c r="S295" s="6">
        <f t="shared" si="32"/>
        <v>2025</v>
      </c>
      <c r="T295" s="7" t="str">
        <f t="shared" si="33"/>
        <v>June</v>
      </c>
      <c r="U295" s="2">
        <f>WORKDAY(Table1[[#This Row],[Order_Date]],5)</f>
        <v>45842</v>
      </c>
      <c r="V295" s="7" t="str">
        <f>CONCATENATE(Table1[[#This Row],[Customer_ID]],Table1[[#This Row],[Customer_Name]])</f>
        <v>C1071Isha Kapoor</v>
      </c>
      <c r="W295" t="s">
        <v>532</v>
      </c>
      <c r="X295" t="s">
        <v>411</v>
      </c>
      <c r="Y295">
        <f>COUNTA(Table1[[#This Row],[Customer_Name]])</f>
        <v>1</v>
      </c>
      <c r="Z295" t="str">
        <f>SUBSTITUTE(Table1[[#This Row],[Customer_Name]]," ","_")</f>
        <v>Isha_Kapoor</v>
      </c>
      <c r="AA295" s="10">
        <f>IFERROR(SEARCH("a",Table1[[#This Row],[Customer_Name]]),"N/A")</f>
        <v>4</v>
      </c>
      <c r="AB295">
        <f>SEARCH(" ",Table1[[#This Row],[Customer_Name]])</f>
        <v>5</v>
      </c>
      <c r="AC295" s="11">
        <f>IFERROR(FIND("a",Table1[[#This Row],[Customer_Name]]),"N/A")</f>
        <v>4</v>
      </c>
      <c r="AD295">
        <f>FIND(" ",Table1[[#This Row],[Customer_Name]])</f>
        <v>5</v>
      </c>
      <c r="AE295" t="str">
        <f>TRIM(Table1[[#This Row],[Customer_Name]])</f>
        <v>Isha Kapoor</v>
      </c>
      <c r="AF295">
        <f>LEN(Table1[[#This Row],[Trimmed]])</f>
        <v>11</v>
      </c>
      <c r="AG295">
        <f>MAX(Table1[Length])</f>
        <v>15</v>
      </c>
      <c r="AH295" t="str">
        <f>PROPER(Table1[[#This Row],[Customer_Name]])</f>
        <v>Isha Kapoor</v>
      </c>
      <c r="AI295" t="str">
        <f>LOWER(Table1[[#This Row],[Customer_Name]])</f>
        <v>isha kapoor</v>
      </c>
      <c r="AJ295" t="str">
        <f>UPPER(Table1[[#This Row],[Customer_Name]])</f>
        <v>ISHA KAPOOR</v>
      </c>
      <c r="AK295" t="str">
        <f>CONCATENATE(Table1[[#This Row],[Customer_ID]],Table1[[#This Row],[Customer_Name]])</f>
        <v>C1071Isha Kapoor</v>
      </c>
      <c r="AL295" t="s">
        <v>412</v>
      </c>
      <c r="AM295" t="s">
        <v>413</v>
      </c>
      <c r="AN295" t="s">
        <v>414</v>
      </c>
      <c r="AO295" t="s">
        <v>412</v>
      </c>
      <c r="AP295" t="s">
        <v>413</v>
      </c>
      <c r="AQ295" t="s">
        <v>569</v>
      </c>
      <c r="AR295" t="str">
        <f>TRIM(Table1[[#This Row],[City]])</f>
        <v>Delhi</v>
      </c>
      <c r="AS295" t="str">
        <f>PROPER(Table1[[#This Row],[City]])</f>
        <v>Delhi</v>
      </c>
      <c r="AT295" t="s">
        <v>569</v>
      </c>
      <c r="AU295" t="str">
        <f>CONCATENATE(Table1[[#This Row],[City]],Table1[[#This Row],[State]])</f>
        <v>DelhiDelhi</v>
      </c>
      <c r="AV295" t="s">
        <v>150</v>
      </c>
      <c r="AW295" t="s">
        <v>338</v>
      </c>
      <c r="AX295" t="str">
        <f>REPLACE(Table1[[#This Row],[Product_ID]],1,1,"s")</f>
        <v>s115</v>
      </c>
      <c r="AY295" t="s">
        <v>1337</v>
      </c>
      <c r="AZ295">
        <f>SEARCH("-",Table1[[#This Row],[Product ID]])</f>
        <v>2</v>
      </c>
      <c r="BA295">
        <f>FIND("-",Table1[[#This Row],[Product ID]])</f>
        <v>2</v>
      </c>
      <c r="BB295" t="str">
        <f>MID(Table1[[#This Row],[Product_ID]],2,3)</f>
        <v>115</v>
      </c>
      <c r="BC295" t="str">
        <f>RIGHT(Table1[[#This Row],[Product_ID]],3)</f>
        <v>115</v>
      </c>
      <c r="BD295" t="str">
        <f>LEFT(Table1[[#This Row],[Product_ID]],3)</f>
        <v>P11</v>
      </c>
      <c r="BE295" t="str">
        <f>_xlfn.XLOOKUP(Table1[[#This Row],[Product_ID]],AW:AW,BF:BF,,0)</f>
        <v>Dumbbell Set</v>
      </c>
      <c r="BF295" t="s">
        <v>340</v>
      </c>
      <c r="BG295">
        <f>LEN(Table1[[#This Row],[Product_Name]])</f>
        <v>12</v>
      </c>
      <c r="BH295" t="s">
        <v>264</v>
      </c>
      <c r="BI295">
        <f t="shared" si="35"/>
        <v>75</v>
      </c>
      <c r="BJ295" t="str">
        <f>SUBSTITUTE(Table1[[#This Row],[Category]],"Electronics","ELECTRONICS")</f>
        <v>Sports</v>
      </c>
      <c r="BN295" t="s">
        <v>265</v>
      </c>
      <c r="BS295" s="14">
        <v>5</v>
      </c>
      <c r="BT295" s="3">
        <v>2499</v>
      </c>
      <c r="BU295" s="4">
        <v>0</v>
      </c>
      <c r="BV295" s="4" t="str">
        <f>IF(AND(Table1[[#This Row],[Quantity]]&gt;=3,Table1[[#This Row],[Discount_%]]&gt;=15%),"Bulk Discount","no")</f>
        <v>no</v>
      </c>
      <c r="BW295" s="4" t="str">
        <f>IF(AND(Table1[[#This Row],[Quantity]]&gt;3,Table1[[#This Row],[Discount_%]]&gt;15%),"Bulk Customer","Normal")</f>
        <v>Normal</v>
      </c>
      <c r="BX295" t="s">
        <v>330</v>
      </c>
      <c r="BY295" t="s">
        <v>136</v>
      </c>
      <c r="CC295" t="str">
        <f>IF(OR(Table1[[#This Row],[Order_Status]]="Returned",Table1[[#This Row],[Order_Status]]="Cancelled"),"Attention Required","Not")</f>
        <v>Not</v>
      </c>
      <c r="CD295" t="str">
        <f>IF(OR(Table1[[#This Row],[Order_Status]]="Returned",Table1[[#This Row],[Order_Status]]="Cancelled"),"Review","no")</f>
        <v>no</v>
      </c>
      <c r="CE295" t="str">
        <f>SUBSTITUTE(Table1[[#This Row],[Order_Status]],"Delivered","Completed")</f>
        <v>Completed</v>
      </c>
      <c r="CF295" s="2">
        <v>45840</v>
      </c>
      <c r="CG295" s="17">
        <f>NETWORKDAYS(Table1[[#This Row],[Order_Date]],Table1[[#This Row],[Delivery_Date]])</f>
        <v>4</v>
      </c>
      <c r="CH295" s="17">
        <f>Table1[[#This Row],[Delivery_Date]]-Table1[[#This Row],[Order_Date]]</f>
        <v>5</v>
      </c>
      <c r="CI295" t="s">
        <v>137</v>
      </c>
      <c r="CJ295" t="str">
        <f>IF(Table1[[#This Row],[Rating]]&gt;=4,"Good","Needs Improvement")</f>
        <v>Good</v>
      </c>
      <c r="CK295" t="str">
        <f>IF(OR(Table1[[#This Row],[Rating]]&lt;=2,Table1[[#This Row],[Profit]]&lt;0),"Review","NO")</f>
        <v>NO</v>
      </c>
      <c r="CL295" t="str" cm="1">
        <f t="array" ref="CL295">_xlfn.IFS(Table1[[#This Row],[Rating]]&gt;2,"Poor",Table1[[#This Row],[Rating]]=3,"Average",Table1[[#This Row],[Rating]]=4,"Good",CP295=5,"Excellent")</f>
        <v>Poor</v>
      </c>
      <c r="CM295">
        <f>COUNT(Table1[[#This Row],[Rating]])</f>
        <v>1</v>
      </c>
      <c r="CN295">
        <f>COUNTBLANK(Table1[[#This Row],[Rating]])</f>
        <v>0</v>
      </c>
      <c r="CP295" t="s">
        <v>157</v>
      </c>
      <c r="CQ295" s="14">
        <v>4</v>
      </c>
      <c r="CR295" t="s">
        <v>173</v>
      </c>
      <c r="CS295" t="s">
        <v>195</v>
      </c>
      <c r="CU295" s="3">
        <v>12495</v>
      </c>
      <c r="CV295" s="3">
        <f>ROUND(Table1[[#This Row],[Sales_Amount]],0)</f>
        <v>12495</v>
      </c>
      <c r="CW295" s="3"/>
      <c r="CX295" s="3"/>
      <c r="CY295" s="3" t="str">
        <f>IF(AND(Table1[[#This Row],[Sales_Amount]]&gt;=10000,Table1[[#This Row],[Profit]]&gt;0),"Good Order")</f>
        <v>Good Order</v>
      </c>
      <c r="CZ295" s="3" t="str">
        <f>IF(Table1[[#This Row],[Sales_Amount]]&gt;=10000,"High","Normal")</f>
        <v>High</v>
      </c>
      <c r="DA295" s="3">
        <v>5245</v>
      </c>
      <c r="DB295" s="3">
        <f>ROUND(Table1[[#This Row],[Profit]],0)</f>
        <v>5245</v>
      </c>
      <c r="DC295" s="3">
        <f>ABS(Table1[[#This Row],[Profit]])</f>
        <v>5245</v>
      </c>
      <c r="DD295" s="3"/>
      <c r="DE295" s="3"/>
      <c r="DF295" s="3"/>
      <c r="DG295" s="3" t="str">
        <f>IF(Table1[[#This Row],[Profit]]&gt;0,"Profit","Loss")</f>
        <v>Profit</v>
      </c>
      <c r="DH295" s="3" t="str">
        <f>IF(AND(Table1[[#This Row],[Sales_Amount]]&gt;=10000,Table1[[#This Row],[Profit]]&gt;0),"Priority","Normal")</f>
        <v>Priority</v>
      </c>
      <c r="DI295" s="3">
        <f t="shared" ca="1" si="30"/>
        <v>0.35259844587791811</v>
      </c>
      <c r="DJ295" s="3">
        <f t="shared" ca="1" si="31"/>
        <v>39</v>
      </c>
      <c r="DK295" s="3"/>
      <c r="DL295" s="3"/>
      <c r="DM295" s="3"/>
      <c r="DN295" s="3"/>
      <c r="DO295" s="3"/>
      <c r="DP295" s="3"/>
    </row>
    <row r="296" spans="1:120">
      <c r="A296" t="s">
        <v>1338</v>
      </c>
      <c r="B296" t="str">
        <f>REPLACE(Table1[[#This Row],[Order_ID]],1,3,"YOO")</f>
        <v>YOO10295</v>
      </c>
      <c r="C296" t="str">
        <f>MID(Table1[[#This Row],[Order_ID]],4,4)</f>
        <v>1029</v>
      </c>
      <c r="D296" t="str">
        <f>LEFT(Table1[[#This Row],[Order_ID]],4)</f>
        <v>ORD1</v>
      </c>
      <c r="E296" t="str">
        <f>RIGHT(Table1[[#This Row],[Order_ID]],5)</f>
        <v>10295</v>
      </c>
      <c r="F296" t="s">
        <v>5</v>
      </c>
      <c r="G296">
        <v>10295</v>
      </c>
      <c r="H296" t="s">
        <v>1339</v>
      </c>
      <c r="I296" s="2">
        <f>EDATE(Table1[[#This Row],[Order_Date]],3)</f>
        <v>46059</v>
      </c>
      <c r="J296" s="2">
        <f>EDATE(Table1[[#This Row],[Order_Date]],6)</f>
        <v>46148</v>
      </c>
      <c r="K296">
        <f ca="1">YEAR(Table1[[#This Row],[Today]])</f>
        <v>2026</v>
      </c>
      <c r="L296">
        <v>295</v>
      </c>
      <c r="M296">
        <f ca="1">DAY(Table1[[#This Row],[Today]])</f>
        <v>11</v>
      </c>
      <c r="N296" s="19">
        <f t="shared" ca="1" si="34"/>
        <v>46245.589795138891</v>
      </c>
      <c r="O296" s="2">
        <f t="shared" ca="1" si="29"/>
        <v>46245</v>
      </c>
      <c r="P296" s="17">
        <f ca="1">Table1[[#This Row],[Today]]-Table1[[#This Row],[Order_Date]]</f>
        <v>278</v>
      </c>
      <c r="Q296" s="2">
        <v>45952</v>
      </c>
      <c r="R296" s="2">
        <v>45967</v>
      </c>
      <c r="S296" s="6">
        <f t="shared" si="32"/>
        <v>2025</v>
      </c>
      <c r="T296" s="7" t="str">
        <f t="shared" si="33"/>
        <v>November</v>
      </c>
      <c r="U296" s="2">
        <f>WORKDAY(Table1[[#This Row],[Order_Date]],5)</f>
        <v>45974</v>
      </c>
      <c r="V296" s="7" t="str">
        <f>CONCATENATE(Table1[[#This Row],[Customer_ID]],Table1[[#This Row],[Customer_Name]])</f>
        <v>C1131Sneha Mishra</v>
      </c>
      <c r="W296" t="s">
        <v>343</v>
      </c>
      <c r="X296" t="s">
        <v>496</v>
      </c>
      <c r="Y296">
        <f>COUNTA(Table1[[#This Row],[Customer_Name]])</f>
        <v>1</v>
      </c>
      <c r="Z296" t="str">
        <f>SUBSTITUTE(Table1[[#This Row],[Customer_Name]]," ","_")</f>
        <v>Sneha_Mishra</v>
      </c>
      <c r="AA296" s="10">
        <f>IFERROR(SEARCH("a",Table1[[#This Row],[Customer_Name]]),"N/A")</f>
        <v>5</v>
      </c>
      <c r="AB296">
        <f>SEARCH(" ",Table1[[#This Row],[Customer_Name]])</f>
        <v>6</v>
      </c>
      <c r="AC296" s="11">
        <f>IFERROR(FIND("a",Table1[[#This Row],[Customer_Name]]),"N/A")</f>
        <v>5</v>
      </c>
      <c r="AD296">
        <f>FIND(" ",Table1[[#This Row],[Customer_Name]])</f>
        <v>6</v>
      </c>
      <c r="AE296" t="str">
        <f>TRIM(Table1[[#This Row],[Customer_Name]])</f>
        <v>Sneha Mishra</v>
      </c>
      <c r="AF296">
        <f>LEN(Table1[[#This Row],[Trimmed]])</f>
        <v>12</v>
      </c>
      <c r="AG296">
        <f>MAX(Table1[Length])</f>
        <v>15</v>
      </c>
      <c r="AH296" t="str">
        <f>PROPER(Table1[[#This Row],[Customer_Name]])</f>
        <v>Sneha Mishra</v>
      </c>
      <c r="AI296" t="str">
        <f>LOWER(Table1[[#This Row],[Customer_Name]])</f>
        <v>sneha mishra</v>
      </c>
      <c r="AJ296" t="str">
        <f>UPPER(Table1[[#This Row],[Customer_Name]])</f>
        <v>SNEHA MISHRA</v>
      </c>
      <c r="AK296" t="str">
        <f>CONCATENATE(Table1[[#This Row],[Customer_ID]],Table1[[#This Row],[Customer_Name]])</f>
        <v>C1131Sneha Mishra</v>
      </c>
      <c r="AL296" t="s">
        <v>195</v>
      </c>
      <c r="AM296" t="s">
        <v>497</v>
      </c>
      <c r="AN296" t="s">
        <v>498</v>
      </c>
      <c r="AO296" t="s">
        <v>195</v>
      </c>
      <c r="AP296" t="s">
        <v>497</v>
      </c>
      <c r="AQ296" t="s">
        <v>284</v>
      </c>
      <c r="AR296" t="str">
        <f>TRIM(Table1[[#This Row],[City]])</f>
        <v>Hyderabad</v>
      </c>
      <c r="AS296" t="str">
        <f>PROPER(Table1[[#This Row],[City]])</f>
        <v>Hyderabad</v>
      </c>
      <c r="AT296" t="s">
        <v>285</v>
      </c>
      <c r="AU296" t="str">
        <f>CONCATENATE(Table1[[#This Row],[City]],Table1[[#This Row],[State]])</f>
        <v>HyderabadTelangana</v>
      </c>
      <c r="AV296" t="s">
        <v>168</v>
      </c>
      <c r="AW296" t="s">
        <v>201</v>
      </c>
      <c r="AX296" t="str">
        <f>REPLACE(Table1[[#This Row],[Product_ID]],1,1,"s")</f>
        <v>s104</v>
      </c>
      <c r="AY296" t="s">
        <v>1340</v>
      </c>
      <c r="AZ296">
        <f>SEARCH("-",Table1[[#This Row],[Product ID]])</f>
        <v>2</v>
      </c>
      <c r="BA296">
        <f>FIND("-",Table1[[#This Row],[Product ID]])</f>
        <v>2</v>
      </c>
      <c r="BB296" t="str">
        <f>MID(Table1[[#This Row],[Product_ID]],2,3)</f>
        <v>104</v>
      </c>
      <c r="BC296" t="str">
        <f>RIGHT(Table1[[#This Row],[Product_ID]],3)</f>
        <v>104</v>
      </c>
      <c r="BD296" t="str">
        <f>LEFT(Table1[[#This Row],[Product_ID]],3)</f>
        <v>P10</v>
      </c>
      <c r="BE296" t="str">
        <f>_xlfn.XLOOKUP(Table1[[#This Row],[Product_ID]],AW:AW,BF:BF,,0)</f>
        <v>USB-C Hub</v>
      </c>
      <c r="BF296" t="s">
        <v>203</v>
      </c>
      <c r="BG296">
        <f>LEN(Table1[[#This Row],[Product_Name]])</f>
        <v>9</v>
      </c>
      <c r="BH296" t="s">
        <v>154</v>
      </c>
      <c r="BI296">
        <f t="shared" si="35"/>
        <v>75</v>
      </c>
      <c r="BJ296" t="str">
        <f>SUBSTITUTE(Table1[[#This Row],[Category]],"Electronics","ELECTRONICS")</f>
        <v>ELECTRONICS</v>
      </c>
      <c r="BN296" t="s">
        <v>155</v>
      </c>
      <c r="BS296" s="14">
        <v>5</v>
      </c>
      <c r="BT296" s="3">
        <v>1899</v>
      </c>
      <c r="BU296" s="4">
        <v>20</v>
      </c>
      <c r="BV296" s="4" t="str">
        <f>IF(AND(Table1[[#This Row],[Quantity]]&gt;=3,Table1[[#This Row],[Discount_%]]&gt;=15%),"Bulk Discount","no")</f>
        <v>Bulk Discount</v>
      </c>
      <c r="BW296" s="4" t="str">
        <f>IF(AND(Table1[[#This Row],[Quantity]]&gt;3,Table1[[#This Row],[Discount_%]]&gt;15%),"Bulk Customer","Normal")</f>
        <v>Bulk Customer</v>
      </c>
      <c r="BX296" t="s">
        <v>135</v>
      </c>
      <c r="BY296" t="s">
        <v>156</v>
      </c>
      <c r="CC296" t="str">
        <f>IF(OR(Table1[[#This Row],[Order_Status]]="Returned",Table1[[#This Row],[Order_Status]]="Cancelled"),"Attention Required","Not")</f>
        <v>Attention Required</v>
      </c>
      <c r="CD296" t="str">
        <f>IF(OR(Table1[[#This Row],[Order_Status]]="Returned",Table1[[#This Row],[Order_Status]]="Cancelled"),"Review","no")</f>
        <v>Review</v>
      </c>
      <c r="CE296" t="str">
        <f>SUBSTITUTE(Table1[[#This Row],[Order_Status]],"Delivered","Completed")</f>
        <v>Cancelled</v>
      </c>
      <c r="CF296" s="2">
        <v>45969</v>
      </c>
      <c r="CG296" s="17">
        <f>NETWORKDAYS(Table1[[#This Row],[Order_Date]],Table1[[#This Row],[Delivery_Date]])</f>
        <v>2</v>
      </c>
      <c r="CH296" s="17">
        <f>Table1[[#This Row],[Delivery_Date]]-Table1[[#This Row],[Order_Date]]</f>
        <v>2</v>
      </c>
      <c r="CI296" t="s">
        <v>137</v>
      </c>
      <c r="CJ296" t="str">
        <f>IF(Table1[[#This Row],[Rating]]&gt;=4,"Good","Needs Improvement")</f>
        <v>Needs Improvement</v>
      </c>
      <c r="CK296" t="str">
        <f>IF(OR(Table1[[#This Row],[Rating]]&lt;=2,Table1[[#This Row],[Profit]]&lt;0),"Review","NO")</f>
        <v>Review</v>
      </c>
      <c r="CL296" t="e" cm="1">
        <f t="array" ref="CL296">_xlfn.IFS(Table1[[#This Row],[Rating]]&gt;2,"Poor",Table1[[#This Row],[Rating]]=3,"Average",Table1[[#This Row],[Rating]]=4,"Good",CP296=5,"Excellent")</f>
        <v>#N/A</v>
      </c>
      <c r="CM296">
        <f>COUNT(Table1[[#This Row],[Rating]])</f>
        <v>1</v>
      </c>
      <c r="CN296">
        <f>COUNTBLANK(Table1[[#This Row],[Rating]])</f>
        <v>0</v>
      </c>
      <c r="CQ296" s="14">
        <v>1</v>
      </c>
      <c r="CR296" t="s">
        <v>204</v>
      </c>
      <c r="CS296" t="s">
        <v>174</v>
      </c>
      <c r="CU296" s="3">
        <v>7596</v>
      </c>
      <c r="CV296" s="3">
        <f>ROUND(Table1[[#This Row],[Sales_Amount]],0)</f>
        <v>7596</v>
      </c>
      <c r="CW296" s="3"/>
      <c r="CX296" s="3"/>
      <c r="CY296" s="3" t="b">
        <f>IF(AND(Table1[[#This Row],[Sales_Amount]]&gt;=10000,Table1[[#This Row],[Profit]]&gt;0),"Good Order")</f>
        <v>0</v>
      </c>
      <c r="CZ296" s="3" t="str">
        <f>IF(Table1[[#This Row],[Sales_Amount]]&gt;=10000,"High","Normal")</f>
        <v>Normal</v>
      </c>
      <c r="DA296" s="3">
        <v>2096</v>
      </c>
      <c r="DB296" s="3">
        <f>ROUND(Table1[[#This Row],[Profit]],0)</f>
        <v>2096</v>
      </c>
      <c r="DC296" s="3">
        <f>ABS(Table1[[#This Row],[Profit]])</f>
        <v>2096</v>
      </c>
      <c r="DD296" s="3"/>
      <c r="DE296" s="3"/>
      <c r="DF296" s="3"/>
      <c r="DG296" s="3" t="str">
        <f>IF(Table1[[#This Row],[Profit]]&gt;0,"Profit","Loss")</f>
        <v>Profit</v>
      </c>
      <c r="DH296" s="3" t="str">
        <f>IF(AND(Table1[[#This Row],[Sales_Amount]]&gt;=10000,Table1[[#This Row],[Profit]]&gt;0),"Priority","Normal")</f>
        <v>Normal</v>
      </c>
      <c r="DI296" s="3">
        <f t="shared" ca="1" si="30"/>
        <v>0.40232659728931863</v>
      </c>
      <c r="DJ296" s="3">
        <f t="shared" ca="1" si="31"/>
        <v>37</v>
      </c>
      <c r="DK296" s="3"/>
      <c r="DL296" s="3"/>
      <c r="DM296" s="3"/>
      <c r="DN296" s="3"/>
      <c r="DO296" s="3"/>
      <c r="DP296" s="3"/>
    </row>
    <row r="297" spans="1:120">
      <c r="A297" t="s">
        <v>1341</v>
      </c>
      <c r="B297" t="str">
        <f>REPLACE(Table1[[#This Row],[Order_ID]],1,3,"YOO")</f>
        <v>YOO10296</v>
      </c>
      <c r="C297" t="str">
        <f>MID(Table1[[#This Row],[Order_ID]],4,4)</f>
        <v>1029</v>
      </c>
      <c r="D297" t="str">
        <f>LEFT(Table1[[#This Row],[Order_ID]],4)</f>
        <v>ORD1</v>
      </c>
      <c r="E297" t="str">
        <f>RIGHT(Table1[[#This Row],[Order_ID]],5)</f>
        <v>10296</v>
      </c>
      <c r="F297" t="s">
        <v>5</v>
      </c>
      <c r="G297">
        <v>10296</v>
      </c>
      <c r="H297" t="s">
        <v>1342</v>
      </c>
      <c r="I297" s="2">
        <f>EDATE(Table1[[#This Row],[Order_Date]],3)</f>
        <v>45859</v>
      </c>
      <c r="J297" s="2">
        <f>EDATE(Table1[[#This Row],[Order_Date]],6)</f>
        <v>45951</v>
      </c>
      <c r="K297">
        <f ca="1">YEAR(Table1[[#This Row],[Today]])</f>
        <v>2026</v>
      </c>
      <c r="L297">
        <v>296</v>
      </c>
      <c r="M297">
        <f ca="1">DAY(Table1[[#This Row],[Today]])</f>
        <v>11</v>
      </c>
      <c r="N297" s="19">
        <f t="shared" ca="1" si="34"/>
        <v>46245.589795370368</v>
      </c>
      <c r="O297" s="2">
        <f t="shared" ca="1" si="29"/>
        <v>46245</v>
      </c>
      <c r="P297" s="17">
        <f ca="1">Table1[[#This Row],[Today]]-Table1[[#This Row],[Order_Date]]</f>
        <v>477</v>
      </c>
      <c r="Q297" s="2">
        <v>45953</v>
      </c>
      <c r="R297" s="2">
        <v>45768</v>
      </c>
      <c r="S297" s="6">
        <f t="shared" si="32"/>
        <v>2025</v>
      </c>
      <c r="T297" s="7" t="str">
        <f t="shared" si="33"/>
        <v>April</v>
      </c>
      <c r="U297" s="2">
        <f>WORKDAY(Table1[[#This Row],[Order_Date]],5)</f>
        <v>45775</v>
      </c>
      <c r="V297" s="7" t="str">
        <f>CONCATENATE(Table1[[#This Row],[Customer_ID]],Table1[[#This Row],[Customer_Name]])</f>
        <v>C1071Vikas Yadav</v>
      </c>
      <c r="W297" t="s">
        <v>532</v>
      </c>
      <c r="X297" t="s">
        <v>208</v>
      </c>
      <c r="Y297">
        <f>COUNTA(Table1[[#This Row],[Customer_Name]])</f>
        <v>1</v>
      </c>
      <c r="Z297" t="str">
        <f>SUBSTITUTE(Table1[[#This Row],[Customer_Name]]," ","_")</f>
        <v>Vikas_Yadav</v>
      </c>
      <c r="AA297" s="10">
        <f>IFERROR(SEARCH("a",Table1[[#This Row],[Customer_Name]]),"N/A")</f>
        <v>4</v>
      </c>
      <c r="AB297">
        <f>SEARCH(" ",Table1[[#This Row],[Customer_Name]])</f>
        <v>6</v>
      </c>
      <c r="AC297" s="11">
        <f>IFERROR(FIND("a",Table1[[#This Row],[Customer_Name]]),"N/A")</f>
        <v>4</v>
      </c>
      <c r="AD297">
        <f>FIND(" ",Table1[[#This Row],[Customer_Name]])</f>
        <v>6</v>
      </c>
      <c r="AE297" t="str">
        <f>TRIM(Table1[[#This Row],[Customer_Name]])</f>
        <v>Vikas Yadav</v>
      </c>
      <c r="AF297">
        <f>LEN(Table1[[#This Row],[Trimmed]])</f>
        <v>11</v>
      </c>
      <c r="AG297">
        <f>MAX(Table1[Length])</f>
        <v>15</v>
      </c>
      <c r="AH297" t="str">
        <f>PROPER(Table1[[#This Row],[Customer_Name]])</f>
        <v>Vikas Yadav</v>
      </c>
      <c r="AI297" t="str">
        <f>LOWER(Table1[[#This Row],[Customer_Name]])</f>
        <v>vikas yadav</v>
      </c>
      <c r="AJ297" t="str">
        <f>UPPER(Table1[[#This Row],[Customer_Name]])</f>
        <v>VIKAS YADAV</v>
      </c>
      <c r="AK297" t="str">
        <f>CONCATENATE(Table1[[#This Row],[Customer_ID]],Table1[[#This Row],[Customer_Name]])</f>
        <v>C1071Vikas Yadav</v>
      </c>
      <c r="AL297" t="s">
        <v>209</v>
      </c>
      <c r="AM297" t="s">
        <v>210</v>
      </c>
      <c r="AN297" t="s">
        <v>211</v>
      </c>
      <c r="AO297" t="s">
        <v>209</v>
      </c>
      <c r="AP297" t="s">
        <v>210</v>
      </c>
      <c r="AQ297" t="s">
        <v>379</v>
      </c>
      <c r="AR297" t="str">
        <f>TRIM(Table1[[#This Row],[City]])</f>
        <v>Indore</v>
      </c>
      <c r="AS297" t="str">
        <f>PROPER(Table1[[#This Row],[City]])</f>
        <v>Indore</v>
      </c>
      <c r="AT297" t="s">
        <v>345</v>
      </c>
      <c r="AU297" t="str">
        <f>CONCATENATE(Table1[[#This Row],[City]],Table1[[#This Row],[State]])</f>
        <v>IndoreMadhya Pradesh</v>
      </c>
      <c r="AV297" t="s">
        <v>346</v>
      </c>
      <c r="AW297" t="s">
        <v>183</v>
      </c>
      <c r="AX297" t="str">
        <f>REPLACE(Table1[[#This Row],[Product_ID]],1,1,"s")</f>
        <v>s105</v>
      </c>
      <c r="AY297" t="s">
        <v>1343</v>
      </c>
      <c r="AZ297">
        <f>SEARCH("-",Table1[[#This Row],[Product ID]])</f>
        <v>2</v>
      </c>
      <c r="BA297">
        <f>FIND("-",Table1[[#This Row],[Product ID]])</f>
        <v>2</v>
      </c>
      <c r="BB297" t="str">
        <f>MID(Table1[[#This Row],[Product_ID]],2,3)</f>
        <v>105</v>
      </c>
      <c r="BC297" t="str">
        <f>RIGHT(Table1[[#This Row],[Product_ID]],3)</f>
        <v>105</v>
      </c>
      <c r="BD297" t="str">
        <f>LEFT(Table1[[#This Row],[Product_ID]],3)</f>
        <v>P10</v>
      </c>
      <c r="BE297" t="str">
        <f>_xlfn.XLOOKUP(Table1[[#This Row],[Product_ID]],AW:AW,BF:BF,,0)</f>
        <v>Bluetooth Speaker</v>
      </c>
      <c r="BF297" t="s">
        <v>185</v>
      </c>
      <c r="BG297">
        <f>LEN(Table1[[#This Row],[Product_Name]])</f>
        <v>17</v>
      </c>
      <c r="BH297" t="s">
        <v>154</v>
      </c>
      <c r="BI297">
        <f t="shared" si="35"/>
        <v>75</v>
      </c>
      <c r="BJ297" t="str">
        <f>SUBSTITUTE(Table1[[#This Row],[Category]],"Electronics","ELECTRONICS")</f>
        <v>ELECTRONICS</v>
      </c>
      <c r="BN297" t="s">
        <v>186</v>
      </c>
      <c r="BS297" s="14">
        <v>4</v>
      </c>
      <c r="BT297" s="3">
        <v>2999</v>
      </c>
      <c r="BU297" s="4">
        <v>0</v>
      </c>
      <c r="BV297" s="4" t="str">
        <f>IF(AND(Table1[[#This Row],[Quantity]]&gt;=3,Table1[[#This Row],[Discount_%]]&gt;=15%),"Bulk Discount","no")</f>
        <v>no</v>
      </c>
      <c r="BW297" s="4" t="str">
        <f>IF(AND(Table1[[#This Row],[Quantity]]&gt;3,Table1[[#This Row],[Discount_%]]&gt;15%),"Bulk Customer","Normal")</f>
        <v>Normal</v>
      </c>
      <c r="BX297" t="s">
        <v>192</v>
      </c>
      <c r="BY297" t="s">
        <v>136</v>
      </c>
      <c r="CC297" t="str">
        <f>IF(OR(Table1[[#This Row],[Order_Status]]="Returned",Table1[[#This Row],[Order_Status]]="Cancelled"),"Attention Required","Not")</f>
        <v>Not</v>
      </c>
      <c r="CD297" t="str">
        <f>IF(OR(Table1[[#This Row],[Order_Status]]="Returned",Table1[[#This Row],[Order_Status]]="Cancelled"),"Review","no")</f>
        <v>no</v>
      </c>
      <c r="CE297" t="str">
        <f>SUBSTITUTE(Table1[[#This Row],[Order_Status]],"Delivered","Completed")</f>
        <v>Completed</v>
      </c>
      <c r="CF297" s="2">
        <v>45773</v>
      </c>
      <c r="CG297" s="17">
        <f>NETWORKDAYS(Table1[[#This Row],[Order_Date]],Table1[[#This Row],[Delivery_Date]])</f>
        <v>5</v>
      </c>
      <c r="CH297" s="17">
        <f>Table1[[#This Row],[Delivery_Date]]-Table1[[#This Row],[Order_Date]]</f>
        <v>5</v>
      </c>
      <c r="CI297" t="s">
        <v>137</v>
      </c>
      <c r="CJ297" t="str">
        <f>IF(Table1[[#This Row],[Rating]]&gt;=4,"Good","Needs Improvement")</f>
        <v>Good</v>
      </c>
      <c r="CK297" t="str">
        <f>IF(OR(Table1[[#This Row],[Rating]]&lt;=2,Table1[[#This Row],[Profit]]&lt;0),"Review","NO")</f>
        <v>NO</v>
      </c>
      <c r="CL297" t="str" cm="1">
        <f t="array" ref="CL297">_xlfn.IFS(Table1[[#This Row],[Rating]]&gt;2,"Poor",Table1[[#This Row],[Rating]]=3,"Average",Table1[[#This Row],[Rating]]=4,"Good",CP297=5,"Excellent")</f>
        <v>Poor</v>
      </c>
      <c r="CM297">
        <f>COUNT(Table1[[#This Row],[Rating]])</f>
        <v>1</v>
      </c>
      <c r="CN297">
        <f>COUNTBLANK(Table1[[#This Row],[Rating]])</f>
        <v>0</v>
      </c>
      <c r="CP297" t="s">
        <v>194</v>
      </c>
      <c r="CQ297" s="14">
        <v>5</v>
      </c>
      <c r="CR297" t="s">
        <v>139</v>
      </c>
      <c r="CS297" t="s">
        <v>174</v>
      </c>
      <c r="CU297" s="3">
        <v>11996</v>
      </c>
      <c r="CV297" s="3">
        <f>ROUND(Table1[[#This Row],[Sales_Amount]],0)</f>
        <v>11996</v>
      </c>
      <c r="CW297" s="3"/>
      <c r="CX297" s="3"/>
      <c r="CY297" s="3" t="str">
        <f>IF(AND(Table1[[#This Row],[Sales_Amount]]&gt;=10000,Table1[[#This Row],[Profit]]&gt;0),"Good Order")</f>
        <v>Good Order</v>
      </c>
      <c r="CZ297" s="3" t="str">
        <f>IF(Table1[[#This Row],[Sales_Amount]]&gt;=10000,"High","Normal")</f>
        <v>High</v>
      </c>
      <c r="DA297" s="3">
        <v>4996</v>
      </c>
      <c r="DB297" s="3">
        <f>ROUND(Table1[[#This Row],[Profit]],0)</f>
        <v>4996</v>
      </c>
      <c r="DC297" s="3">
        <f>ABS(Table1[[#This Row],[Profit]])</f>
        <v>4996</v>
      </c>
      <c r="DD297" s="3"/>
      <c r="DE297" s="3"/>
      <c r="DF297" s="3"/>
      <c r="DG297" s="3" t="str">
        <f>IF(Table1[[#This Row],[Profit]]&gt;0,"Profit","Loss")</f>
        <v>Profit</v>
      </c>
      <c r="DH297" s="3" t="str">
        <f>IF(AND(Table1[[#This Row],[Sales_Amount]]&gt;=10000,Table1[[#This Row],[Profit]]&gt;0),"Priority","Normal")</f>
        <v>Priority</v>
      </c>
      <c r="DI297" s="3">
        <f t="shared" ca="1" si="30"/>
        <v>0.23085079201475833</v>
      </c>
      <c r="DJ297" s="3">
        <f t="shared" ca="1" si="31"/>
        <v>47</v>
      </c>
      <c r="DK297" s="3"/>
      <c r="DL297" s="3"/>
      <c r="DM297" s="3"/>
      <c r="DN297" s="3"/>
      <c r="DO297" s="3"/>
      <c r="DP297" s="3"/>
    </row>
    <row r="298" spans="1:120">
      <c r="A298" t="s">
        <v>1344</v>
      </c>
      <c r="B298" t="str">
        <f>REPLACE(Table1[[#This Row],[Order_ID]],1,3,"YOO")</f>
        <v>YOO10297</v>
      </c>
      <c r="C298" t="str">
        <f>MID(Table1[[#This Row],[Order_ID]],4,4)</f>
        <v>1029</v>
      </c>
      <c r="D298" t="str">
        <f>LEFT(Table1[[#This Row],[Order_ID]],4)</f>
        <v>ORD1</v>
      </c>
      <c r="E298" t="str">
        <f>RIGHT(Table1[[#This Row],[Order_ID]],5)</f>
        <v>10297</v>
      </c>
      <c r="F298" t="s">
        <v>5</v>
      </c>
      <c r="G298">
        <v>10297</v>
      </c>
      <c r="H298" t="s">
        <v>1345</v>
      </c>
      <c r="I298" s="2">
        <f>EDATE(Table1[[#This Row],[Order_Date]],3)</f>
        <v>45805</v>
      </c>
      <c r="J298" s="2">
        <f>EDATE(Table1[[#This Row],[Order_Date]],6)</f>
        <v>45897</v>
      </c>
      <c r="K298">
        <f ca="1">YEAR(Table1[[#This Row],[Today]])</f>
        <v>2026</v>
      </c>
      <c r="L298">
        <v>297</v>
      </c>
      <c r="M298">
        <f ca="1">DAY(Table1[[#This Row],[Today]])</f>
        <v>11</v>
      </c>
      <c r="N298" s="19">
        <f t="shared" ca="1" si="34"/>
        <v>46245.589795370368</v>
      </c>
      <c r="O298" s="2">
        <f t="shared" ca="1" si="29"/>
        <v>46245</v>
      </c>
      <c r="P298" s="17">
        <f ca="1">Table1[[#This Row],[Today]]-Table1[[#This Row],[Order_Date]]</f>
        <v>529</v>
      </c>
      <c r="Q298" s="2">
        <v>45954</v>
      </c>
      <c r="R298" s="2">
        <v>45716</v>
      </c>
      <c r="S298" s="6">
        <f t="shared" si="32"/>
        <v>2025</v>
      </c>
      <c r="T298" s="7" t="str">
        <f t="shared" si="33"/>
        <v>February</v>
      </c>
      <c r="U298" s="2">
        <f>WORKDAY(Table1[[#This Row],[Order_Date]],5)</f>
        <v>45723</v>
      </c>
      <c r="V298" s="7" t="str">
        <f>CONCATENATE(Table1[[#This Row],[Customer_ID]],Table1[[#This Row],[Customer_Name]])</f>
        <v xml:space="preserve">C1007  kavya shah  </v>
      </c>
      <c r="W298" t="s">
        <v>1045</v>
      </c>
      <c r="X298" t="s">
        <v>1346</v>
      </c>
      <c r="Y298">
        <f>COUNTA(Table1[[#This Row],[Customer_Name]])</f>
        <v>1</v>
      </c>
      <c r="Z298" t="str">
        <f>SUBSTITUTE(Table1[[#This Row],[Customer_Name]]," ","_")</f>
        <v>__kavya_shah__</v>
      </c>
      <c r="AA298" s="10">
        <f>IFERROR(SEARCH("a",Table1[[#This Row],[Customer_Name]]),"N/A")</f>
        <v>4</v>
      </c>
      <c r="AB298">
        <f>SEARCH(" ",Table1[[#This Row],[Customer_Name]])</f>
        <v>1</v>
      </c>
      <c r="AC298" s="11">
        <f>IFERROR(FIND("a",Table1[[#This Row],[Customer_Name]]),"N/A")</f>
        <v>4</v>
      </c>
      <c r="AD298">
        <f>FIND(" ",Table1[[#This Row],[Customer_Name]])</f>
        <v>1</v>
      </c>
      <c r="AE298" t="str">
        <f>TRIM(Table1[[#This Row],[Customer_Name]])</f>
        <v>kavya shah</v>
      </c>
      <c r="AF298">
        <f>LEN(Table1[[#This Row],[Trimmed]])</f>
        <v>10</v>
      </c>
      <c r="AG298">
        <f>MAX(Table1[Length])</f>
        <v>15</v>
      </c>
      <c r="AH298" t="str">
        <f>PROPER(Table1[[#This Row],[Customer_Name]])</f>
        <v xml:space="preserve">  Kavya Shah  </v>
      </c>
      <c r="AI298" t="str">
        <f>LOWER(Table1[[#This Row],[Customer_Name]])</f>
        <v xml:space="preserve">  kavya shah  </v>
      </c>
      <c r="AJ298" t="str">
        <f>UPPER(Table1[[#This Row],[Customer_Name]])</f>
        <v xml:space="preserve">  KAVYA SHAH  </v>
      </c>
      <c r="AK298" t="str">
        <f>CONCATENATE(Table1[[#This Row],[Customer_ID]],Table1[[#This Row],[Customer_Name]])</f>
        <v xml:space="preserve">C1007  kavya shah  </v>
      </c>
      <c r="AL298" t="s">
        <v>1347</v>
      </c>
      <c r="AM298" t="s">
        <v>1348</v>
      </c>
      <c r="AN298" t="s">
        <v>274</v>
      </c>
      <c r="AO298" t="s">
        <v>1347</v>
      </c>
      <c r="AP298" t="s">
        <v>1348</v>
      </c>
      <c r="AQ298" t="s">
        <v>148</v>
      </c>
      <c r="AR298" t="str">
        <f>TRIM(Table1[[#This Row],[City]])</f>
        <v>Jaipur</v>
      </c>
      <c r="AS298" t="str">
        <f>PROPER(Table1[[#This Row],[City]])</f>
        <v>Jaipur</v>
      </c>
      <c r="AT298" t="s">
        <v>149</v>
      </c>
      <c r="AU298" t="str">
        <f>CONCATENATE(Table1[[#This Row],[City]],Table1[[#This Row],[State]])</f>
        <v>JaipurRajasthan</v>
      </c>
      <c r="AV298" t="s">
        <v>150</v>
      </c>
      <c r="AW298" t="s">
        <v>250</v>
      </c>
      <c r="AX298" t="str">
        <f>REPLACE(Table1[[#This Row],[Product_ID]],1,1,"s")</f>
        <v>s113</v>
      </c>
      <c r="AY298" t="s">
        <v>1349</v>
      </c>
      <c r="AZ298">
        <f>SEARCH("-",Table1[[#This Row],[Product ID]])</f>
        <v>2</v>
      </c>
      <c r="BA298">
        <f>FIND("-",Table1[[#This Row],[Product ID]])</f>
        <v>2</v>
      </c>
      <c r="BB298" t="str">
        <f>MID(Table1[[#This Row],[Product_ID]],2,3)</f>
        <v>113</v>
      </c>
      <c r="BC298" t="str">
        <f>RIGHT(Table1[[#This Row],[Product_ID]],3)</f>
        <v>113</v>
      </c>
      <c r="BD298" t="str">
        <f>LEFT(Table1[[#This Row],[Product_ID]],3)</f>
        <v>P11</v>
      </c>
      <c r="BE298" t="str">
        <f>_xlfn.XLOOKUP(Table1[[#This Row],[Product_ID]],AW:AW,BF:BF,,0)</f>
        <v>Desk Lamp</v>
      </c>
      <c r="BF298" t="s">
        <v>252</v>
      </c>
      <c r="BG298">
        <f>LEN(Table1[[#This Row],[Product_Name]])</f>
        <v>9</v>
      </c>
      <c r="BH298" t="s">
        <v>133</v>
      </c>
      <c r="BI298">
        <f t="shared" si="35"/>
        <v>75</v>
      </c>
      <c r="BJ298" t="str">
        <f>SUBSTITUTE(Table1[[#This Row],[Category]],"Electronics","ELECTRONICS")</f>
        <v>Home</v>
      </c>
      <c r="BN298" t="s">
        <v>253</v>
      </c>
      <c r="BS298" s="14">
        <v>5</v>
      </c>
      <c r="BT298" s="3">
        <v>1299</v>
      </c>
      <c r="BU298" s="4">
        <v>20</v>
      </c>
      <c r="BV298" s="4" t="str">
        <f>IF(AND(Table1[[#This Row],[Quantity]]&gt;=3,Table1[[#This Row],[Discount_%]]&gt;=15%),"Bulk Discount","no")</f>
        <v>Bulk Discount</v>
      </c>
      <c r="BW298" s="4" t="str">
        <f>IF(AND(Table1[[#This Row],[Quantity]]&gt;3,Table1[[#This Row],[Discount_%]]&gt;15%),"Bulk Customer","Normal")</f>
        <v>Bulk Customer</v>
      </c>
      <c r="BX298" t="s">
        <v>192</v>
      </c>
      <c r="BY298" t="s">
        <v>374</v>
      </c>
      <c r="CC298" t="str">
        <f>IF(OR(Table1[[#This Row],[Order_Status]]="Returned",Table1[[#This Row],[Order_Status]]="Cancelled"),"Attention Required","Not")</f>
        <v>Attention Required</v>
      </c>
      <c r="CD298" t="str">
        <f>IF(OR(Table1[[#This Row],[Order_Status]]="Returned",Table1[[#This Row],[Order_Status]]="Cancelled"),"Review","no")</f>
        <v>Review</v>
      </c>
      <c r="CE298" t="str">
        <f>SUBSTITUTE(Table1[[#This Row],[Order_Status]],"Delivered","Completed")</f>
        <v>Returned</v>
      </c>
      <c r="CF298" s="2">
        <v>45722</v>
      </c>
      <c r="CG298" s="17">
        <f>NETWORKDAYS(Table1[[#This Row],[Order_Date]],Table1[[#This Row],[Delivery_Date]])</f>
        <v>5</v>
      </c>
      <c r="CH298" s="17">
        <f>Table1[[#This Row],[Delivery_Date]]-Table1[[#This Row],[Order_Date]]</f>
        <v>6</v>
      </c>
      <c r="CI298" t="s">
        <v>375</v>
      </c>
      <c r="CJ298" t="str">
        <f>IF(Table1[[#This Row],[Rating]]&gt;=4,"Good","Needs Improvement")</f>
        <v>Needs Improvement</v>
      </c>
      <c r="CK298" t="str">
        <f>IF(OR(Table1[[#This Row],[Rating]]&lt;=2,Table1[[#This Row],[Profit]]&lt;0),"Review","NO")</f>
        <v>NO</v>
      </c>
      <c r="CL298" t="str" cm="1">
        <f t="array" ref="CL298">_xlfn.IFS(Table1[[#This Row],[Rating]]&gt;2,"Poor",Table1[[#This Row],[Rating]]=3,"Average",Table1[[#This Row],[Rating]]=4,"Good",CP298=5,"Excellent")</f>
        <v>Poor</v>
      </c>
      <c r="CM298">
        <f>COUNT(Table1[[#This Row],[Rating]])</f>
        <v>1</v>
      </c>
      <c r="CN298">
        <f>COUNTBLANK(Table1[[#This Row],[Rating]])</f>
        <v>0</v>
      </c>
      <c r="CP298" t="s">
        <v>157</v>
      </c>
      <c r="CQ298" s="14">
        <v>3</v>
      </c>
      <c r="CR298" t="s">
        <v>173</v>
      </c>
      <c r="CS298" t="s">
        <v>267</v>
      </c>
      <c r="CU298" s="3">
        <v>5196</v>
      </c>
      <c r="CV298" s="3">
        <f>ROUND(Table1[[#This Row],[Sales_Amount]],0)</f>
        <v>5196</v>
      </c>
      <c r="CW298" s="3"/>
      <c r="CX298" s="3"/>
      <c r="CY298" s="3" t="b">
        <f>IF(AND(Table1[[#This Row],[Sales_Amount]]&gt;=10000,Table1[[#This Row],[Profit]]&gt;0),"Good Order")</f>
        <v>0</v>
      </c>
      <c r="CZ298" s="3" t="str">
        <f>IF(Table1[[#This Row],[Sales_Amount]]&gt;=10000,"High","Normal")</f>
        <v>Normal</v>
      </c>
      <c r="DA298" s="3">
        <v>1946</v>
      </c>
      <c r="DB298" s="3">
        <f>ROUND(Table1[[#This Row],[Profit]],0)</f>
        <v>1946</v>
      </c>
      <c r="DC298" s="3">
        <f>ABS(Table1[[#This Row],[Profit]])</f>
        <v>1946</v>
      </c>
      <c r="DD298" s="3"/>
      <c r="DE298" s="3"/>
      <c r="DF298" s="3"/>
      <c r="DG298" s="3" t="str">
        <f>IF(Table1[[#This Row],[Profit]]&gt;0,"Profit","Loss")</f>
        <v>Profit</v>
      </c>
      <c r="DH298" s="3" t="str">
        <f>IF(AND(Table1[[#This Row],[Sales_Amount]]&gt;=10000,Table1[[#This Row],[Profit]]&gt;0),"Priority","Normal")</f>
        <v>Normal</v>
      </c>
      <c r="DI298" s="3">
        <f t="shared" ca="1" si="30"/>
        <v>0.18129463122571454</v>
      </c>
      <c r="DJ298" s="3">
        <f t="shared" ca="1" si="31"/>
        <v>14</v>
      </c>
      <c r="DK298" s="3"/>
      <c r="DL298" s="3"/>
      <c r="DM298" s="3"/>
      <c r="DN298" s="3"/>
      <c r="DO298" s="3"/>
      <c r="DP298" s="3"/>
    </row>
    <row r="299" spans="1:120">
      <c r="A299" t="s">
        <v>1350</v>
      </c>
      <c r="B299" t="str">
        <f>REPLACE(Table1[[#This Row],[Order_ID]],1,3,"YOO")</f>
        <v>YOO10298</v>
      </c>
      <c r="C299" t="str">
        <f>MID(Table1[[#This Row],[Order_ID]],4,4)</f>
        <v>1029</v>
      </c>
      <c r="D299" t="str">
        <f>LEFT(Table1[[#This Row],[Order_ID]],4)</f>
        <v>ORD1</v>
      </c>
      <c r="E299" t="str">
        <f>RIGHT(Table1[[#This Row],[Order_ID]],5)</f>
        <v>10298</v>
      </c>
      <c r="F299" t="s">
        <v>5</v>
      </c>
      <c r="G299">
        <v>10298</v>
      </c>
      <c r="H299" t="s">
        <v>1351</v>
      </c>
      <c r="I299" s="2">
        <f>EDATE(Table1[[#This Row],[Order_Date]],3)</f>
        <v>45783</v>
      </c>
      <c r="J299" s="2">
        <f>EDATE(Table1[[#This Row],[Order_Date]],6)</f>
        <v>45875</v>
      </c>
      <c r="K299">
        <f ca="1">YEAR(Table1[[#This Row],[Today]])</f>
        <v>2026</v>
      </c>
      <c r="L299">
        <v>298</v>
      </c>
      <c r="M299">
        <f ca="1">DAY(Table1[[#This Row],[Today]])</f>
        <v>11</v>
      </c>
      <c r="N299" s="19">
        <f t="shared" ca="1" si="34"/>
        <v>46245.589795138891</v>
      </c>
      <c r="O299" s="2">
        <f t="shared" ca="1" si="29"/>
        <v>46245</v>
      </c>
      <c r="P299" s="17">
        <f ca="1">Table1[[#This Row],[Today]]-Table1[[#This Row],[Order_Date]]</f>
        <v>551</v>
      </c>
      <c r="Q299" s="2">
        <v>45955</v>
      </c>
      <c r="R299" s="2">
        <v>45694</v>
      </c>
      <c r="S299" s="6">
        <f t="shared" si="32"/>
        <v>2025</v>
      </c>
      <c r="T299" s="7" t="str">
        <f t="shared" si="33"/>
        <v>February</v>
      </c>
      <c r="U299" s="2">
        <f>WORKDAY(Table1[[#This Row],[Order_Date]],5)</f>
        <v>45701</v>
      </c>
      <c r="V299" s="7" t="str">
        <f>CONCATENATE(Table1[[#This Row],[Customer_ID]],Table1[[#This Row],[Customer_Name]])</f>
        <v xml:space="preserve">C1092  aditya malhotra  </v>
      </c>
      <c r="W299" t="s">
        <v>1352</v>
      </c>
      <c r="X299" t="s">
        <v>297</v>
      </c>
      <c r="Y299">
        <f>COUNTA(Table1[[#This Row],[Customer_Name]])</f>
        <v>1</v>
      </c>
      <c r="Z299" t="str">
        <f>SUBSTITUTE(Table1[[#This Row],[Customer_Name]]," ","_")</f>
        <v>__aditya_malhotra__</v>
      </c>
      <c r="AA299" s="10">
        <f>IFERROR(SEARCH("a",Table1[[#This Row],[Customer_Name]]),"N/A")</f>
        <v>3</v>
      </c>
      <c r="AB299">
        <f>SEARCH(" ",Table1[[#This Row],[Customer_Name]])</f>
        <v>1</v>
      </c>
      <c r="AC299" s="11">
        <f>IFERROR(FIND("a",Table1[[#This Row],[Customer_Name]]),"N/A")</f>
        <v>3</v>
      </c>
      <c r="AD299">
        <f>FIND(" ",Table1[[#This Row],[Customer_Name]])</f>
        <v>1</v>
      </c>
      <c r="AE299" t="str">
        <f>TRIM(Table1[[#This Row],[Customer_Name]])</f>
        <v>aditya malhotra</v>
      </c>
      <c r="AF299">
        <f>LEN(Table1[[#This Row],[Trimmed]])</f>
        <v>15</v>
      </c>
      <c r="AG299">
        <f>MAX(Table1[Length])</f>
        <v>15</v>
      </c>
      <c r="AH299" t="str">
        <f>PROPER(Table1[[#This Row],[Customer_Name]])</f>
        <v xml:space="preserve">  Aditya Malhotra  </v>
      </c>
      <c r="AI299" t="str">
        <f>LOWER(Table1[[#This Row],[Customer_Name]])</f>
        <v xml:space="preserve">  aditya malhotra  </v>
      </c>
      <c r="AJ299" t="str">
        <f>UPPER(Table1[[#This Row],[Customer_Name]])</f>
        <v xml:space="preserve">  ADITYA MALHOTRA  </v>
      </c>
      <c r="AK299" t="str">
        <f>CONCATENATE(Table1[[#This Row],[Customer_ID]],Table1[[#This Row],[Customer_Name]])</f>
        <v xml:space="preserve">C1092  aditya malhotra  </v>
      </c>
      <c r="AL299" t="s">
        <v>298</v>
      </c>
      <c r="AM299" t="s">
        <v>299</v>
      </c>
      <c r="AN299" t="s">
        <v>260</v>
      </c>
      <c r="AO299" t="s">
        <v>298</v>
      </c>
      <c r="AP299" t="s">
        <v>299</v>
      </c>
      <c r="AQ299" t="s">
        <v>423</v>
      </c>
      <c r="AR299" t="str">
        <f>TRIM(Table1[[#This Row],[City]])</f>
        <v>Ahmedabad</v>
      </c>
      <c r="AS299" t="str">
        <f>PROPER(Table1[[#This Row],[City]])</f>
        <v>Ahmedabad</v>
      </c>
      <c r="AT299" t="s">
        <v>424</v>
      </c>
      <c r="AU299" t="str">
        <f>CONCATENATE(Table1[[#This Row],[City]],Table1[[#This Row],[State]])</f>
        <v>AhmedabadGujarat</v>
      </c>
      <c r="AV299" t="s">
        <v>129</v>
      </c>
      <c r="AW299" t="s">
        <v>236</v>
      </c>
      <c r="AX299" t="str">
        <f>REPLACE(Table1[[#This Row],[Product_ID]],1,1,"s")</f>
        <v>s107</v>
      </c>
      <c r="AY299" t="s">
        <v>1353</v>
      </c>
      <c r="AZ299">
        <f>SEARCH("-",Table1[[#This Row],[Product ID]])</f>
        <v>2</v>
      </c>
      <c r="BA299">
        <f>FIND("-",Table1[[#This Row],[Product ID]])</f>
        <v>2</v>
      </c>
      <c r="BB299" t="str">
        <f>MID(Table1[[#This Row],[Product_ID]],2,3)</f>
        <v>107</v>
      </c>
      <c r="BC299" t="str">
        <f>RIGHT(Table1[[#This Row],[Product_ID]],3)</f>
        <v>107</v>
      </c>
      <c r="BD299" t="str">
        <f>LEFT(Table1[[#This Row],[Product_ID]],3)</f>
        <v>P10</v>
      </c>
      <c r="BE299" t="str">
        <f>_xlfn.XLOOKUP(Table1[[#This Row],[Product_ID]],AW:AW,BF:BF,,0)</f>
        <v>Casual Sneakers</v>
      </c>
      <c r="BF299" t="s">
        <v>238</v>
      </c>
      <c r="BG299">
        <f>LEN(Table1[[#This Row],[Product_Name]])</f>
        <v>15</v>
      </c>
      <c r="BH299" t="s">
        <v>224</v>
      </c>
      <c r="BI299">
        <f t="shared" si="35"/>
        <v>75</v>
      </c>
      <c r="BJ299" t="str">
        <f>SUBSTITUTE(Table1[[#This Row],[Category]],"Electronics","ELECTRONICS")</f>
        <v>Fashion</v>
      </c>
      <c r="BN299" t="s">
        <v>225</v>
      </c>
      <c r="BS299" s="14">
        <v>5</v>
      </c>
      <c r="BT299" s="3">
        <v>2799</v>
      </c>
      <c r="BU299" s="4">
        <v>10</v>
      </c>
      <c r="BV299" s="4" t="str">
        <f>IF(AND(Table1[[#This Row],[Quantity]]&gt;=3,Table1[[#This Row],[Discount_%]]&gt;=15%),"Bulk Discount","no")</f>
        <v>Bulk Discount</v>
      </c>
      <c r="BW299" s="4" t="str">
        <f>IF(AND(Table1[[#This Row],[Quantity]]&gt;3,Table1[[#This Row],[Discount_%]]&gt;15%),"Bulk Customer","Normal")</f>
        <v>Bulk Customer</v>
      </c>
      <c r="BX299" t="s">
        <v>192</v>
      </c>
      <c r="BY299" t="s">
        <v>136</v>
      </c>
      <c r="CC299" t="str">
        <f>IF(OR(Table1[[#This Row],[Order_Status]]="Returned",Table1[[#This Row],[Order_Status]]="Cancelled"),"Attention Required","Not")</f>
        <v>Not</v>
      </c>
      <c r="CD299" t="str">
        <f>IF(OR(Table1[[#This Row],[Order_Status]]="Returned",Table1[[#This Row],[Order_Status]]="Cancelled"),"Review","no")</f>
        <v>no</v>
      </c>
      <c r="CE299" t="str">
        <f>SUBSTITUTE(Table1[[#This Row],[Order_Status]],"Delivered","Completed")</f>
        <v>Completed</v>
      </c>
      <c r="CF299" s="2">
        <v>45698</v>
      </c>
      <c r="CG299" s="17">
        <f>NETWORKDAYS(Table1[[#This Row],[Order_Date]],Table1[[#This Row],[Delivery_Date]])</f>
        <v>3</v>
      </c>
      <c r="CH299" s="17">
        <f>Table1[[#This Row],[Delivery_Date]]-Table1[[#This Row],[Order_Date]]</f>
        <v>4</v>
      </c>
      <c r="CI299" t="s">
        <v>137</v>
      </c>
      <c r="CJ299" t="str">
        <f>IF(Table1[[#This Row],[Rating]]&gt;=4,"Good","Needs Improvement")</f>
        <v>Needs Improvement</v>
      </c>
      <c r="CK299" t="str">
        <f>IF(OR(Table1[[#This Row],[Rating]]&lt;=2,Table1[[#This Row],[Profit]]&lt;0),"Review","NO")</f>
        <v>Review</v>
      </c>
      <c r="CL299" t="e" cm="1">
        <f t="array" ref="CL299">_xlfn.IFS(Table1[[#This Row],[Rating]]&gt;2,"Poor",Table1[[#This Row],[Rating]]=3,"Average",Table1[[#This Row],[Rating]]=4,"Good",CP299=5,"Excellent")</f>
        <v>#N/A</v>
      </c>
      <c r="CM299">
        <f>COUNT(Table1[[#This Row],[Rating]])</f>
        <v>0</v>
      </c>
      <c r="CN299">
        <f>COUNTBLANK(Table1[[#This Row],[Rating]])</f>
        <v>1</v>
      </c>
      <c r="CP299" t="s">
        <v>194</v>
      </c>
      <c r="CR299" t="s">
        <v>204</v>
      </c>
      <c r="CS299" t="s">
        <v>174</v>
      </c>
      <c r="CU299" s="3">
        <v>12595.5</v>
      </c>
      <c r="CV299" s="3">
        <f>ROUND(Table1[[#This Row],[Sales_Amount]],0)</f>
        <v>12596</v>
      </c>
      <c r="CW299" s="3"/>
      <c r="CX299" s="3"/>
      <c r="CY299" s="3" t="str">
        <f>IF(AND(Table1[[#This Row],[Sales_Amount]]&gt;=10000,Table1[[#This Row],[Profit]]&gt;0),"Good Order")</f>
        <v>Good Order</v>
      </c>
      <c r="CZ299" s="3" t="str">
        <f>IF(Table1[[#This Row],[Sales_Amount]]&gt;=10000,"High","Normal")</f>
        <v>High</v>
      </c>
      <c r="DA299" s="3">
        <v>5095.5</v>
      </c>
      <c r="DB299" s="3">
        <f>ROUND(Table1[[#This Row],[Profit]],0)</f>
        <v>5096</v>
      </c>
      <c r="DC299" s="3">
        <f>ABS(Table1[[#This Row],[Profit]])</f>
        <v>5095.5</v>
      </c>
      <c r="DD299" s="3"/>
      <c r="DE299" s="3"/>
      <c r="DF299" s="3"/>
      <c r="DG299" s="3" t="str">
        <f>IF(Table1[[#This Row],[Profit]]&gt;0,"Profit","Loss")</f>
        <v>Profit</v>
      </c>
      <c r="DH299" s="3" t="str">
        <f>IF(AND(Table1[[#This Row],[Sales_Amount]]&gt;=10000,Table1[[#This Row],[Profit]]&gt;0),"Priority","Normal")</f>
        <v>Priority</v>
      </c>
      <c r="DI299" s="3">
        <f t="shared" ca="1" si="30"/>
        <v>0.62509696872387466</v>
      </c>
      <c r="DJ299" s="3">
        <f t="shared" ca="1" si="31"/>
        <v>22</v>
      </c>
      <c r="DK299" s="3"/>
      <c r="DL299" s="3"/>
      <c r="DM299" s="3"/>
      <c r="DN299" s="3"/>
      <c r="DO299" s="3"/>
      <c r="DP299" s="3"/>
    </row>
    <row r="300" spans="1:120">
      <c r="A300" t="s">
        <v>1354</v>
      </c>
      <c r="B300" t="str">
        <f>REPLACE(Table1[[#This Row],[Order_ID]],1,3,"YOO")</f>
        <v>YOO10299</v>
      </c>
      <c r="C300" t="str">
        <f>MID(Table1[[#This Row],[Order_ID]],4,4)</f>
        <v>1029</v>
      </c>
      <c r="D300" t="str">
        <f>LEFT(Table1[[#This Row],[Order_ID]],4)</f>
        <v>ORD1</v>
      </c>
      <c r="E300" t="str">
        <f>RIGHT(Table1[[#This Row],[Order_ID]],5)</f>
        <v>10299</v>
      </c>
      <c r="F300" t="s">
        <v>5</v>
      </c>
      <c r="G300">
        <v>10299</v>
      </c>
      <c r="H300" t="s">
        <v>1355</v>
      </c>
      <c r="I300" s="2">
        <f>EDATE(Table1[[#This Row],[Order_Date]],3)</f>
        <v>45848</v>
      </c>
      <c r="J300" s="2">
        <f>EDATE(Table1[[#This Row],[Order_Date]],6)</f>
        <v>45940</v>
      </c>
      <c r="K300">
        <f ca="1">YEAR(Table1[[#This Row],[Today]])</f>
        <v>2026</v>
      </c>
      <c r="L300">
        <v>299</v>
      </c>
      <c r="M300">
        <f ca="1">DAY(Table1[[#This Row],[Today]])</f>
        <v>11</v>
      </c>
      <c r="N300" s="19">
        <f t="shared" ca="1" si="34"/>
        <v>46245.589795370368</v>
      </c>
      <c r="O300" s="2">
        <f t="shared" ca="1" si="29"/>
        <v>46245</v>
      </c>
      <c r="P300" s="17">
        <f ca="1">Table1[[#This Row],[Today]]-Table1[[#This Row],[Order_Date]]</f>
        <v>488</v>
      </c>
      <c r="Q300" s="2">
        <v>45956</v>
      </c>
      <c r="R300" s="2">
        <v>45757</v>
      </c>
      <c r="S300" s="6">
        <f t="shared" si="32"/>
        <v>2025</v>
      </c>
      <c r="T300" s="7" t="str">
        <f t="shared" si="33"/>
        <v>April</v>
      </c>
      <c r="U300" s="2">
        <f>WORKDAY(Table1[[#This Row],[Order_Date]],5)</f>
        <v>45764</v>
      </c>
      <c r="V300" s="7" t="str">
        <f>CONCATENATE(Table1[[#This Row],[Customer_ID]],Table1[[#This Row],[Customer_Name]])</f>
        <v>C1086Aman Singh</v>
      </c>
      <c r="W300" t="s">
        <v>597</v>
      </c>
      <c r="X300" t="s">
        <v>123</v>
      </c>
      <c r="Y300">
        <f>COUNTA(Table1[[#This Row],[Customer_Name]])</f>
        <v>1</v>
      </c>
      <c r="Z300" t="str">
        <f>SUBSTITUTE(Table1[[#This Row],[Customer_Name]]," ","_")</f>
        <v>Aman_Singh</v>
      </c>
      <c r="AA300" s="10">
        <f>IFERROR(SEARCH("a",Table1[[#This Row],[Customer_Name]]),"N/A")</f>
        <v>1</v>
      </c>
      <c r="AB300">
        <f>SEARCH(" ",Table1[[#This Row],[Customer_Name]])</f>
        <v>5</v>
      </c>
      <c r="AC300" s="11">
        <f>IFERROR(FIND("a",Table1[[#This Row],[Customer_Name]]),"N/A")</f>
        <v>3</v>
      </c>
      <c r="AD300">
        <f>FIND(" ",Table1[[#This Row],[Customer_Name]])</f>
        <v>5</v>
      </c>
      <c r="AE300" t="str">
        <f>TRIM(Table1[[#This Row],[Customer_Name]])</f>
        <v>Aman Singh</v>
      </c>
      <c r="AF300">
        <f>LEN(Table1[[#This Row],[Trimmed]])</f>
        <v>10</v>
      </c>
      <c r="AG300">
        <f>MAX(Table1[Length])</f>
        <v>15</v>
      </c>
      <c r="AH300" t="str">
        <f>PROPER(Table1[[#This Row],[Customer_Name]])</f>
        <v>Aman Singh</v>
      </c>
      <c r="AI300" t="str">
        <f>LOWER(Table1[[#This Row],[Customer_Name]])</f>
        <v>aman singh</v>
      </c>
      <c r="AJ300" t="str">
        <f>UPPER(Table1[[#This Row],[Customer_Name]])</f>
        <v>AMAN SINGH</v>
      </c>
      <c r="AK300" t="str">
        <f>CONCATENATE(Table1[[#This Row],[Customer_ID]],Table1[[#This Row],[Customer_Name]])</f>
        <v>C1086Aman Singh</v>
      </c>
      <c r="AL300" t="s">
        <v>124</v>
      </c>
      <c r="AM300" t="s">
        <v>125</v>
      </c>
      <c r="AN300" t="s">
        <v>126</v>
      </c>
      <c r="AO300" t="s">
        <v>124</v>
      </c>
      <c r="AP300" t="s">
        <v>125</v>
      </c>
      <c r="AQ300" t="s">
        <v>379</v>
      </c>
      <c r="AR300" t="str">
        <f>TRIM(Table1[[#This Row],[City]])</f>
        <v>Indore</v>
      </c>
      <c r="AS300" t="str">
        <f>PROPER(Table1[[#This Row],[City]])</f>
        <v>Indore</v>
      </c>
      <c r="AT300" t="s">
        <v>345</v>
      </c>
      <c r="AU300" t="str">
        <f>CONCATENATE(Table1[[#This Row],[City]],Table1[[#This Row],[State]])</f>
        <v>IndoreMadhya Pradesh</v>
      </c>
      <c r="AV300" t="s">
        <v>346</v>
      </c>
      <c r="AW300" t="s">
        <v>319</v>
      </c>
      <c r="AX300" t="str">
        <f>REPLACE(Table1[[#This Row],[Product_ID]],1,1,"s")</f>
        <v>s103</v>
      </c>
      <c r="AY300" t="s">
        <v>1356</v>
      </c>
      <c r="AZ300">
        <f>SEARCH("-",Table1[[#This Row],[Product ID]])</f>
        <v>2</v>
      </c>
      <c r="BA300">
        <f>FIND("-",Table1[[#This Row],[Product ID]])</f>
        <v>2</v>
      </c>
      <c r="BB300" t="str">
        <f>MID(Table1[[#This Row],[Product_ID]],2,3)</f>
        <v>103</v>
      </c>
      <c r="BC300" t="str">
        <f>RIGHT(Table1[[#This Row],[Product_ID]],3)</f>
        <v>103</v>
      </c>
      <c r="BD300" t="str">
        <f>LEFT(Table1[[#This Row],[Product_ID]],3)</f>
        <v>P10</v>
      </c>
      <c r="BE300" t="str">
        <f>_xlfn.XLOOKUP(Table1[[#This Row],[Product_ID]],AW:AW,BF:BF,,0)</f>
        <v>Laptop Stand</v>
      </c>
      <c r="BF300" t="s">
        <v>321</v>
      </c>
      <c r="BG300">
        <f>LEN(Table1[[#This Row],[Product_Name]])</f>
        <v>12</v>
      </c>
      <c r="BH300" t="s">
        <v>154</v>
      </c>
      <c r="BI300">
        <f t="shared" si="35"/>
        <v>75</v>
      </c>
      <c r="BJ300" t="str">
        <f>SUBSTITUTE(Table1[[#This Row],[Category]],"Electronics","ELECTRONICS")</f>
        <v>ELECTRONICS</v>
      </c>
      <c r="BN300" t="s">
        <v>155</v>
      </c>
      <c r="BS300" s="14">
        <v>4</v>
      </c>
      <c r="BT300" s="3">
        <v>1599</v>
      </c>
      <c r="BU300" s="4">
        <v>5</v>
      </c>
      <c r="BV300" s="4" t="str">
        <f>IF(AND(Table1[[#This Row],[Quantity]]&gt;=3,Table1[[#This Row],[Discount_%]]&gt;=15%),"Bulk Discount","no")</f>
        <v>Bulk Discount</v>
      </c>
      <c r="BW300" s="4" t="str">
        <f>IF(AND(Table1[[#This Row],[Quantity]]&gt;3,Table1[[#This Row],[Discount_%]]&gt;15%),"Bulk Customer","Normal")</f>
        <v>Bulk Customer</v>
      </c>
      <c r="BX300" t="s">
        <v>187</v>
      </c>
      <c r="BY300" t="s">
        <v>374</v>
      </c>
      <c r="CC300" t="str">
        <f>IF(OR(Table1[[#This Row],[Order_Status]]="Returned",Table1[[#This Row],[Order_Status]]="Cancelled"),"Attention Required","Not")</f>
        <v>Attention Required</v>
      </c>
      <c r="CD300" t="str">
        <f>IF(OR(Table1[[#This Row],[Order_Status]]="Returned",Table1[[#This Row],[Order_Status]]="Cancelled"),"Review","no")</f>
        <v>Review</v>
      </c>
      <c r="CE300" t="str">
        <f>SUBSTITUTE(Table1[[#This Row],[Order_Status]],"Delivered","Completed")</f>
        <v>Returned</v>
      </c>
      <c r="CF300" s="2">
        <v>45762</v>
      </c>
      <c r="CG300" s="17">
        <f>NETWORKDAYS(Table1[[#This Row],[Order_Date]],Table1[[#This Row],[Delivery_Date]])</f>
        <v>4</v>
      </c>
      <c r="CH300" s="17">
        <f>Table1[[#This Row],[Delivery_Date]]-Table1[[#This Row],[Order_Date]]</f>
        <v>5</v>
      </c>
      <c r="CI300" t="s">
        <v>375</v>
      </c>
      <c r="CJ300" t="str">
        <f>IF(Table1[[#This Row],[Rating]]&gt;=4,"Good","Needs Improvement")</f>
        <v>Needs Improvement</v>
      </c>
      <c r="CK300" t="str">
        <f>IF(OR(Table1[[#This Row],[Rating]]&lt;=2,Table1[[#This Row],[Profit]]&lt;0),"Review","NO")</f>
        <v>NO</v>
      </c>
      <c r="CL300" t="str" cm="1">
        <f t="array" ref="CL300">_xlfn.IFS(Table1[[#This Row],[Rating]]&gt;2,"Poor",Table1[[#This Row],[Rating]]=3,"Average",Table1[[#This Row],[Rating]]=4,"Good",CP300=5,"Excellent")</f>
        <v>Poor</v>
      </c>
      <c r="CM300">
        <f>COUNT(Table1[[#This Row],[Rating]])</f>
        <v>1</v>
      </c>
      <c r="CN300">
        <f>COUNTBLANK(Table1[[#This Row],[Rating]])</f>
        <v>0</v>
      </c>
      <c r="CP300" t="s">
        <v>157</v>
      </c>
      <c r="CQ300" s="14">
        <v>3</v>
      </c>
      <c r="CR300" t="s">
        <v>139</v>
      </c>
      <c r="CS300" t="s">
        <v>213</v>
      </c>
      <c r="CU300" s="3">
        <v>6076.2</v>
      </c>
      <c r="CV300" s="3">
        <f>ROUND(Table1[[#This Row],[Sales_Amount]],0)</f>
        <v>6076</v>
      </c>
      <c r="CW300" s="3"/>
      <c r="CX300" s="3"/>
      <c r="CY300" s="3" t="b">
        <f>IF(AND(Table1[[#This Row],[Sales_Amount]]&gt;=10000,Table1[[#This Row],[Profit]]&gt;0),"Good Order")</f>
        <v>0</v>
      </c>
      <c r="CZ300" s="3" t="str">
        <f>IF(Table1[[#This Row],[Sales_Amount]]&gt;=10000,"High","Normal")</f>
        <v>Normal</v>
      </c>
      <c r="DA300" s="3">
        <v>2476.1999999999998</v>
      </c>
      <c r="DB300" s="3">
        <f>ROUND(Table1[[#This Row],[Profit]],0)</f>
        <v>2476</v>
      </c>
      <c r="DC300" s="3">
        <f>ABS(Table1[[#This Row],[Profit]])</f>
        <v>2476.1999999999998</v>
      </c>
      <c r="DD300" s="3"/>
      <c r="DE300" s="3"/>
      <c r="DF300" s="3"/>
      <c r="DG300" s="3" t="str">
        <f>IF(Table1[[#This Row],[Profit]]&gt;0,"Profit","Loss")</f>
        <v>Profit</v>
      </c>
      <c r="DH300" s="3" t="str">
        <f>IF(AND(Table1[[#This Row],[Sales_Amount]]&gt;=10000,Table1[[#This Row],[Profit]]&gt;0),"Priority","Normal")</f>
        <v>Normal</v>
      </c>
      <c r="DI300" s="3">
        <f t="shared" ca="1" si="30"/>
        <v>0.23889908869324472</v>
      </c>
      <c r="DJ300" s="3">
        <f t="shared" ca="1" si="31"/>
        <v>70</v>
      </c>
      <c r="DK300" s="3"/>
      <c r="DL300" s="3"/>
      <c r="DM300" s="3"/>
      <c r="DN300" s="3"/>
      <c r="DO300" s="3"/>
      <c r="DP300" s="3"/>
    </row>
    <row r="301" spans="1:120">
      <c r="A301" t="s">
        <v>1357</v>
      </c>
      <c r="B301" t="str">
        <f>REPLACE(Table1[[#This Row],[Order_ID]],1,3,"YOO")</f>
        <v>YOO10300</v>
      </c>
      <c r="C301" t="str">
        <f>MID(Table1[[#This Row],[Order_ID]],4,4)</f>
        <v>1030</v>
      </c>
      <c r="D301" t="str">
        <f>LEFT(Table1[[#This Row],[Order_ID]],4)</f>
        <v>ORD1</v>
      </c>
      <c r="E301" t="str">
        <f>RIGHT(Table1[[#This Row],[Order_ID]],5)</f>
        <v>10300</v>
      </c>
      <c r="F301" t="s">
        <v>5</v>
      </c>
      <c r="G301">
        <v>10300</v>
      </c>
      <c r="H301" t="s">
        <v>1358</v>
      </c>
      <c r="I301" s="2">
        <f>EDATE(Table1[[#This Row],[Order_Date]],3)</f>
        <v>46180</v>
      </c>
      <c r="J301" s="2">
        <f>EDATE(Table1[[#This Row],[Order_Date]],6)</f>
        <v>46272</v>
      </c>
      <c r="K301">
        <f ca="1">YEAR(Table1[[#This Row],[Today]])</f>
        <v>2026</v>
      </c>
      <c r="L301">
        <v>300</v>
      </c>
      <c r="M301">
        <f ca="1">DAY(Table1[[#This Row],[Today]])</f>
        <v>11</v>
      </c>
      <c r="N301" s="19">
        <f t="shared" ca="1" si="34"/>
        <v>46245.589795370368</v>
      </c>
      <c r="O301" s="2">
        <f t="shared" ca="1" si="29"/>
        <v>46245</v>
      </c>
      <c r="P301" s="17">
        <f ca="1">Table1[[#This Row],[Today]]-Table1[[#This Row],[Order_Date]]</f>
        <v>157</v>
      </c>
      <c r="Q301" s="2">
        <v>45957</v>
      </c>
      <c r="R301" s="2">
        <v>46088</v>
      </c>
      <c r="S301" s="6">
        <f t="shared" si="32"/>
        <v>2026</v>
      </c>
      <c r="T301" s="7" t="str">
        <f t="shared" si="33"/>
        <v>March</v>
      </c>
      <c r="U301" s="2">
        <f>WORKDAY(Table1[[#This Row],[Order_Date]],5)</f>
        <v>46094</v>
      </c>
      <c r="V301" s="7" t="str">
        <f>CONCATENATE(Table1[[#This Row],[Customer_ID]],Table1[[#This Row],[Customer_Name]])</f>
        <v>C1031Kavya Shah</v>
      </c>
      <c r="W301" t="s">
        <v>1146</v>
      </c>
      <c r="X301" t="s">
        <v>271</v>
      </c>
      <c r="Y301">
        <f>COUNTA(Table1[[#This Row],[Customer_Name]])</f>
        <v>1</v>
      </c>
      <c r="Z301" t="str">
        <f>SUBSTITUTE(Table1[[#This Row],[Customer_Name]]," ","_")</f>
        <v>Kavya_Shah</v>
      </c>
      <c r="AA301" s="10">
        <f>IFERROR(SEARCH("a",Table1[[#This Row],[Customer_Name]]),"N/A")</f>
        <v>2</v>
      </c>
      <c r="AB301">
        <f>SEARCH(" ",Table1[[#This Row],[Customer_Name]])</f>
        <v>6</v>
      </c>
      <c r="AC301" s="11">
        <f>IFERROR(FIND("a",Table1[[#This Row],[Customer_Name]]),"N/A")</f>
        <v>2</v>
      </c>
      <c r="AD301">
        <f>FIND(" ",Table1[[#This Row],[Customer_Name]])</f>
        <v>6</v>
      </c>
      <c r="AE301" t="str">
        <f>TRIM(Table1[[#This Row],[Customer_Name]])</f>
        <v>Kavya Shah</v>
      </c>
      <c r="AF301">
        <f>LEN(Table1[[#This Row],[Trimmed]])</f>
        <v>10</v>
      </c>
      <c r="AG301">
        <f>MAX(Table1[Length])</f>
        <v>15</v>
      </c>
      <c r="AH301" t="str">
        <f>PROPER(Table1[[#This Row],[Customer_Name]])</f>
        <v>Kavya Shah</v>
      </c>
      <c r="AI301" t="str">
        <f>LOWER(Table1[[#This Row],[Customer_Name]])</f>
        <v>kavya shah</v>
      </c>
      <c r="AJ301" t="str">
        <f>UPPER(Table1[[#This Row],[Customer_Name]])</f>
        <v>KAVYA SHAH</v>
      </c>
      <c r="AK301" t="str">
        <f>CONCATENATE(Table1[[#This Row],[Customer_ID]],Table1[[#This Row],[Customer_Name]])</f>
        <v>C1031Kavya Shah</v>
      </c>
      <c r="AL301" t="s">
        <v>272</v>
      </c>
      <c r="AM301" t="s">
        <v>273</v>
      </c>
      <c r="AN301" t="s">
        <v>274</v>
      </c>
      <c r="AO301" t="s">
        <v>272</v>
      </c>
      <c r="AP301" t="s">
        <v>273</v>
      </c>
      <c r="AQ301" t="s">
        <v>379</v>
      </c>
      <c r="AR301" t="str">
        <f>TRIM(Table1[[#This Row],[City]])</f>
        <v>Indore</v>
      </c>
      <c r="AS301" t="str">
        <f>PROPER(Table1[[#This Row],[City]])</f>
        <v>Indore</v>
      </c>
      <c r="AT301" t="s">
        <v>345</v>
      </c>
      <c r="AU301" t="str">
        <f>CONCATENATE(Table1[[#This Row],[City]],Table1[[#This Row],[State]])</f>
        <v>IndoreMadhya Pradesh</v>
      </c>
      <c r="AV301" t="s">
        <v>346</v>
      </c>
      <c r="AW301" t="s">
        <v>261</v>
      </c>
      <c r="AX301" t="str">
        <f>REPLACE(Table1[[#This Row],[Product_ID]],1,1,"s")</f>
        <v>s114</v>
      </c>
      <c r="AY301" t="s">
        <v>1359</v>
      </c>
      <c r="AZ301">
        <f>SEARCH("-",Table1[[#This Row],[Product ID]])</f>
        <v>2</v>
      </c>
      <c r="BA301">
        <f>FIND("-",Table1[[#This Row],[Product ID]])</f>
        <v>2</v>
      </c>
      <c r="BB301" t="str">
        <f>MID(Table1[[#This Row],[Product_ID]],2,3)</f>
        <v>114</v>
      </c>
      <c r="BC301" t="str">
        <f>RIGHT(Table1[[#This Row],[Product_ID]],3)</f>
        <v>114</v>
      </c>
      <c r="BD301" t="str">
        <f>LEFT(Table1[[#This Row],[Product_ID]],3)</f>
        <v>P11</v>
      </c>
      <c r="BE301" t="str">
        <f>_xlfn.XLOOKUP(Table1[[#This Row],[Product_ID]],AW:AW,BF:BF,,0)</f>
        <v>Yoga Mat</v>
      </c>
      <c r="BF301" t="s">
        <v>263</v>
      </c>
      <c r="BG301">
        <f>LEN(Table1[[#This Row],[Product_Name]])</f>
        <v>8</v>
      </c>
      <c r="BH301" t="s">
        <v>264</v>
      </c>
      <c r="BI301">
        <f t="shared" si="35"/>
        <v>75</v>
      </c>
      <c r="BJ301" t="str">
        <f>SUBSTITUTE(Table1[[#This Row],[Category]],"Electronics","ELECTRONICS")</f>
        <v>Sports</v>
      </c>
      <c r="BN301" t="s">
        <v>265</v>
      </c>
      <c r="BS301" s="14">
        <v>3</v>
      </c>
      <c r="BT301" s="3">
        <v>999</v>
      </c>
      <c r="BU301" s="4">
        <v>15</v>
      </c>
      <c r="BV301" s="4" t="str">
        <f>IF(AND(Table1[[#This Row],[Quantity]]&gt;=3,Table1[[#This Row],[Discount_%]]&gt;=15%),"Bulk Discount","no")</f>
        <v>Bulk Discount</v>
      </c>
      <c r="BW301" s="4" t="str">
        <f>IF(AND(Table1[[#This Row],[Quantity]]&gt;3,Table1[[#This Row],[Discount_%]]&gt;15%),"Bulk Customer","Normal")</f>
        <v>Normal</v>
      </c>
      <c r="BX301" t="s">
        <v>172</v>
      </c>
      <c r="BY301" t="s">
        <v>136</v>
      </c>
      <c r="CC301" t="str">
        <f>IF(OR(Table1[[#This Row],[Order_Status]]="Returned",Table1[[#This Row],[Order_Status]]="Cancelled"),"Attention Required","Not")</f>
        <v>Not</v>
      </c>
      <c r="CD301" t="str">
        <f>IF(OR(Table1[[#This Row],[Order_Status]]="Returned",Table1[[#This Row],[Order_Status]]="Cancelled"),"Review","no")</f>
        <v>no</v>
      </c>
      <c r="CE301" t="str">
        <f>SUBSTITUTE(Table1[[#This Row],[Order_Status]],"Delivered","Completed")</f>
        <v>Completed</v>
      </c>
      <c r="CF301" s="2">
        <v>46093</v>
      </c>
      <c r="CG301" s="17">
        <f>NETWORKDAYS(Table1[[#This Row],[Order_Date]],Table1[[#This Row],[Delivery_Date]])</f>
        <v>4</v>
      </c>
      <c r="CH301" s="17">
        <f>Table1[[#This Row],[Delivery_Date]]-Table1[[#This Row],[Order_Date]]</f>
        <v>5</v>
      </c>
      <c r="CI301" t="s">
        <v>137</v>
      </c>
      <c r="CJ301" t="str">
        <f>IF(Table1[[#This Row],[Rating]]&gt;=4,"Good","Needs Improvement")</f>
        <v>Needs Improvement</v>
      </c>
      <c r="CK301" t="str">
        <f>IF(OR(Table1[[#This Row],[Rating]]&lt;=2,Table1[[#This Row],[Profit]]&lt;0),"Review","NO")</f>
        <v>Review</v>
      </c>
      <c r="CL301" t="e" cm="1">
        <f t="array" ref="CL301">_xlfn.IFS(Table1[[#This Row],[Rating]]&gt;2,"Poor",Table1[[#This Row],[Rating]]=3,"Average",Table1[[#This Row],[Rating]]=4,"Good",CP301=5,"Excellent")</f>
        <v>#N/A</v>
      </c>
      <c r="CM301">
        <f>COUNT(Table1[[#This Row],[Rating]])</f>
        <v>0</v>
      </c>
      <c r="CN301">
        <f>COUNTBLANK(Table1[[#This Row],[Rating]])</f>
        <v>1</v>
      </c>
      <c r="CR301" t="s">
        <v>204</v>
      </c>
      <c r="CS301" t="s">
        <v>174</v>
      </c>
      <c r="CU301" s="3">
        <v>2547.4499999999998</v>
      </c>
      <c r="CV301" s="3">
        <f>ROUND(Table1[[#This Row],[Sales_Amount]],0)</f>
        <v>2547</v>
      </c>
      <c r="CW301" s="3"/>
      <c r="CX301" s="3"/>
      <c r="CY301" s="3" t="b">
        <f>IF(AND(Table1[[#This Row],[Sales_Amount]]&gt;=10000,Table1[[#This Row],[Profit]]&gt;0),"Good Order")</f>
        <v>0</v>
      </c>
      <c r="CZ301" s="3" t="str">
        <f>IF(Table1[[#This Row],[Sales_Amount]]&gt;=10000,"High","Normal")</f>
        <v>Normal</v>
      </c>
      <c r="DA301" s="3">
        <v>1197.45</v>
      </c>
      <c r="DB301" s="3">
        <f>ROUND(Table1[[#This Row],[Profit]],0)</f>
        <v>1197</v>
      </c>
      <c r="DC301" s="3">
        <f>ABS(Table1[[#This Row],[Profit]])</f>
        <v>1197.45</v>
      </c>
      <c r="DD301" s="3"/>
      <c r="DE301" s="3"/>
      <c r="DF301" s="3"/>
      <c r="DG301" s="3" t="str">
        <f>IF(Table1[[#This Row],[Profit]]&gt;0,"Profit","Loss")</f>
        <v>Profit</v>
      </c>
      <c r="DH301" s="3" t="str">
        <f>IF(AND(Table1[[#This Row],[Sales_Amount]]&gt;=10000,Table1[[#This Row],[Profit]]&gt;0),"Priority","Normal")</f>
        <v>Normal</v>
      </c>
      <c r="DI301" s="3">
        <f t="shared" ca="1" si="30"/>
        <v>0.46636119424313105</v>
      </c>
      <c r="DJ301" s="3">
        <f t="shared" ca="1" si="31"/>
        <v>17</v>
      </c>
      <c r="DK301" s="3"/>
      <c r="DL301" s="3"/>
      <c r="DM301" s="3"/>
      <c r="DN301" s="3"/>
      <c r="DO301" s="3"/>
      <c r="DP301" s="3"/>
    </row>
    <row r="302" spans="1:120">
      <c r="A302" t="s">
        <v>1360</v>
      </c>
      <c r="B302" t="str">
        <f>REPLACE(Table1[[#This Row],[Order_ID]],1,3,"YOO")</f>
        <v>YOO10301</v>
      </c>
      <c r="C302" t="str">
        <f>MID(Table1[[#This Row],[Order_ID]],4,4)</f>
        <v>1030</v>
      </c>
      <c r="D302" t="str">
        <f>LEFT(Table1[[#This Row],[Order_ID]],4)</f>
        <v>ORD1</v>
      </c>
      <c r="E302" t="str">
        <f>RIGHT(Table1[[#This Row],[Order_ID]],5)</f>
        <v>10301</v>
      </c>
      <c r="F302" t="s">
        <v>5</v>
      </c>
      <c r="G302">
        <v>10301</v>
      </c>
      <c r="H302" t="s">
        <v>1361</v>
      </c>
      <c r="I302" s="2">
        <f>EDATE(Table1[[#This Row],[Order_Date]],3)</f>
        <v>46232</v>
      </c>
      <c r="J302" s="2">
        <f>EDATE(Table1[[#This Row],[Order_Date]],6)</f>
        <v>46324</v>
      </c>
      <c r="K302">
        <f ca="1">YEAR(Table1[[#This Row],[Today]])</f>
        <v>2026</v>
      </c>
      <c r="L302">
        <v>301</v>
      </c>
      <c r="M302">
        <f ca="1">DAY(Table1[[#This Row],[Today]])</f>
        <v>11</v>
      </c>
      <c r="N302" s="19">
        <f t="shared" ca="1" si="34"/>
        <v>46245.589795138891</v>
      </c>
      <c r="O302" s="2">
        <f t="shared" ca="1" si="29"/>
        <v>46245</v>
      </c>
      <c r="P302" s="17">
        <f ca="1">Table1[[#This Row],[Today]]-Table1[[#This Row],[Order_Date]]</f>
        <v>104</v>
      </c>
      <c r="Q302" s="2">
        <v>45958</v>
      </c>
      <c r="R302" s="2">
        <v>46141</v>
      </c>
      <c r="S302" s="6">
        <f t="shared" si="32"/>
        <v>2026</v>
      </c>
      <c r="T302" s="7" t="str">
        <f t="shared" si="33"/>
        <v>April</v>
      </c>
      <c r="U302" s="2">
        <f>WORKDAY(Table1[[#This Row],[Order_Date]],5)</f>
        <v>46148</v>
      </c>
      <c r="V302" s="7" t="str">
        <f>CONCATENATE(Table1[[#This Row],[Customer_ID]],Table1[[#This Row],[Customer_Name]])</f>
        <v>C1106Priya Verma</v>
      </c>
      <c r="W302" t="s">
        <v>1153</v>
      </c>
      <c r="X302" t="s">
        <v>335</v>
      </c>
      <c r="Y302">
        <f>COUNTA(Table1[[#This Row],[Customer_Name]])</f>
        <v>1</v>
      </c>
      <c r="Z302" t="str">
        <f>SUBSTITUTE(Table1[[#This Row],[Customer_Name]]," ","_")</f>
        <v>Priya_Verma</v>
      </c>
      <c r="AA302" s="10">
        <f>IFERROR(SEARCH("a",Table1[[#This Row],[Customer_Name]]),"N/A")</f>
        <v>5</v>
      </c>
      <c r="AB302">
        <f>SEARCH(" ",Table1[[#This Row],[Customer_Name]])</f>
        <v>6</v>
      </c>
      <c r="AC302" s="11">
        <f>IFERROR(FIND("a",Table1[[#This Row],[Customer_Name]]),"N/A")</f>
        <v>5</v>
      </c>
      <c r="AD302">
        <f>FIND(" ",Table1[[#This Row],[Customer_Name]])</f>
        <v>6</v>
      </c>
      <c r="AE302" t="str">
        <f>TRIM(Table1[[#This Row],[Customer_Name]])</f>
        <v>Priya Verma</v>
      </c>
      <c r="AF302">
        <f>LEN(Table1[[#This Row],[Trimmed]])</f>
        <v>11</v>
      </c>
      <c r="AG302">
        <f>MAX(Table1[Length])</f>
        <v>15</v>
      </c>
      <c r="AH302" t="str">
        <f>PROPER(Table1[[#This Row],[Customer_Name]])</f>
        <v>Priya Verma</v>
      </c>
      <c r="AI302" t="str">
        <f>LOWER(Table1[[#This Row],[Customer_Name]])</f>
        <v>priya verma</v>
      </c>
      <c r="AJ302" t="str">
        <f>UPPER(Table1[[#This Row],[Customer_Name]])</f>
        <v>PRIYA VERMA</v>
      </c>
      <c r="AK302" t="str">
        <f>CONCATENATE(Table1[[#This Row],[Customer_ID]],Table1[[#This Row],[Customer_Name]])</f>
        <v>C1106Priya Verma</v>
      </c>
      <c r="AL302" t="s">
        <v>174</v>
      </c>
      <c r="AM302" t="s">
        <v>336</v>
      </c>
      <c r="AN302" t="s">
        <v>337</v>
      </c>
      <c r="AO302" t="s">
        <v>174</v>
      </c>
      <c r="AP302" t="s">
        <v>336</v>
      </c>
      <c r="AQ302" t="s">
        <v>127</v>
      </c>
      <c r="AR302" t="str">
        <f>TRIM(Table1[[#This Row],[City]])</f>
        <v>Pune</v>
      </c>
      <c r="AS302" t="str">
        <f>PROPER(Table1[[#This Row],[City]])</f>
        <v>Pune</v>
      </c>
      <c r="AT302" t="s">
        <v>128</v>
      </c>
      <c r="AU302" t="str">
        <f>CONCATENATE(Table1[[#This Row],[City]],Table1[[#This Row],[State]])</f>
        <v>PuneMaharashtra</v>
      </c>
      <c r="AV302" t="s">
        <v>129</v>
      </c>
      <c r="AW302" t="s">
        <v>363</v>
      </c>
      <c r="AX302" t="str">
        <f>REPLACE(Table1[[#This Row],[Product_ID]],1,1,"s")</f>
        <v>s110</v>
      </c>
      <c r="AY302" t="s">
        <v>1362</v>
      </c>
      <c r="AZ302">
        <f>SEARCH("-",Table1[[#This Row],[Product ID]])</f>
        <v>2</v>
      </c>
      <c r="BA302">
        <f>FIND("-",Table1[[#This Row],[Product ID]])</f>
        <v>2</v>
      </c>
      <c r="BB302" t="str">
        <f>MID(Table1[[#This Row],[Product_ID]],2,3)</f>
        <v>110</v>
      </c>
      <c r="BC302" t="str">
        <f>RIGHT(Table1[[#This Row],[Product_ID]],3)</f>
        <v>110</v>
      </c>
      <c r="BD302" t="str">
        <f>LEFT(Table1[[#This Row],[Product_ID]],3)</f>
        <v>P11</v>
      </c>
      <c r="BE302" t="str">
        <f>_xlfn.XLOOKUP(Table1[[#This Row],[Product_ID]],AW:AW,BF:BF,,0)</f>
        <v>Smart Watch</v>
      </c>
      <c r="BF302" t="s">
        <v>365</v>
      </c>
      <c r="BG302">
        <f>LEN(Table1[[#This Row],[Product_Name]])</f>
        <v>11</v>
      </c>
      <c r="BH302" t="s">
        <v>154</v>
      </c>
      <c r="BI302">
        <f t="shared" si="35"/>
        <v>75</v>
      </c>
      <c r="BJ302" t="str">
        <f>SUBSTITUTE(Table1[[#This Row],[Category]],"Electronics","ELECTRONICS")</f>
        <v>ELECTRONICS</v>
      </c>
      <c r="BN302" t="s">
        <v>366</v>
      </c>
      <c r="BS302" s="14">
        <v>2</v>
      </c>
      <c r="BT302" s="3">
        <v>4999</v>
      </c>
      <c r="BU302" s="4">
        <v>0</v>
      </c>
      <c r="BV302" s="4" t="str">
        <f>IF(AND(Table1[[#This Row],[Quantity]]&gt;=3,Table1[[#This Row],[Discount_%]]&gt;=15%),"Bulk Discount","no")</f>
        <v>no</v>
      </c>
      <c r="BW302" s="4" t="str">
        <f>IF(AND(Table1[[#This Row],[Quantity]]&gt;3,Table1[[#This Row],[Discount_%]]&gt;15%),"Bulk Customer","Normal")</f>
        <v>Normal</v>
      </c>
      <c r="BX302" t="s">
        <v>187</v>
      </c>
      <c r="BY302" t="s">
        <v>193</v>
      </c>
      <c r="CC302" t="str">
        <f>IF(OR(Table1[[#This Row],[Order_Status]]="Returned",Table1[[#This Row],[Order_Status]]="Cancelled"),"Attention Required","Not")</f>
        <v>Not</v>
      </c>
      <c r="CD302" t="str">
        <f>IF(OR(Table1[[#This Row],[Order_Status]]="Returned",Table1[[#This Row],[Order_Status]]="Cancelled"),"Review","no")</f>
        <v>no</v>
      </c>
      <c r="CE302" t="str">
        <f>SUBSTITUTE(Table1[[#This Row],[Order_Status]],"Delivered","Completed")</f>
        <v>Shipped</v>
      </c>
      <c r="CF302" s="2">
        <v>46148</v>
      </c>
      <c r="CG302" s="17">
        <f>NETWORKDAYS(Table1[[#This Row],[Order_Date]],Table1[[#This Row],[Delivery_Date]])</f>
        <v>6</v>
      </c>
      <c r="CH302" s="17">
        <f>Table1[[#This Row],[Delivery_Date]]-Table1[[#This Row],[Order_Date]]</f>
        <v>7</v>
      </c>
      <c r="CI302" t="s">
        <v>137</v>
      </c>
      <c r="CJ302" t="str">
        <f>IF(Table1[[#This Row],[Rating]]&gt;=4,"Good","Needs Improvement")</f>
        <v>Good</v>
      </c>
      <c r="CK302" t="str">
        <f>IF(OR(Table1[[#This Row],[Rating]]&lt;=2,Table1[[#This Row],[Profit]]&lt;0),"Review","NO")</f>
        <v>NO</v>
      </c>
      <c r="CL302" t="str" cm="1">
        <f t="array" ref="CL302">_xlfn.IFS(Table1[[#This Row],[Rating]]&gt;2,"Poor",Table1[[#This Row],[Rating]]=3,"Average",Table1[[#This Row],[Rating]]=4,"Good",CP302=5,"Excellent")</f>
        <v>Poor</v>
      </c>
      <c r="CM302">
        <f>COUNT(Table1[[#This Row],[Rating]])</f>
        <v>1</v>
      </c>
      <c r="CN302">
        <f>COUNTBLANK(Table1[[#This Row],[Rating]])</f>
        <v>0</v>
      </c>
      <c r="CP302" t="s">
        <v>194</v>
      </c>
      <c r="CQ302" s="14">
        <v>4</v>
      </c>
      <c r="CR302" t="s">
        <v>139</v>
      </c>
      <c r="CS302" t="s">
        <v>195</v>
      </c>
      <c r="CU302" s="3">
        <v>9998</v>
      </c>
      <c r="CV302" s="3">
        <f>ROUND(Table1[[#This Row],[Sales_Amount]],0)</f>
        <v>9998</v>
      </c>
      <c r="CW302" s="3"/>
      <c r="CX302" s="3"/>
      <c r="CY302" s="3" t="b">
        <f>IF(AND(Table1[[#This Row],[Sales_Amount]]&gt;=10000,Table1[[#This Row],[Profit]]&gt;0),"Good Order")</f>
        <v>0</v>
      </c>
      <c r="CZ302" s="3" t="str">
        <f>IF(Table1[[#This Row],[Sales_Amount]]&gt;=10000,"High","Normal")</f>
        <v>Normal</v>
      </c>
      <c r="DA302" s="3">
        <v>3798</v>
      </c>
      <c r="DB302" s="3">
        <f>ROUND(Table1[[#This Row],[Profit]],0)</f>
        <v>3798</v>
      </c>
      <c r="DC302" s="3">
        <f>ABS(Table1[[#This Row],[Profit]])</f>
        <v>3798</v>
      </c>
      <c r="DD302" s="3"/>
      <c r="DE302" s="3"/>
      <c r="DF302" s="3"/>
      <c r="DG302" s="3" t="str">
        <f>IF(Table1[[#This Row],[Profit]]&gt;0,"Profit","Loss")</f>
        <v>Profit</v>
      </c>
      <c r="DH302" s="3" t="str">
        <f>IF(AND(Table1[[#This Row],[Sales_Amount]]&gt;=10000,Table1[[#This Row],[Profit]]&gt;0),"Priority","Normal")</f>
        <v>Normal</v>
      </c>
      <c r="DI302" s="3">
        <f t="shared" ca="1" si="30"/>
        <v>0.55176080903000113</v>
      </c>
      <c r="DJ302" s="3">
        <f t="shared" ca="1" si="31"/>
        <v>22</v>
      </c>
      <c r="DK302" s="3"/>
      <c r="DL302" s="3"/>
      <c r="DM302" s="3"/>
      <c r="DN302" s="3"/>
      <c r="DO302" s="3"/>
      <c r="DP302" s="3"/>
    </row>
    <row r="303" spans="1:120">
      <c r="A303" t="s">
        <v>1363</v>
      </c>
      <c r="B303" t="str">
        <f>REPLACE(Table1[[#This Row],[Order_ID]],1,3,"YOO")</f>
        <v>YOO10302</v>
      </c>
      <c r="C303" t="str">
        <f>MID(Table1[[#This Row],[Order_ID]],4,4)</f>
        <v>1030</v>
      </c>
      <c r="D303" t="str">
        <f>LEFT(Table1[[#This Row],[Order_ID]],4)</f>
        <v>ORD1</v>
      </c>
      <c r="E303" t="str">
        <f>RIGHT(Table1[[#This Row],[Order_ID]],5)</f>
        <v>10302</v>
      </c>
      <c r="F303" t="s">
        <v>5</v>
      </c>
      <c r="G303">
        <v>10302</v>
      </c>
      <c r="H303" t="s">
        <v>1364</v>
      </c>
      <c r="I303" s="2">
        <f>EDATE(Table1[[#This Row],[Order_Date]],3)</f>
        <v>46217</v>
      </c>
      <c r="J303" s="2">
        <f>EDATE(Table1[[#This Row],[Order_Date]],6)</f>
        <v>46309</v>
      </c>
      <c r="K303">
        <f ca="1">YEAR(Table1[[#This Row],[Today]])</f>
        <v>2026</v>
      </c>
      <c r="L303">
        <v>302</v>
      </c>
      <c r="M303">
        <f ca="1">DAY(Table1[[#This Row],[Today]])</f>
        <v>11</v>
      </c>
      <c r="N303" s="19">
        <f t="shared" ca="1" si="34"/>
        <v>46245.589795370368</v>
      </c>
      <c r="O303" s="2">
        <f t="shared" ca="1" si="29"/>
        <v>46245</v>
      </c>
      <c r="P303" s="17">
        <f ca="1">Table1[[#This Row],[Today]]-Table1[[#This Row],[Order_Date]]</f>
        <v>119</v>
      </c>
      <c r="Q303" s="2">
        <v>45959</v>
      </c>
      <c r="R303" s="2">
        <v>46126</v>
      </c>
      <c r="S303" s="6">
        <f t="shared" si="32"/>
        <v>2026</v>
      </c>
      <c r="T303" s="7" t="str">
        <f t="shared" si="33"/>
        <v>April</v>
      </c>
      <c r="U303" s="2">
        <f>WORKDAY(Table1[[#This Row],[Order_Date]],5)</f>
        <v>46133</v>
      </c>
      <c r="V303" s="7" t="str">
        <f>CONCATENATE(Table1[[#This Row],[Customer_ID]],Table1[[#This Row],[Customer_Name]])</f>
        <v>C1125Arjun Rao</v>
      </c>
      <c r="W303" t="s">
        <v>517</v>
      </c>
      <c r="X303" t="s">
        <v>355</v>
      </c>
      <c r="Y303">
        <f>COUNTA(Table1[[#This Row],[Customer_Name]])</f>
        <v>1</v>
      </c>
      <c r="Z303" t="str">
        <f>SUBSTITUTE(Table1[[#This Row],[Customer_Name]]," ","_")</f>
        <v>Arjun_Rao</v>
      </c>
      <c r="AA303" s="10">
        <f>IFERROR(SEARCH("a",Table1[[#This Row],[Customer_Name]]),"N/A")</f>
        <v>1</v>
      </c>
      <c r="AB303">
        <f>SEARCH(" ",Table1[[#This Row],[Customer_Name]])</f>
        <v>6</v>
      </c>
      <c r="AC303" s="11">
        <f>IFERROR(FIND("a",Table1[[#This Row],[Customer_Name]]),"N/A")</f>
        <v>8</v>
      </c>
      <c r="AD303">
        <f>FIND(" ",Table1[[#This Row],[Customer_Name]])</f>
        <v>6</v>
      </c>
      <c r="AE303" t="str">
        <f>TRIM(Table1[[#This Row],[Customer_Name]])</f>
        <v>Arjun Rao</v>
      </c>
      <c r="AF303">
        <f>LEN(Table1[[#This Row],[Trimmed]])</f>
        <v>9</v>
      </c>
      <c r="AG303">
        <f>MAX(Table1[Length])</f>
        <v>15</v>
      </c>
      <c r="AH303" t="str">
        <f>PROPER(Table1[[#This Row],[Customer_Name]])</f>
        <v>Arjun Rao</v>
      </c>
      <c r="AI303" t="str">
        <f>LOWER(Table1[[#This Row],[Customer_Name]])</f>
        <v>arjun rao</v>
      </c>
      <c r="AJ303" t="str">
        <f>UPPER(Table1[[#This Row],[Customer_Name]])</f>
        <v>ARJUN RAO</v>
      </c>
      <c r="AK303" t="str">
        <f>CONCATENATE(Table1[[#This Row],[Customer_ID]],Table1[[#This Row],[Customer_Name]])</f>
        <v>C1125Arjun Rao</v>
      </c>
      <c r="AL303" t="s">
        <v>356</v>
      </c>
      <c r="AM303" t="s">
        <v>357</v>
      </c>
      <c r="AN303" t="s">
        <v>358</v>
      </c>
      <c r="AO303" t="s">
        <v>356</v>
      </c>
      <c r="AP303" t="s">
        <v>357</v>
      </c>
      <c r="AQ303" t="s">
        <v>233</v>
      </c>
      <c r="AR303" t="str">
        <f>TRIM(Table1[[#This Row],[City]])</f>
        <v>Kolkata</v>
      </c>
      <c r="AS303" t="str">
        <f>PROPER(Table1[[#This Row],[City]])</f>
        <v>Kolkata</v>
      </c>
      <c r="AT303" t="s">
        <v>234</v>
      </c>
      <c r="AU303" t="str">
        <f>CONCATENATE(Table1[[#This Row],[City]],Table1[[#This Row],[State]])</f>
        <v>KolkataWest Bengal</v>
      </c>
      <c r="AV303" t="s">
        <v>235</v>
      </c>
      <c r="AW303" t="s">
        <v>236</v>
      </c>
      <c r="AX303" t="str">
        <f>REPLACE(Table1[[#This Row],[Product_ID]],1,1,"s")</f>
        <v>s107</v>
      </c>
      <c r="AY303" t="s">
        <v>1365</v>
      </c>
      <c r="AZ303">
        <f>SEARCH("-",Table1[[#This Row],[Product ID]])</f>
        <v>2</v>
      </c>
      <c r="BA303">
        <f>FIND("-",Table1[[#This Row],[Product ID]])</f>
        <v>2</v>
      </c>
      <c r="BB303" t="str">
        <f>MID(Table1[[#This Row],[Product_ID]],2,3)</f>
        <v>107</v>
      </c>
      <c r="BC303" t="str">
        <f>RIGHT(Table1[[#This Row],[Product_ID]],3)</f>
        <v>107</v>
      </c>
      <c r="BD303" t="str">
        <f>LEFT(Table1[[#This Row],[Product_ID]],3)</f>
        <v>P10</v>
      </c>
      <c r="BE303" t="str">
        <f>_xlfn.XLOOKUP(Table1[[#This Row],[Product_ID]],AW:AW,BF:BF,,0)</f>
        <v>Casual Sneakers</v>
      </c>
      <c r="BF303" t="s">
        <v>238</v>
      </c>
      <c r="BG303">
        <f>LEN(Table1[[#This Row],[Product_Name]])</f>
        <v>15</v>
      </c>
      <c r="BH303" t="s">
        <v>224</v>
      </c>
      <c r="BI303">
        <f t="shared" si="35"/>
        <v>75</v>
      </c>
      <c r="BJ303" t="str">
        <f>SUBSTITUTE(Table1[[#This Row],[Category]],"Electronics","ELECTRONICS")</f>
        <v>Fashion</v>
      </c>
      <c r="BN303" t="s">
        <v>225</v>
      </c>
      <c r="BS303" s="14">
        <v>2</v>
      </c>
      <c r="BT303" s="3">
        <v>2799</v>
      </c>
      <c r="BU303" s="4">
        <v>15</v>
      </c>
      <c r="BV303" s="4" t="str">
        <f>IF(AND(Table1[[#This Row],[Quantity]]&gt;=3,Table1[[#This Row],[Discount_%]]&gt;=15%),"Bulk Discount","no")</f>
        <v>no</v>
      </c>
      <c r="BW303" s="4" t="str">
        <f>IF(AND(Table1[[#This Row],[Quantity]]&gt;3,Table1[[#This Row],[Discount_%]]&gt;15%),"Bulk Customer","Normal")</f>
        <v>Normal</v>
      </c>
      <c r="BX303" t="s">
        <v>187</v>
      </c>
      <c r="BY303" t="s">
        <v>193</v>
      </c>
      <c r="CC303" t="str">
        <f>IF(OR(Table1[[#This Row],[Order_Status]]="Returned",Table1[[#This Row],[Order_Status]]="Cancelled"),"Attention Required","Not")</f>
        <v>Not</v>
      </c>
      <c r="CD303" t="str">
        <f>IF(OR(Table1[[#This Row],[Order_Status]]="Returned",Table1[[#This Row],[Order_Status]]="Cancelled"),"Review","no")</f>
        <v>no</v>
      </c>
      <c r="CE303" t="str">
        <f>SUBSTITUTE(Table1[[#This Row],[Order_Status]],"Delivered","Completed")</f>
        <v>Shipped</v>
      </c>
      <c r="CF303" s="2">
        <v>46129</v>
      </c>
      <c r="CG303" s="17">
        <f>NETWORKDAYS(Table1[[#This Row],[Order_Date]],Table1[[#This Row],[Delivery_Date]])</f>
        <v>4</v>
      </c>
      <c r="CH303" s="17">
        <f>Table1[[#This Row],[Delivery_Date]]-Table1[[#This Row],[Order_Date]]</f>
        <v>3</v>
      </c>
      <c r="CI303" t="s">
        <v>137</v>
      </c>
      <c r="CJ303" t="str">
        <f>IF(Table1[[#This Row],[Rating]]&gt;=4,"Good","Needs Improvement")</f>
        <v>Needs Improvement</v>
      </c>
      <c r="CK303" t="str">
        <f>IF(OR(Table1[[#This Row],[Rating]]&lt;=2,Table1[[#This Row],[Profit]]&lt;0),"Review","NO")</f>
        <v>Review</v>
      </c>
      <c r="CL303" t="e" cm="1">
        <f t="array" ref="CL303">_xlfn.IFS(Table1[[#This Row],[Rating]]&gt;2,"Poor",Table1[[#This Row],[Rating]]=3,"Average",Table1[[#This Row],[Rating]]=4,"Good",CP303=5,"Excellent")</f>
        <v>#N/A</v>
      </c>
      <c r="CM303">
        <f>COUNT(Table1[[#This Row],[Rating]])</f>
        <v>0</v>
      </c>
      <c r="CN303">
        <f>COUNTBLANK(Table1[[#This Row],[Rating]])</f>
        <v>1</v>
      </c>
      <c r="CP303" t="s">
        <v>157</v>
      </c>
      <c r="CR303" t="s">
        <v>204</v>
      </c>
      <c r="CS303" t="s">
        <v>140</v>
      </c>
      <c r="CU303" s="3">
        <v>4758.3</v>
      </c>
      <c r="CV303" s="3">
        <f>ROUND(Table1[[#This Row],[Sales_Amount]],0)</f>
        <v>4758</v>
      </c>
      <c r="CW303" s="3"/>
      <c r="CX303" s="3"/>
      <c r="CY303" s="3" t="b">
        <f>IF(AND(Table1[[#This Row],[Sales_Amount]]&gt;=10000,Table1[[#This Row],[Profit]]&gt;0),"Good Order")</f>
        <v>0</v>
      </c>
      <c r="CZ303" s="3" t="str">
        <f>IF(Table1[[#This Row],[Sales_Amount]]&gt;=10000,"High","Normal")</f>
        <v>Normal</v>
      </c>
      <c r="DA303" s="3">
        <v>1758.3</v>
      </c>
      <c r="DB303" s="3">
        <f>ROUND(Table1[[#This Row],[Profit]],0)</f>
        <v>1758</v>
      </c>
      <c r="DC303" s="3">
        <f>ABS(Table1[[#This Row],[Profit]])</f>
        <v>1758.3</v>
      </c>
      <c r="DD303" s="3"/>
      <c r="DE303" s="3"/>
      <c r="DF303" s="3"/>
      <c r="DG303" s="3" t="str">
        <f>IF(Table1[[#This Row],[Profit]]&gt;0,"Profit","Loss")</f>
        <v>Profit</v>
      </c>
      <c r="DH303" s="3" t="str">
        <f>IF(AND(Table1[[#This Row],[Sales_Amount]]&gt;=10000,Table1[[#This Row],[Profit]]&gt;0),"Priority","Normal")</f>
        <v>Normal</v>
      </c>
      <c r="DI303" s="3">
        <f t="shared" ca="1" si="30"/>
        <v>0.92816009295647461</v>
      </c>
      <c r="DJ303" s="3">
        <f t="shared" ca="1" si="31"/>
        <v>52</v>
      </c>
      <c r="DK303" s="3"/>
      <c r="DL303" s="3"/>
      <c r="DM303" s="3"/>
      <c r="DN303" s="3"/>
      <c r="DO303" s="3"/>
      <c r="DP303" s="3"/>
    </row>
    <row r="304" spans="1:120">
      <c r="A304" t="s">
        <v>1366</v>
      </c>
      <c r="B304" t="str">
        <f>REPLACE(Table1[[#This Row],[Order_ID]],1,3,"YOO")</f>
        <v>YOO10303</v>
      </c>
      <c r="C304" t="str">
        <f>MID(Table1[[#This Row],[Order_ID]],4,4)</f>
        <v>1030</v>
      </c>
      <c r="D304" t="str">
        <f>LEFT(Table1[[#This Row],[Order_ID]],4)</f>
        <v>ORD1</v>
      </c>
      <c r="E304" t="str">
        <f>RIGHT(Table1[[#This Row],[Order_ID]],5)</f>
        <v>10303</v>
      </c>
      <c r="F304" t="s">
        <v>5</v>
      </c>
      <c r="G304">
        <v>10303</v>
      </c>
      <c r="H304" t="s">
        <v>1367</v>
      </c>
      <c r="I304" s="2">
        <f>EDATE(Table1[[#This Row],[Order_Date]],3)</f>
        <v>46030</v>
      </c>
      <c r="J304" s="2">
        <f>EDATE(Table1[[#This Row],[Order_Date]],6)</f>
        <v>46120</v>
      </c>
      <c r="K304">
        <f ca="1">YEAR(Table1[[#This Row],[Today]])</f>
        <v>2026</v>
      </c>
      <c r="L304">
        <v>303</v>
      </c>
      <c r="M304">
        <f ca="1">DAY(Table1[[#This Row],[Today]])</f>
        <v>11</v>
      </c>
      <c r="N304" s="19">
        <f t="shared" ca="1" si="34"/>
        <v>46245.589795370368</v>
      </c>
      <c r="O304" s="2">
        <f t="shared" ca="1" si="29"/>
        <v>46245</v>
      </c>
      <c r="P304" s="17">
        <f ca="1">Table1[[#This Row],[Today]]-Table1[[#This Row],[Order_Date]]</f>
        <v>307</v>
      </c>
      <c r="Q304" s="2">
        <v>45960</v>
      </c>
      <c r="R304" s="2">
        <v>45938</v>
      </c>
      <c r="S304" s="6">
        <f t="shared" si="32"/>
        <v>2025</v>
      </c>
      <c r="T304" s="7" t="str">
        <f t="shared" si="33"/>
        <v>October</v>
      </c>
      <c r="U304" s="2">
        <f>WORKDAY(Table1[[#This Row],[Order_Date]],5)</f>
        <v>45945</v>
      </c>
      <c r="V304" s="7" t="str">
        <f>CONCATENATE(Table1[[#This Row],[Customer_ID]],Table1[[#This Row],[Customer_Name]])</f>
        <v>C1023Rohan Mehta</v>
      </c>
      <c r="W304" t="s">
        <v>1368</v>
      </c>
      <c r="X304" t="s">
        <v>388</v>
      </c>
      <c r="Y304">
        <f>COUNTA(Table1[[#This Row],[Customer_Name]])</f>
        <v>1</v>
      </c>
      <c r="Z304" t="str">
        <f>SUBSTITUTE(Table1[[#This Row],[Customer_Name]]," ","_")</f>
        <v>Rohan_Mehta</v>
      </c>
      <c r="AA304" s="10">
        <f>IFERROR(SEARCH("a",Table1[[#This Row],[Customer_Name]]),"N/A")</f>
        <v>4</v>
      </c>
      <c r="AB304">
        <f>SEARCH(" ",Table1[[#This Row],[Customer_Name]])</f>
        <v>6</v>
      </c>
      <c r="AC304" s="11">
        <f>IFERROR(FIND("a",Table1[[#This Row],[Customer_Name]]),"N/A")</f>
        <v>4</v>
      </c>
      <c r="AD304">
        <f>FIND(" ",Table1[[#This Row],[Customer_Name]])</f>
        <v>6</v>
      </c>
      <c r="AE304" t="str">
        <f>TRIM(Table1[[#This Row],[Customer_Name]])</f>
        <v>Rohan Mehta</v>
      </c>
      <c r="AF304">
        <f>LEN(Table1[[#This Row],[Trimmed]])</f>
        <v>11</v>
      </c>
      <c r="AG304">
        <f>MAX(Table1[Length])</f>
        <v>15</v>
      </c>
      <c r="AH304" t="str">
        <f>PROPER(Table1[[#This Row],[Customer_Name]])</f>
        <v>Rohan Mehta</v>
      </c>
      <c r="AI304" t="str">
        <f>LOWER(Table1[[#This Row],[Customer_Name]])</f>
        <v>rohan mehta</v>
      </c>
      <c r="AJ304" t="str">
        <f>UPPER(Table1[[#This Row],[Customer_Name]])</f>
        <v>ROHAN MEHTA</v>
      </c>
      <c r="AK304" t="str">
        <f>CONCATENATE(Table1[[#This Row],[Customer_ID]],Table1[[#This Row],[Customer_Name]])</f>
        <v>C1023Rohan Mehta</v>
      </c>
      <c r="AL304" t="s">
        <v>389</v>
      </c>
      <c r="AM304" t="s">
        <v>390</v>
      </c>
      <c r="AN304" t="s">
        <v>391</v>
      </c>
      <c r="AO304" t="s">
        <v>389</v>
      </c>
      <c r="AP304" t="s">
        <v>390</v>
      </c>
      <c r="AQ304" t="s">
        <v>606</v>
      </c>
      <c r="AR304" t="str">
        <f>TRIM(Table1[[#This Row],[City]])</f>
        <v>Hyderabad</v>
      </c>
      <c r="AS304" t="str">
        <f>PROPER(Table1[[#This Row],[City]])</f>
        <v xml:space="preserve"> Hyderabad </v>
      </c>
      <c r="AT304" t="s">
        <v>285</v>
      </c>
      <c r="AU304" t="str">
        <f>CONCATENATE(Table1[[#This Row],[City]],Table1[[#This Row],[State]])</f>
        <v xml:space="preserve"> Hyderabad Telangana</v>
      </c>
      <c r="AV304" t="s">
        <v>168</v>
      </c>
      <c r="AW304" t="s">
        <v>275</v>
      </c>
      <c r="AX304" t="str">
        <f>REPLACE(Table1[[#This Row],[Product_ID]],1,1,"s")</f>
        <v>s101</v>
      </c>
      <c r="AY304" t="s">
        <v>1369</v>
      </c>
      <c r="AZ304">
        <f>SEARCH("-",Table1[[#This Row],[Product ID]])</f>
        <v>2</v>
      </c>
      <c r="BA304">
        <f>FIND("-",Table1[[#This Row],[Product ID]])</f>
        <v>2</v>
      </c>
      <c r="BB304" t="str">
        <f>MID(Table1[[#This Row],[Product_ID]],2,3)</f>
        <v>101</v>
      </c>
      <c r="BC304" t="str">
        <f>RIGHT(Table1[[#This Row],[Product_ID]],3)</f>
        <v>101</v>
      </c>
      <c r="BD304" t="str">
        <f>LEFT(Table1[[#This Row],[Product_ID]],3)</f>
        <v>P10</v>
      </c>
      <c r="BE304" t="str">
        <f>_xlfn.XLOOKUP(Table1[[#This Row],[Product_ID]],AW:AW,BF:BF,,0)</f>
        <v>Wireless Mouse</v>
      </c>
      <c r="BF304" t="s">
        <v>277</v>
      </c>
      <c r="BG304">
        <f>LEN(Table1[[#This Row],[Product_Name]])</f>
        <v>14</v>
      </c>
      <c r="BH304" t="s">
        <v>154</v>
      </c>
      <c r="BI304">
        <f t="shared" si="35"/>
        <v>75</v>
      </c>
      <c r="BJ304" t="str">
        <f>SUBSTITUTE(Table1[[#This Row],[Category]],"Electronics","ELECTRONICS")</f>
        <v>ELECTRONICS</v>
      </c>
      <c r="BN304" t="s">
        <v>155</v>
      </c>
      <c r="BS304" s="14">
        <v>2</v>
      </c>
      <c r="BT304" s="3">
        <v>799</v>
      </c>
      <c r="BU304" s="4">
        <v>5</v>
      </c>
      <c r="BV304" s="4" t="str">
        <f>IF(AND(Table1[[#This Row],[Quantity]]&gt;=3,Table1[[#This Row],[Discount_%]]&gt;=15%),"Bulk Discount","no")</f>
        <v>no</v>
      </c>
      <c r="BW304" s="4" t="str">
        <f>IF(AND(Table1[[#This Row],[Quantity]]&gt;3,Table1[[#This Row],[Discount_%]]&gt;15%),"Bulk Customer","Normal")</f>
        <v>Normal</v>
      </c>
      <c r="BX304" t="s">
        <v>135</v>
      </c>
      <c r="BY304" t="s">
        <v>156</v>
      </c>
      <c r="CC304" t="str">
        <f>IF(OR(Table1[[#This Row],[Order_Status]]="Returned",Table1[[#This Row],[Order_Status]]="Cancelled"),"Attention Required","Not")</f>
        <v>Attention Required</v>
      </c>
      <c r="CD304" t="str">
        <f>IF(OR(Table1[[#This Row],[Order_Status]]="Returned",Table1[[#This Row],[Order_Status]]="Cancelled"),"Review","no")</f>
        <v>Review</v>
      </c>
      <c r="CE304" t="str">
        <f>SUBSTITUTE(Table1[[#This Row],[Order_Status]],"Delivered","Completed")</f>
        <v>Cancelled</v>
      </c>
      <c r="CF304" s="2">
        <v>45941</v>
      </c>
      <c r="CG304" s="17">
        <f>NETWORKDAYS(Table1[[#This Row],[Order_Date]],Table1[[#This Row],[Delivery_Date]])</f>
        <v>3</v>
      </c>
      <c r="CH304" s="17">
        <f>Table1[[#This Row],[Delivery_Date]]-Table1[[#This Row],[Order_Date]]</f>
        <v>3</v>
      </c>
      <c r="CI304" t="s">
        <v>137</v>
      </c>
      <c r="CJ304" t="str">
        <f>IF(Table1[[#This Row],[Rating]]&gt;=4,"Good","Needs Improvement")</f>
        <v>Needs Improvement</v>
      </c>
      <c r="CK304" t="str">
        <f>IF(OR(Table1[[#This Row],[Rating]]&lt;=2,Table1[[#This Row],[Profit]]&lt;0),"Review","NO")</f>
        <v>Review</v>
      </c>
      <c r="CL304" t="e" cm="1">
        <f t="array" ref="CL304">_xlfn.IFS(Table1[[#This Row],[Rating]]&gt;2,"Poor",Table1[[#This Row],[Rating]]=3,"Average",Table1[[#This Row],[Rating]]=4,"Good",CP304=5,"Excellent")</f>
        <v>#N/A</v>
      </c>
      <c r="CM304">
        <f>COUNT(Table1[[#This Row],[Rating]])</f>
        <v>0</v>
      </c>
      <c r="CN304">
        <f>COUNTBLANK(Table1[[#This Row],[Rating]])</f>
        <v>1</v>
      </c>
      <c r="CP304" t="s">
        <v>138</v>
      </c>
      <c r="CR304" t="s">
        <v>204</v>
      </c>
      <c r="CS304" t="s">
        <v>267</v>
      </c>
      <c r="CU304" s="3">
        <v>1518.1</v>
      </c>
      <c r="CV304" s="3">
        <f>ROUND(Table1[[#This Row],[Sales_Amount]],0)</f>
        <v>1518</v>
      </c>
      <c r="CW304" s="3"/>
      <c r="CX304" s="3"/>
      <c r="CY304" s="3" t="b">
        <f>IF(AND(Table1[[#This Row],[Sales_Amount]]&gt;=10000,Table1[[#This Row],[Profit]]&gt;0),"Good Order")</f>
        <v>0</v>
      </c>
      <c r="CZ304" s="3" t="str">
        <f>IF(Table1[[#This Row],[Sales_Amount]]&gt;=10000,"High","Normal")</f>
        <v>Normal</v>
      </c>
      <c r="DA304" s="3">
        <v>678.1</v>
      </c>
      <c r="DB304" s="3">
        <f>ROUND(Table1[[#This Row],[Profit]],0)</f>
        <v>678</v>
      </c>
      <c r="DC304" s="3">
        <f>ABS(Table1[[#This Row],[Profit]])</f>
        <v>678.1</v>
      </c>
      <c r="DD304" s="3"/>
      <c r="DE304" s="3"/>
      <c r="DF304" s="3"/>
      <c r="DG304" s="3" t="str">
        <f>IF(Table1[[#This Row],[Profit]]&gt;0,"Profit","Loss")</f>
        <v>Profit</v>
      </c>
      <c r="DH304" s="3" t="str">
        <f>IF(AND(Table1[[#This Row],[Sales_Amount]]&gt;=10000,Table1[[#This Row],[Profit]]&gt;0),"Priority","Normal")</f>
        <v>Normal</v>
      </c>
      <c r="DI304" s="3">
        <f t="shared" ca="1" si="30"/>
        <v>0.49562066850732212</v>
      </c>
      <c r="DJ304" s="3">
        <f t="shared" ca="1" si="31"/>
        <v>82</v>
      </c>
      <c r="DK304" s="3"/>
      <c r="DL304" s="3"/>
      <c r="DM304" s="3"/>
      <c r="DN304" s="3"/>
      <c r="DO304" s="3"/>
      <c r="DP304" s="3"/>
    </row>
    <row r="305" spans="1:120">
      <c r="A305" t="s">
        <v>1370</v>
      </c>
      <c r="B305" t="str">
        <f>REPLACE(Table1[[#This Row],[Order_ID]],1,3,"YOO")</f>
        <v>YOO10304</v>
      </c>
      <c r="C305" t="str">
        <f>MID(Table1[[#This Row],[Order_ID]],4,4)</f>
        <v>1030</v>
      </c>
      <c r="D305" t="str">
        <f>LEFT(Table1[[#This Row],[Order_ID]],4)</f>
        <v>ORD1</v>
      </c>
      <c r="E305" t="str">
        <f>RIGHT(Table1[[#This Row],[Order_ID]],5)</f>
        <v>10304</v>
      </c>
      <c r="F305" t="s">
        <v>5</v>
      </c>
      <c r="G305">
        <v>10304</v>
      </c>
      <c r="H305" t="s">
        <v>1371</v>
      </c>
      <c r="I305" s="2">
        <f>EDATE(Table1[[#This Row],[Order_Date]],3)</f>
        <v>46238</v>
      </c>
      <c r="J305" s="2">
        <f>EDATE(Table1[[#This Row],[Order_Date]],6)</f>
        <v>46330</v>
      </c>
      <c r="K305">
        <f ca="1">YEAR(Table1[[#This Row],[Today]])</f>
        <v>2026</v>
      </c>
      <c r="L305">
        <v>304</v>
      </c>
      <c r="M305">
        <f ca="1">DAY(Table1[[#This Row],[Today]])</f>
        <v>11</v>
      </c>
      <c r="N305" s="19">
        <f t="shared" ca="1" si="34"/>
        <v>46245.589795138891</v>
      </c>
      <c r="O305" s="2">
        <f t="shared" ca="1" si="29"/>
        <v>46245</v>
      </c>
      <c r="P305" s="17">
        <f ca="1">Table1[[#This Row],[Today]]-Table1[[#This Row],[Order_Date]]</f>
        <v>99</v>
      </c>
      <c r="Q305" s="2">
        <v>45961</v>
      </c>
      <c r="R305" s="2">
        <v>46146</v>
      </c>
      <c r="S305" s="6">
        <f t="shared" si="32"/>
        <v>2026</v>
      </c>
      <c r="T305" s="7" t="str">
        <f t="shared" si="33"/>
        <v>May</v>
      </c>
      <c r="U305" s="2">
        <f>WORKDAY(Table1[[#This Row],[Order_Date]],5)</f>
        <v>46153</v>
      </c>
      <c r="V305" s="7" t="str">
        <f>CONCATENATE(Table1[[#This Row],[Customer_ID]],Table1[[#This Row],[Customer_Name]])</f>
        <v>C1004Arjun Rao</v>
      </c>
      <c r="W305" t="s">
        <v>1220</v>
      </c>
      <c r="X305" t="s">
        <v>355</v>
      </c>
      <c r="Y305">
        <f>COUNTA(Table1[[#This Row],[Customer_Name]])</f>
        <v>1</v>
      </c>
      <c r="Z305" t="str">
        <f>SUBSTITUTE(Table1[[#This Row],[Customer_Name]]," ","_")</f>
        <v>Arjun_Rao</v>
      </c>
      <c r="AA305" s="10">
        <f>IFERROR(SEARCH("a",Table1[[#This Row],[Customer_Name]]),"N/A")</f>
        <v>1</v>
      </c>
      <c r="AB305">
        <f>SEARCH(" ",Table1[[#This Row],[Customer_Name]])</f>
        <v>6</v>
      </c>
      <c r="AC305" s="11">
        <f>IFERROR(FIND("a",Table1[[#This Row],[Customer_Name]]),"N/A")</f>
        <v>8</v>
      </c>
      <c r="AD305">
        <f>FIND(" ",Table1[[#This Row],[Customer_Name]])</f>
        <v>6</v>
      </c>
      <c r="AE305" t="str">
        <f>TRIM(Table1[[#This Row],[Customer_Name]])</f>
        <v>Arjun Rao</v>
      </c>
      <c r="AF305">
        <f>LEN(Table1[[#This Row],[Trimmed]])</f>
        <v>9</v>
      </c>
      <c r="AG305">
        <f>MAX(Table1[Length])</f>
        <v>15</v>
      </c>
      <c r="AH305" t="str">
        <f>PROPER(Table1[[#This Row],[Customer_Name]])</f>
        <v>Arjun Rao</v>
      </c>
      <c r="AI305" t="str">
        <f>LOWER(Table1[[#This Row],[Customer_Name]])</f>
        <v>arjun rao</v>
      </c>
      <c r="AJ305" t="str">
        <f>UPPER(Table1[[#This Row],[Customer_Name]])</f>
        <v>ARJUN RAO</v>
      </c>
      <c r="AK305" t="str">
        <f>CONCATENATE(Table1[[#This Row],[Customer_ID]],Table1[[#This Row],[Customer_Name]])</f>
        <v>C1004Arjun Rao</v>
      </c>
      <c r="AL305" t="s">
        <v>356</v>
      </c>
      <c r="AM305" t="s">
        <v>357</v>
      </c>
      <c r="AN305" t="s">
        <v>358</v>
      </c>
      <c r="AO305" t="s">
        <v>356</v>
      </c>
      <c r="AP305" t="s">
        <v>357</v>
      </c>
      <c r="AQ305" t="s">
        <v>166</v>
      </c>
      <c r="AR305" t="str">
        <f>TRIM(Table1[[#This Row],[City]])</f>
        <v>Bengaluru</v>
      </c>
      <c r="AS305" t="str">
        <f>PROPER(Table1[[#This Row],[City]])</f>
        <v>Bengaluru</v>
      </c>
      <c r="AT305" t="s">
        <v>167</v>
      </c>
      <c r="AU305" t="str">
        <f>CONCATENATE(Table1[[#This Row],[City]],Table1[[#This Row],[State]])</f>
        <v>BengaluruKarnataka</v>
      </c>
      <c r="AV305" t="s">
        <v>168</v>
      </c>
      <c r="AW305" t="s">
        <v>236</v>
      </c>
      <c r="AX305" t="str">
        <f>REPLACE(Table1[[#This Row],[Product_ID]],1,1,"s")</f>
        <v>s107</v>
      </c>
      <c r="AY305" t="s">
        <v>1372</v>
      </c>
      <c r="AZ305">
        <f>SEARCH("-",Table1[[#This Row],[Product ID]])</f>
        <v>2</v>
      </c>
      <c r="BA305">
        <f>FIND("-",Table1[[#This Row],[Product ID]])</f>
        <v>2</v>
      </c>
      <c r="BB305" t="str">
        <f>MID(Table1[[#This Row],[Product_ID]],2,3)</f>
        <v>107</v>
      </c>
      <c r="BC305" t="str">
        <f>RIGHT(Table1[[#This Row],[Product_ID]],3)</f>
        <v>107</v>
      </c>
      <c r="BD305" t="str">
        <f>LEFT(Table1[[#This Row],[Product_ID]],3)</f>
        <v>P10</v>
      </c>
      <c r="BE305" t="str">
        <f>_xlfn.XLOOKUP(Table1[[#This Row],[Product_ID]],AW:AW,BF:BF,,0)</f>
        <v>Casual Sneakers</v>
      </c>
      <c r="BF305" t="s">
        <v>238</v>
      </c>
      <c r="BG305">
        <f>LEN(Table1[[#This Row],[Product_Name]])</f>
        <v>15</v>
      </c>
      <c r="BH305" t="s">
        <v>224</v>
      </c>
      <c r="BI305">
        <f t="shared" si="35"/>
        <v>75</v>
      </c>
      <c r="BJ305" t="str">
        <f>SUBSTITUTE(Table1[[#This Row],[Category]],"Electronics","ELECTRONICS")</f>
        <v>Fashion</v>
      </c>
      <c r="BN305" t="s">
        <v>225</v>
      </c>
      <c r="BS305" s="14">
        <v>4</v>
      </c>
      <c r="BT305" s="3">
        <v>2799</v>
      </c>
      <c r="BU305" s="4">
        <v>0</v>
      </c>
      <c r="BV305" s="4" t="str">
        <f>IF(AND(Table1[[#This Row],[Quantity]]&gt;=3,Table1[[#This Row],[Discount_%]]&gt;=15%),"Bulk Discount","no")</f>
        <v>no</v>
      </c>
      <c r="BW305" s="4" t="str">
        <f>IF(AND(Table1[[#This Row],[Quantity]]&gt;3,Table1[[#This Row],[Discount_%]]&gt;15%),"Bulk Customer","Normal")</f>
        <v>Normal</v>
      </c>
      <c r="BX305" t="s">
        <v>135</v>
      </c>
      <c r="BY305" t="s">
        <v>136</v>
      </c>
      <c r="CC305" t="str">
        <f>IF(OR(Table1[[#This Row],[Order_Status]]="Returned",Table1[[#This Row],[Order_Status]]="Cancelled"),"Attention Required","Not")</f>
        <v>Not</v>
      </c>
      <c r="CD305" t="str">
        <f>IF(OR(Table1[[#This Row],[Order_Status]]="Returned",Table1[[#This Row],[Order_Status]]="Cancelled"),"Review","no")</f>
        <v>no</v>
      </c>
      <c r="CE305" t="str">
        <f>SUBSTITUTE(Table1[[#This Row],[Order_Status]],"Delivered","Completed")</f>
        <v>Completed</v>
      </c>
      <c r="CF305" s="2">
        <v>46150</v>
      </c>
      <c r="CG305" s="17">
        <f>NETWORKDAYS(Table1[[#This Row],[Order_Date]],Table1[[#This Row],[Delivery_Date]])</f>
        <v>5</v>
      </c>
      <c r="CH305" s="17">
        <f>Table1[[#This Row],[Delivery_Date]]-Table1[[#This Row],[Order_Date]]</f>
        <v>4</v>
      </c>
      <c r="CI305" t="s">
        <v>137</v>
      </c>
      <c r="CJ305" t="str">
        <f>IF(Table1[[#This Row],[Rating]]&gt;=4,"Good","Needs Improvement")</f>
        <v>Good</v>
      </c>
      <c r="CK305" t="str">
        <f>IF(OR(Table1[[#This Row],[Rating]]&lt;=2,Table1[[#This Row],[Profit]]&lt;0),"Review","NO")</f>
        <v>NO</v>
      </c>
      <c r="CL305" t="str" cm="1">
        <f t="array" ref="CL305">_xlfn.IFS(Table1[[#This Row],[Rating]]&gt;2,"Poor",Table1[[#This Row],[Rating]]=3,"Average",Table1[[#This Row],[Rating]]=4,"Good",CP305=5,"Excellent")</f>
        <v>Poor</v>
      </c>
      <c r="CM305">
        <f>COUNT(Table1[[#This Row],[Rating]])</f>
        <v>1</v>
      </c>
      <c r="CN305">
        <f>COUNTBLANK(Table1[[#This Row],[Rating]])</f>
        <v>0</v>
      </c>
      <c r="CP305" t="s">
        <v>194</v>
      </c>
      <c r="CQ305" s="14">
        <v>5</v>
      </c>
      <c r="CR305" t="s">
        <v>139</v>
      </c>
      <c r="CS305" t="s">
        <v>213</v>
      </c>
      <c r="CU305" s="3">
        <v>11196</v>
      </c>
      <c r="CV305" s="3">
        <f>ROUND(Table1[[#This Row],[Sales_Amount]],0)</f>
        <v>11196</v>
      </c>
      <c r="CW305" s="3"/>
      <c r="CX305" s="3"/>
      <c r="CY305" s="3" t="str">
        <f>IF(AND(Table1[[#This Row],[Sales_Amount]]&gt;=10000,Table1[[#This Row],[Profit]]&gt;0),"Good Order")</f>
        <v>Good Order</v>
      </c>
      <c r="CZ305" s="3" t="str">
        <f>IF(Table1[[#This Row],[Sales_Amount]]&gt;=10000,"High","Normal")</f>
        <v>High</v>
      </c>
      <c r="DA305" s="3">
        <v>5196</v>
      </c>
      <c r="DB305" s="3">
        <f>ROUND(Table1[[#This Row],[Profit]],0)</f>
        <v>5196</v>
      </c>
      <c r="DC305" s="3">
        <f>ABS(Table1[[#This Row],[Profit]])</f>
        <v>5196</v>
      </c>
      <c r="DD305" s="3"/>
      <c r="DE305" s="3"/>
      <c r="DF305" s="3"/>
      <c r="DG305" s="3" t="str">
        <f>IF(Table1[[#This Row],[Profit]]&gt;0,"Profit","Loss")</f>
        <v>Profit</v>
      </c>
      <c r="DH305" s="3" t="str">
        <f>IF(AND(Table1[[#This Row],[Sales_Amount]]&gt;=10000,Table1[[#This Row],[Profit]]&gt;0),"Priority","Normal")</f>
        <v>Priority</v>
      </c>
      <c r="DI305" s="3">
        <f t="shared" ca="1" si="30"/>
        <v>0.18474718566017923</v>
      </c>
      <c r="DJ305" s="3">
        <f t="shared" ca="1" si="31"/>
        <v>51</v>
      </c>
      <c r="DK305" s="3"/>
      <c r="DL305" s="3"/>
      <c r="DM305" s="3"/>
      <c r="DN305" s="3"/>
      <c r="DO305" s="3"/>
      <c r="DP305" s="3"/>
    </row>
    <row r="306" spans="1:120">
      <c r="A306" t="s">
        <v>1373</v>
      </c>
      <c r="B306" t="str">
        <f>REPLACE(Table1[[#This Row],[Order_ID]],1,3,"YOO")</f>
        <v>YOO10305</v>
      </c>
      <c r="C306" t="str">
        <f>MID(Table1[[#This Row],[Order_ID]],4,4)</f>
        <v>1030</v>
      </c>
      <c r="D306" t="str">
        <f>LEFT(Table1[[#This Row],[Order_ID]],4)</f>
        <v>ORD1</v>
      </c>
      <c r="E306" t="str">
        <f>RIGHT(Table1[[#This Row],[Order_ID]],5)</f>
        <v>10305</v>
      </c>
      <c r="F306" t="s">
        <v>5</v>
      </c>
      <c r="G306">
        <v>10305</v>
      </c>
      <c r="H306" t="s">
        <v>1374</v>
      </c>
      <c r="I306" s="2">
        <f>EDATE(Table1[[#This Row],[Order_Date]],3)</f>
        <v>46003</v>
      </c>
      <c r="J306" s="2">
        <f>EDATE(Table1[[#This Row],[Order_Date]],6)</f>
        <v>46093</v>
      </c>
      <c r="K306">
        <f ca="1">YEAR(Table1[[#This Row],[Today]])</f>
        <v>2026</v>
      </c>
      <c r="L306">
        <v>305</v>
      </c>
      <c r="M306">
        <f ca="1">DAY(Table1[[#This Row],[Today]])</f>
        <v>11</v>
      </c>
      <c r="N306" s="19">
        <f t="shared" ca="1" si="34"/>
        <v>46245.589795370368</v>
      </c>
      <c r="O306" s="2">
        <f t="shared" ca="1" si="29"/>
        <v>46245</v>
      </c>
      <c r="P306" s="17">
        <f ca="1">Table1[[#This Row],[Today]]-Table1[[#This Row],[Order_Date]]</f>
        <v>333</v>
      </c>
      <c r="Q306" s="2">
        <v>45962</v>
      </c>
      <c r="R306" s="2">
        <v>45912</v>
      </c>
      <c r="S306" s="6">
        <f t="shared" si="32"/>
        <v>2025</v>
      </c>
      <c r="T306" s="7" t="str">
        <f t="shared" si="33"/>
        <v>September</v>
      </c>
      <c r="U306" s="2">
        <f>WORKDAY(Table1[[#This Row],[Order_Date]],5)</f>
        <v>45919</v>
      </c>
      <c r="V306" s="7" t="str">
        <f>CONCATENATE(Table1[[#This Row],[Customer_ID]],Table1[[#This Row],[Customer_Name]])</f>
        <v>C1099Aditya Malhotra</v>
      </c>
      <c r="W306" t="s">
        <v>629</v>
      </c>
      <c r="X306" t="s">
        <v>257</v>
      </c>
      <c r="Y306">
        <f>COUNTA(Table1[[#This Row],[Customer_Name]])</f>
        <v>1</v>
      </c>
      <c r="Z306" t="str">
        <f>SUBSTITUTE(Table1[[#This Row],[Customer_Name]]," ","_")</f>
        <v>Aditya_Malhotra</v>
      </c>
      <c r="AA306" s="10">
        <f>IFERROR(SEARCH("a",Table1[[#This Row],[Customer_Name]]),"N/A")</f>
        <v>1</v>
      </c>
      <c r="AB306">
        <f>SEARCH(" ",Table1[[#This Row],[Customer_Name]])</f>
        <v>7</v>
      </c>
      <c r="AC306" s="11">
        <f>IFERROR(FIND("a",Table1[[#This Row],[Customer_Name]]),"N/A")</f>
        <v>6</v>
      </c>
      <c r="AD306">
        <f>FIND(" ",Table1[[#This Row],[Customer_Name]])</f>
        <v>7</v>
      </c>
      <c r="AE306" t="str">
        <f>TRIM(Table1[[#This Row],[Customer_Name]])</f>
        <v>Aditya Malhotra</v>
      </c>
      <c r="AF306">
        <f>LEN(Table1[[#This Row],[Trimmed]])</f>
        <v>15</v>
      </c>
      <c r="AG306">
        <f>MAX(Table1[Length])</f>
        <v>15</v>
      </c>
      <c r="AH306" t="str">
        <f>PROPER(Table1[[#This Row],[Customer_Name]])</f>
        <v>Aditya Malhotra</v>
      </c>
      <c r="AI306" t="str">
        <f>LOWER(Table1[[#This Row],[Customer_Name]])</f>
        <v>aditya malhotra</v>
      </c>
      <c r="AJ306" t="str">
        <f>UPPER(Table1[[#This Row],[Customer_Name]])</f>
        <v>ADITYA MALHOTRA</v>
      </c>
      <c r="AK306" t="str">
        <f>CONCATENATE(Table1[[#This Row],[Customer_ID]],Table1[[#This Row],[Customer_Name]])</f>
        <v>C1099Aditya Malhotra</v>
      </c>
      <c r="AL306" t="s">
        <v>258</v>
      </c>
      <c r="AM306" t="s">
        <v>259</v>
      </c>
      <c r="AN306" t="s">
        <v>260</v>
      </c>
      <c r="AO306" t="s">
        <v>258</v>
      </c>
      <c r="AP306" t="s">
        <v>259</v>
      </c>
      <c r="AQ306" t="s">
        <v>199</v>
      </c>
      <c r="AR306" t="str">
        <f>TRIM(Table1[[#This Row],[City]])</f>
        <v>Lucknow</v>
      </c>
      <c r="AS306" t="str">
        <f>PROPER(Table1[[#This Row],[City]])</f>
        <v>Lucknow</v>
      </c>
      <c r="AT306" t="s">
        <v>200</v>
      </c>
      <c r="AU306" t="str">
        <f>CONCATENATE(Table1[[#This Row],[City]],Table1[[#This Row],[State]])</f>
        <v>LucknowUttar Pradesh</v>
      </c>
      <c r="AV306" t="s">
        <v>150</v>
      </c>
      <c r="AW306" t="s">
        <v>275</v>
      </c>
      <c r="AX306" t="str">
        <f>REPLACE(Table1[[#This Row],[Product_ID]],1,1,"s")</f>
        <v>s101</v>
      </c>
      <c r="AY306" t="s">
        <v>1375</v>
      </c>
      <c r="AZ306">
        <f>SEARCH("-",Table1[[#This Row],[Product ID]])</f>
        <v>2</v>
      </c>
      <c r="BA306">
        <f>FIND("-",Table1[[#This Row],[Product ID]])</f>
        <v>2</v>
      </c>
      <c r="BB306" t="str">
        <f>MID(Table1[[#This Row],[Product_ID]],2,3)</f>
        <v>101</v>
      </c>
      <c r="BC306" t="str">
        <f>RIGHT(Table1[[#This Row],[Product_ID]],3)</f>
        <v>101</v>
      </c>
      <c r="BD306" t="str">
        <f>LEFT(Table1[[#This Row],[Product_ID]],3)</f>
        <v>P10</v>
      </c>
      <c r="BE306" t="str">
        <f>_xlfn.XLOOKUP(Table1[[#This Row],[Product_ID]],AW:AW,BF:BF,,0)</f>
        <v>Wireless Mouse</v>
      </c>
      <c r="BF306" t="s">
        <v>277</v>
      </c>
      <c r="BG306">
        <f>LEN(Table1[[#This Row],[Product_Name]])</f>
        <v>14</v>
      </c>
      <c r="BH306" t="s">
        <v>154</v>
      </c>
      <c r="BI306">
        <f t="shared" si="35"/>
        <v>75</v>
      </c>
      <c r="BJ306" t="str">
        <f>SUBSTITUTE(Table1[[#This Row],[Category]],"Electronics","ELECTRONICS")</f>
        <v>ELECTRONICS</v>
      </c>
      <c r="BN306" t="s">
        <v>155</v>
      </c>
      <c r="BS306" s="14">
        <v>2</v>
      </c>
      <c r="BT306" s="3">
        <v>799</v>
      </c>
      <c r="BU306" s="4">
        <v>15</v>
      </c>
      <c r="BV306" s="4" t="str">
        <f>IF(AND(Table1[[#This Row],[Quantity]]&gt;=3,Table1[[#This Row],[Discount_%]]&gt;=15%),"Bulk Discount","no")</f>
        <v>no</v>
      </c>
      <c r="BW306" s="4" t="str">
        <f>IF(AND(Table1[[#This Row],[Quantity]]&gt;3,Table1[[#This Row],[Discount_%]]&gt;15%),"Bulk Customer","Normal")</f>
        <v>Normal</v>
      </c>
      <c r="BX306" t="s">
        <v>135</v>
      </c>
      <c r="BY306" t="s">
        <v>136</v>
      </c>
      <c r="CC306" t="str">
        <f>IF(OR(Table1[[#This Row],[Order_Status]]="Returned",Table1[[#This Row],[Order_Status]]="Cancelled"),"Attention Required","Not")</f>
        <v>Not</v>
      </c>
      <c r="CD306" t="str">
        <f>IF(OR(Table1[[#This Row],[Order_Status]]="Returned",Table1[[#This Row],[Order_Status]]="Cancelled"),"Review","no")</f>
        <v>no</v>
      </c>
      <c r="CE306" t="str">
        <f>SUBSTITUTE(Table1[[#This Row],[Order_Status]],"Delivered","Completed")</f>
        <v>Completed</v>
      </c>
      <c r="CF306" s="2">
        <v>45915</v>
      </c>
      <c r="CG306" s="17">
        <f>NETWORKDAYS(Table1[[#This Row],[Order_Date]],Table1[[#This Row],[Delivery_Date]])</f>
        <v>2</v>
      </c>
      <c r="CH306" s="17">
        <f>Table1[[#This Row],[Delivery_Date]]-Table1[[#This Row],[Order_Date]]</f>
        <v>3</v>
      </c>
      <c r="CI306" t="s">
        <v>137</v>
      </c>
      <c r="CJ306" t="str">
        <f>IF(Table1[[#This Row],[Rating]]&gt;=4,"Good","Needs Improvement")</f>
        <v>Needs Improvement</v>
      </c>
      <c r="CK306" t="str">
        <f>IF(OR(Table1[[#This Row],[Rating]]&lt;=2,Table1[[#This Row],[Profit]]&lt;0),"Review","NO")</f>
        <v>Review</v>
      </c>
      <c r="CL306" t="e" cm="1">
        <f t="array" ref="CL306">_xlfn.IFS(Table1[[#This Row],[Rating]]&gt;2,"Poor",Table1[[#This Row],[Rating]]=3,"Average",Table1[[#This Row],[Rating]]=4,"Good",CP306=5,"Excellent")</f>
        <v>#N/A</v>
      </c>
      <c r="CM306">
        <f>COUNT(Table1[[#This Row],[Rating]])</f>
        <v>1</v>
      </c>
      <c r="CN306">
        <f>COUNTBLANK(Table1[[#This Row],[Rating]])</f>
        <v>0</v>
      </c>
      <c r="CP306" t="s">
        <v>157</v>
      </c>
      <c r="CQ306" s="14">
        <v>2</v>
      </c>
      <c r="CR306" t="s">
        <v>139</v>
      </c>
      <c r="CS306" t="s">
        <v>140</v>
      </c>
      <c r="CU306" s="3">
        <v>1358.3</v>
      </c>
      <c r="CV306" s="3">
        <f>ROUND(Table1[[#This Row],[Sales_Amount]],0)</f>
        <v>1358</v>
      </c>
      <c r="CW306" s="3"/>
      <c r="CX306" s="3"/>
      <c r="CY306" s="3" t="b">
        <f>IF(AND(Table1[[#This Row],[Sales_Amount]]&gt;=10000,Table1[[#This Row],[Profit]]&gt;0),"Good Order")</f>
        <v>0</v>
      </c>
      <c r="CZ306" s="3" t="str">
        <f>IF(Table1[[#This Row],[Sales_Amount]]&gt;=10000,"High","Normal")</f>
        <v>Normal</v>
      </c>
      <c r="DA306" s="3">
        <v>518.29999999999995</v>
      </c>
      <c r="DB306" s="3">
        <f>ROUND(Table1[[#This Row],[Profit]],0)</f>
        <v>518</v>
      </c>
      <c r="DC306" s="3">
        <f>ABS(Table1[[#This Row],[Profit]])</f>
        <v>518.29999999999995</v>
      </c>
      <c r="DD306" s="3"/>
      <c r="DE306" s="3"/>
      <c r="DF306" s="3"/>
      <c r="DG306" s="3" t="str">
        <f>IF(Table1[[#This Row],[Profit]]&gt;0,"Profit","Loss")</f>
        <v>Profit</v>
      </c>
      <c r="DH306" s="3" t="str">
        <f>IF(AND(Table1[[#This Row],[Sales_Amount]]&gt;=10000,Table1[[#This Row],[Profit]]&gt;0),"Priority","Normal")</f>
        <v>Normal</v>
      </c>
      <c r="DI306" s="3">
        <f t="shared" ca="1" si="30"/>
        <v>0.50607365743707533</v>
      </c>
      <c r="DJ306" s="3">
        <f t="shared" ca="1" si="31"/>
        <v>58</v>
      </c>
      <c r="DK306" s="3"/>
      <c r="DL306" s="3"/>
      <c r="DM306" s="3"/>
      <c r="DN306" s="3"/>
      <c r="DO306" s="3"/>
      <c r="DP306" s="3"/>
    </row>
    <row r="307" spans="1:120">
      <c r="A307" t="s">
        <v>1376</v>
      </c>
      <c r="B307" t="str">
        <f>REPLACE(Table1[[#This Row],[Order_ID]],1,3,"YOO")</f>
        <v>YOO10306</v>
      </c>
      <c r="C307" t="str">
        <f>MID(Table1[[#This Row],[Order_ID]],4,4)</f>
        <v>1030</v>
      </c>
      <c r="D307" t="str">
        <f>LEFT(Table1[[#This Row],[Order_ID]],4)</f>
        <v>ORD1</v>
      </c>
      <c r="E307" t="str">
        <f>RIGHT(Table1[[#This Row],[Order_ID]],5)</f>
        <v>10306</v>
      </c>
      <c r="F307" t="s">
        <v>5</v>
      </c>
      <c r="G307">
        <v>10306</v>
      </c>
      <c r="H307" t="s">
        <v>1377</v>
      </c>
      <c r="I307" s="2">
        <f>EDATE(Table1[[#This Row],[Order_Date]],3)</f>
        <v>46055</v>
      </c>
      <c r="J307" s="2">
        <f>EDATE(Table1[[#This Row],[Order_Date]],6)</f>
        <v>46144</v>
      </c>
      <c r="K307">
        <f ca="1">YEAR(Table1[[#This Row],[Today]])</f>
        <v>2026</v>
      </c>
      <c r="L307">
        <v>306</v>
      </c>
      <c r="M307">
        <f ca="1">DAY(Table1[[#This Row],[Today]])</f>
        <v>11</v>
      </c>
      <c r="N307" s="19">
        <f t="shared" ca="1" si="34"/>
        <v>46245.589795370368</v>
      </c>
      <c r="O307" s="2">
        <f t="shared" ca="1" si="29"/>
        <v>46245</v>
      </c>
      <c r="P307" s="17">
        <f ca="1">Table1[[#This Row],[Today]]-Table1[[#This Row],[Order_Date]]</f>
        <v>282</v>
      </c>
      <c r="Q307" s="2">
        <v>45963</v>
      </c>
      <c r="R307" s="2">
        <v>45963</v>
      </c>
      <c r="S307" s="6">
        <f t="shared" si="32"/>
        <v>2025</v>
      </c>
      <c r="T307" s="7" t="str">
        <f t="shared" si="33"/>
        <v>November</v>
      </c>
      <c r="U307" s="2">
        <f>WORKDAY(Table1[[#This Row],[Order_Date]],5)</f>
        <v>45968</v>
      </c>
      <c r="V307" s="7" t="str">
        <f>CONCATENATE(Table1[[#This Row],[Customer_ID]],Table1[[#This Row],[Customer_Name]])</f>
        <v>C1035Arjun Rao</v>
      </c>
      <c r="W307" t="s">
        <v>369</v>
      </c>
      <c r="X307" t="s">
        <v>355</v>
      </c>
      <c r="Y307">
        <f>COUNTA(Table1[[#This Row],[Customer_Name]])</f>
        <v>1</v>
      </c>
      <c r="Z307" t="str">
        <f>SUBSTITUTE(Table1[[#This Row],[Customer_Name]]," ","_")</f>
        <v>Arjun_Rao</v>
      </c>
      <c r="AA307" s="10">
        <f>IFERROR(SEARCH("a",Table1[[#This Row],[Customer_Name]]),"N/A")</f>
        <v>1</v>
      </c>
      <c r="AB307">
        <f>SEARCH(" ",Table1[[#This Row],[Customer_Name]])</f>
        <v>6</v>
      </c>
      <c r="AC307" s="11">
        <f>IFERROR(FIND("a",Table1[[#This Row],[Customer_Name]]),"N/A")</f>
        <v>8</v>
      </c>
      <c r="AD307">
        <f>FIND(" ",Table1[[#This Row],[Customer_Name]])</f>
        <v>6</v>
      </c>
      <c r="AE307" t="str">
        <f>TRIM(Table1[[#This Row],[Customer_Name]])</f>
        <v>Arjun Rao</v>
      </c>
      <c r="AF307">
        <f>LEN(Table1[[#This Row],[Trimmed]])</f>
        <v>9</v>
      </c>
      <c r="AG307">
        <f>MAX(Table1[Length])</f>
        <v>15</v>
      </c>
      <c r="AH307" t="str">
        <f>PROPER(Table1[[#This Row],[Customer_Name]])</f>
        <v>Arjun Rao</v>
      </c>
      <c r="AI307" t="str">
        <f>LOWER(Table1[[#This Row],[Customer_Name]])</f>
        <v>arjun rao</v>
      </c>
      <c r="AJ307" t="str">
        <f>UPPER(Table1[[#This Row],[Customer_Name]])</f>
        <v>ARJUN RAO</v>
      </c>
      <c r="AK307" t="str">
        <f>CONCATENATE(Table1[[#This Row],[Customer_ID]],Table1[[#This Row],[Customer_Name]])</f>
        <v>C1035Arjun Rao</v>
      </c>
      <c r="AL307" t="s">
        <v>356</v>
      </c>
      <c r="AM307" t="s">
        <v>357</v>
      </c>
      <c r="AN307" t="s">
        <v>358</v>
      </c>
      <c r="AO307" t="s">
        <v>356</v>
      </c>
      <c r="AP307" t="s">
        <v>357</v>
      </c>
      <c r="AQ307" t="s">
        <v>182</v>
      </c>
      <c r="AR307" t="str">
        <f>TRIM(Table1[[#This Row],[City]])</f>
        <v>Mumbai</v>
      </c>
      <c r="AS307" t="str">
        <f>PROPER(Table1[[#This Row],[City]])</f>
        <v>Mumbai</v>
      </c>
      <c r="AT307" t="s">
        <v>128</v>
      </c>
      <c r="AU307" t="str">
        <f>CONCATENATE(Table1[[#This Row],[City]],Table1[[#This Row],[State]])</f>
        <v>MumbaiMaharashtra</v>
      </c>
      <c r="AV307" t="s">
        <v>129</v>
      </c>
      <c r="AW307" t="s">
        <v>261</v>
      </c>
      <c r="AX307" t="str">
        <f>REPLACE(Table1[[#This Row],[Product_ID]],1,1,"s")</f>
        <v>s114</v>
      </c>
      <c r="AY307" t="s">
        <v>1378</v>
      </c>
      <c r="AZ307">
        <f>SEARCH("-",Table1[[#This Row],[Product ID]])</f>
        <v>2</v>
      </c>
      <c r="BA307">
        <f>FIND("-",Table1[[#This Row],[Product ID]])</f>
        <v>2</v>
      </c>
      <c r="BB307" t="str">
        <f>MID(Table1[[#This Row],[Product_ID]],2,3)</f>
        <v>114</v>
      </c>
      <c r="BC307" t="str">
        <f>RIGHT(Table1[[#This Row],[Product_ID]],3)</f>
        <v>114</v>
      </c>
      <c r="BD307" t="str">
        <f>LEFT(Table1[[#This Row],[Product_ID]],3)</f>
        <v>P11</v>
      </c>
      <c r="BE307" t="str">
        <f>_xlfn.XLOOKUP(Table1[[#This Row],[Product_ID]],AW:AW,BF:BF,,0)</f>
        <v>Yoga Mat</v>
      </c>
      <c r="BF307" t="s">
        <v>263</v>
      </c>
      <c r="BG307">
        <f>LEN(Table1[[#This Row],[Product_Name]])</f>
        <v>8</v>
      </c>
      <c r="BH307" t="s">
        <v>264</v>
      </c>
      <c r="BI307">
        <f t="shared" si="35"/>
        <v>75</v>
      </c>
      <c r="BJ307" t="str">
        <f>SUBSTITUTE(Table1[[#This Row],[Category]],"Electronics","ELECTRONICS")</f>
        <v>Sports</v>
      </c>
      <c r="BN307" t="s">
        <v>265</v>
      </c>
      <c r="BS307" s="14">
        <v>3</v>
      </c>
      <c r="BT307" s="3">
        <v>999</v>
      </c>
      <c r="BU307" s="4">
        <v>25</v>
      </c>
      <c r="BV307" s="4" t="str">
        <f>IF(AND(Table1[[#This Row],[Quantity]]&gt;=3,Table1[[#This Row],[Discount_%]]&gt;=15%),"Bulk Discount","no")</f>
        <v>Bulk Discount</v>
      </c>
      <c r="BW307" s="4" t="str">
        <f>IF(AND(Table1[[#This Row],[Quantity]]&gt;3,Table1[[#This Row],[Discount_%]]&gt;15%),"Bulk Customer","Normal")</f>
        <v>Normal</v>
      </c>
      <c r="BX307" t="s">
        <v>330</v>
      </c>
      <c r="BY307" t="s">
        <v>374</v>
      </c>
      <c r="CC307" t="str">
        <f>IF(OR(Table1[[#This Row],[Order_Status]]="Returned",Table1[[#This Row],[Order_Status]]="Cancelled"),"Attention Required","Not")</f>
        <v>Attention Required</v>
      </c>
      <c r="CD307" t="str">
        <f>IF(OR(Table1[[#This Row],[Order_Status]]="Returned",Table1[[#This Row],[Order_Status]]="Cancelled"),"Review","no")</f>
        <v>Review</v>
      </c>
      <c r="CE307" t="str">
        <f>SUBSTITUTE(Table1[[#This Row],[Order_Status]],"Delivered","Completed")</f>
        <v>Returned</v>
      </c>
      <c r="CF307" s="2">
        <v>45969</v>
      </c>
      <c r="CG307" s="17">
        <f>NETWORKDAYS(Table1[[#This Row],[Order_Date]],Table1[[#This Row],[Delivery_Date]])</f>
        <v>5</v>
      </c>
      <c r="CH307" s="17">
        <f>Table1[[#This Row],[Delivery_Date]]-Table1[[#This Row],[Order_Date]]</f>
        <v>6</v>
      </c>
      <c r="CI307" t="s">
        <v>375</v>
      </c>
      <c r="CJ307" t="str">
        <f>IF(Table1[[#This Row],[Rating]]&gt;=4,"Good","Needs Improvement")</f>
        <v>Good</v>
      </c>
      <c r="CK307" t="str">
        <f>IF(OR(Table1[[#This Row],[Rating]]&lt;=2,Table1[[#This Row],[Profit]]&lt;0),"Review","NO")</f>
        <v>NO</v>
      </c>
      <c r="CL307" t="str" cm="1">
        <f t="array" ref="CL307">_xlfn.IFS(Table1[[#This Row],[Rating]]&gt;2,"Poor",Table1[[#This Row],[Rating]]=3,"Average",Table1[[#This Row],[Rating]]=4,"Good",CP307=5,"Excellent")</f>
        <v>Poor</v>
      </c>
      <c r="CM307">
        <f>COUNT(Table1[[#This Row],[Rating]])</f>
        <v>1</v>
      </c>
      <c r="CN307">
        <f>COUNTBLANK(Table1[[#This Row],[Rating]])</f>
        <v>0</v>
      </c>
      <c r="CP307" t="s">
        <v>157</v>
      </c>
      <c r="CQ307" s="14">
        <v>5</v>
      </c>
      <c r="CR307" t="s">
        <v>139</v>
      </c>
      <c r="CS307" t="s">
        <v>158</v>
      </c>
      <c r="CU307" s="3">
        <v>2247.75</v>
      </c>
      <c r="CV307" s="3">
        <f>ROUND(Table1[[#This Row],[Sales_Amount]],0)</f>
        <v>2248</v>
      </c>
      <c r="CW307" s="3"/>
      <c r="CX307" s="3"/>
      <c r="CY307" s="3" t="b">
        <f>IF(AND(Table1[[#This Row],[Sales_Amount]]&gt;=10000,Table1[[#This Row],[Profit]]&gt;0),"Good Order")</f>
        <v>0</v>
      </c>
      <c r="CZ307" s="3" t="str">
        <f>IF(Table1[[#This Row],[Sales_Amount]]&gt;=10000,"High","Normal")</f>
        <v>Normal</v>
      </c>
      <c r="DA307" s="3">
        <v>897.75</v>
      </c>
      <c r="DB307" s="3">
        <f>ROUND(Table1[[#This Row],[Profit]],0)</f>
        <v>898</v>
      </c>
      <c r="DC307" s="3">
        <f>ABS(Table1[[#This Row],[Profit]])</f>
        <v>897.75</v>
      </c>
      <c r="DD307" s="3"/>
      <c r="DE307" s="3"/>
      <c r="DF307" s="3"/>
      <c r="DG307" s="3" t="str">
        <f>IF(Table1[[#This Row],[Profit]]&gt;0,"Profit","Loss")</f>
        <v>Profit</v>
      </c>
      <c r="DH307" s="3" t="str">
        <f>IF(AND(Table1[[#This Row],[Sales_Amount]]&gt;=10000,Table1[[#This Row],[Profit]]&gt;0),"Priority","Normal")</f>
        <v>Normal</v>
      </c>
      <c r="DI307" s="3">
        <f t="shared" ca="1" si="30"/>
        <v>9.167606409629081E-2</v>
      </c>
      <c r="DJ307" s="3">
        <f t="shared" ca="1" si="31"/>
        <v>69</v>
      </c>
      <c r="DK307" s="3"/>
      <c r="DL307" s="3"/>
      <c r="DM307" s="3"/>
      <c r="DN307" s="3"/>
      <c r="DO307" s="3"/>
      <c r="DP307" s="3"/>
    </row>
    <row r="308" spans="1:120">
      <c r="A308" t="s">
        <v>1379</v>
      </c>
      <c r="B308" t="str">
        <f>REPLACE(Table1[[#This Row],[Order_ID]],1,3,"YOO")</f>
        <v>YOO10307</v>
      </c>
      <c r="C308" t="str">
        <f>MID(Table1[[#This Row],[Order_ID]],4,4)</f>
        <v>1030</v>
      </c>
      <c r="D308" t="str">
        <f>LEFT(Table1[[#This Row],[Order_ID]],4)</f>
        <v>ORD1</v>
      </c>
      <c r="E308" t="str">
        <f>RIGHT(Table1[[#This Row],[Order_ID]],5)</f>
        <v>10307</v>
      </c>
      <c r="F308" t="s">
        <v>5</v>
      </c>
      <c r="G308">
        <v>10307</v>
      </c>
      <c r="H308" t="s">
        <v>1380</v>
      </c>
      <c r="I308" s="2">
        <f>EDATE(Table1[[#This Row],[Order_Date]],3)</f>
        <v>45767</v>
      </c>
      <c r="J308" s="2">
        <f>EDATE(Table1[[#This Row],[Order_Date]],6)</f>
        <v>45858</v>
      </c>
      <c r="K308">
        <f ca="1">YEAR(Table1[[#This Row],[Today]])</f>
        <v>2026</v>
      </c>
      <c r="L308">
        <v>307</v>
      </c>
      <c r="M308">
        <f ca="1">DAY(Table1[[#This Row],[Today]])</f>
        <v>11</v>
      </c>
      <c r="N308" s="19">
        <f t="shared" ca="1" si="34"/>
        <v>46245.589795138891</v>
      </c>
      <c r="O308" s="2">
        <f t="shared" ca="1" si="29"/>
        <v>46245</v>
      </c>
      <c r="P308" s="17">
        <f ca="1">Table1[[#This Row],[Today]]-Table1[[#This Row],[Order_Date]]</f>
        <v>568</v>
      </c>
      <c r="Q308" s="2">
        <v>45964</v>
      </c>
      <c r="R308" s="2">
        <v>45677</v>
      </c>
      <c r="S308" s="6">
        <f t="shared" si="32"/>
        <v>2025</v>
      </c>
      <c r="T308" s="7" t="str">
        <f t="shared" si="33"/>
        <v>January</v>
      </c>
      <c r="U308" s="2">
        <f>WORKDAY(Table1[[#This Row],[Order_Date]],5)</f>
        <v>45684</v>
      </c>
      <c r="V308" s="7" t="str">
        <f>CONCATENATE(Table1[[#This Row],[Customer_ID]],Table1[[#This Row],[Customer_Name]])</f>
        <v>C1006Varun Tiwari</v>
      </c>
      <c r="W308" t="s">
        <v>1086</v>
      </c>
      <c r="X308" t="s">
        <v>178</v>
      </c>
      <c r="Y308">
        <f>COUNTA(Table1[[#This Row],[Customer_Name]])</f>
        <v>1</v>
      </c>
      <c r="Z308" t="str">
        <f>SUBSTITUTE(Table1[[#This Row],[Customer_Name]]," ","_")</f>
        <v>Varun_Tiwari</v>
      </c>
      <c r="AA308" s="10">
        <f>IFERROR(SEARCH("a",Table1[[#This Row],[Customer_Name]]),"N/A")</f>
        <v>2</v>
      </c>
      <c r="AB308">
        <f>SEARCH(" ",Table1[[#This Row],[Customer_Name]])</f>
        <v>6</v>
      </c>
      <c r="AC308" s="11">
        <f>IFERROR(FIND("a",Table1[[#This Row],[Customer_Name]]),"N/A")</f>
        <v>2</v>
      </c>
      <c r="AD308">
        <f>FIND(" ",Table1[[#This Row],[Customer_Name]])</f>
        <v>6</v>
      </c>
      <c r="AE308" t="str">
        <f>TRIM(Table1[[#This Row],[Customer_Name]])</f>
        <v>Varun Tiwari</v>
      </c>
      <c r="AF308">
        <f>LEN(Table1[[#This Row],[Trimmed]])</f>
        <v>12</v>
      </c>
      <c r="AG308">
        <f>MAX(Table1[Length])</f>
        <v>15</v>
      </c>
      <c r="AH308" t="str">
        <f>PROPER(Table1[[#This Row],[Customer_Name]])</f>
        <v>Varun Tiwari</v>
      </c>
      <c r="AI308" t="str">
        <f>LOWER(Table1[[#This Row],[Customer_Name]])</f>
        <v>varun tiwari</v>
      </c>
      <c r="AJ308" t="str">
        <f>UPPER(Table1[[#This Row],[Customer_Name]])</f>
        <v>VARUN TIWARI</v>
      </c>
      <c r="AK308" t="str">
        <f>CONCATENATE(Table1[[#This Row],[Customer_ID]],Table1[[#This Row],[Customer_Name]])</f>
        <v>C1006Varun Tiwari</v>
      </c>
      <c r="AL308" t="s">
        <v>179</v>
      </c>
      <c r="AM308" t="s">
        <v>180</v>
      </c>
      <c r="AN308" t="s">
        <v>181</v>
      </c>
      <c r="AO308" t="s">
        <v>179</v>
      </c>
      <c r="AP308" t="s">
        <v>180</v>
      </c>
      <c r="AQ308" t="s">
        <v>166</v>
      </c>
      <c r="AR308" t="str">
        <f>TRIM(Table1[[#This Row],[City]])</f>
        <v>Bengaluru</v>
      </c>
      <c r="AS308" t="str">
        <f>PROPER(Table1[[#This Row],[City]])</f>
        <v>Bengaluru</v>
      </c>
      <c r="AT308" t="s">
        <v>167</v>
      </c>
      <c r="AU308" t="str">
        <f>CONCATENATE(Table1[[#This Row],[City]],Table1[[#This Row],[State]])</f>
        <v>BengaluruKarnataka</v>
      </c>
      <c r="AV308" t="s">
        <v>168</v>
      </c>
      <c r="AW308" t="s">
        <v>338</v>
      </c>
      <c r="AX308" t="str">
        <f>REPLACE(Table1[[#This Row],[Product_ID]],1,1,"s")</f>
        <v>s115</v>
      </c>
      <c r="AY308" t="s">
        <v>1381</v>
      </c>
      <c r="AZ308">
        <f>SEARCH("-",Table1[[#This Row],[Product ID]])</f>
        <v>2</v>
      </c>
      <c r="BA308">
        <f>FIND("-",Table1[[#This Row],[Product ID]])</f>
        <v>2</v>
      </c>
      <c r="BB308" t="str">
        <f>MID(Table1[[#This Row],[Product_ID]],2,3)</f>
        <v>115</v>
      </c>
      <c r="BC308" t="str">
        <f>RIGHT(Table1[[#This Row],[Product_ID]],3)</f>
        <v>115</v>
      </c>
      <c r="BD308" t="str">
        <f>LEFT(Table1[[#This Row],[Product_ID]],3)</f>
        <v>P11</v>
      </c>
      <c r="BE308" t="str">
        <f>_xlfn.XLOOKUP(Table1[[#This Row],[Product_ID]],AW:AW,BF:BF,,0)</f>
        <v>Dumbbell Set</v>
      </c>
      <c r="BF308" t="s">
        <v>340</v>
      </c>
      <c r="BG308">
        <f>LEN(Table1[[#This Row],[Product_Name]])</f>
        <v>12</v>
      </c>
      <c r="BH308" t="s">
        <v>264</v>
      </c>
      <c r="BI308">
        <f t="shared" si="35"/>
        <v>75</v>
      </c>
      <c r="BJ308" t="str">
        <f>SUBSTITUTE(Table1[[#This Row],[Category]],"Electronics","ELECTRONICS")</f>
        <v>Sports</v>
      </c>
      <c r="BN308" t="s">
        <v>265</v>
      </c>
      <c r="BS308" s="14">
        <v>2</v>
      </c>
      <c r="BT308" s="3">
        <v>2499</v>
      </c>
      <c r="BU308" s="4">
        <v>10</v>
      </c>
      <c r="BV308" s="4" t="str">
        <f>IF(AND(Table1[[#This Row],[Quantity]]&gt;=3,Table1[[#This Row],[Discount_%]]&gt;=15%),"Bulk Discount","no")</f>
        <v>no</v>
      </c>
      <c r="BW308" s="4" t="str">
        <f>IF(AND(Table1[[#This Row],[Quantity]]&gt;3,Table1[[#This Row],[Discount_%]]&gt;15%),"Bulk Customer","Normal")</f>
        <v>Normal</v>
      </c>
      <c r="BX308" t="s">
        <v>135</v>
      </c>
      <c r="BY308" t="s">
        <v>374</v>
      </c>
      <c r="CC308" t="str">
        <f>IF(OR(Table1[[#This Row],[Order_Status]]="Returned",Table1[[#This Row],[Order_Status]]="Cancelled"),"Attention Required","Not")</f>
        <v>Attention Required</v>
      </c>
      <c r="CD308" t="str">
        <f>IF(OR(Table1[[#This Row],[Order_Status]]="Returned",Table1[[#This Row],[Order_Status]]="Cancelled"),"Review","no")</f>
        <v>Review</v>
      </c>
      <c r="CE308" t="str">
        <f>SUBSTITUTE(Table1[[#This Row],[Order_Status]],"Delivered","Completed")</f>
        <v>Returned</v>
      </c>
      <c r="CF308" s="2">
        <v>45680</v>
      </c>
      <c r="CG308" s="17">
        <f>NETWORKDAYS(Table1[[#This Row],[Order_Date]],Table1[[#This Row],[Delivery_Date]])</f>
        <v>4</v>
      </c>
      <c r="CH308" s="17">
        <f>Table1[[#This Row],[Delivery_Date]]-Table1[[#This Row],[Order_Date]]</f>
        <v>3</v>
      </c>
      <c r="CI308" t="s">
        <v>375</v>
      </c>
      <c r="CJ308" t="str">
        <f>IF(Table1[[#This Row],[Rating]]&gt;=4,"Good","Needs Improvement")</f>
        <v>Good</v>
      </c>
      <c r="CK308" t="str">
        <f>IF(OR(Table1[[#This Row],[Rating]]&lt;=2,Table1[[#This Row],[Profit]]&lt;0),"Review","NO")</f>
        <v>NO</v>
      </c>
      <c r="CL308" t="str" cm="1">
        <f t="array" ref="CL308">_xlfn.IFS(Table1[[#This Row],[Rating]]&gt;2,"Poor",Table1[[#This Row],[Rating]]=3,"Average",Table1[[#This Row],[Rating]]=4,"Good",CP308=5,"Excellent")</f>
        <v>Poor</v>
      </c>
      <c r="CM308">
        <f>COUNT(Table1[[#This Row],[Rating]])</f>
        <v>1</v>
      </c>
      <c r="CN308">
        <f>COUNTBLANK(Table1[[#This Row],[Rating]])</f>
        <v>0</v>
      </c>
      <c r="CP308" t="s">
        <v>194</v>
      </c>
      <c r="CQ308" s="14">
        <v>4</v>
      </c>
      <c r="CR308" t="s">
        <v>139</v>
      </c>
      <c r="CS308" t="s">
        <v>195</v>
      </c>
      <c r="CU308" s="3">
        <v>4498.2</v>
      </c>
      <c r="CV308" s="3">
        <f>ROUND(Table1[[#This Row],[Sales_Amount]],0)</f>
        <v>4498</v>
      </c>
      <c r="CW308" s="3"/>
      <c r="CX308" s="3"/>
      <c r="CY308" s="3" t="b">
        <f>IF(AND(Table1[[#This Row],[Sales_Amount]]&gt;=10000,Table1[[#This Row],[Profit]]&gt;0),"Good Order")</f>
        <v>0</v>
      </c>
      <c r="CZ308" s="3" t="str">
        <f>IF(Table1[[#This Row],[Sales_Amount]]&gt;=10000,"High","Normal")</f>
        <v>Normal</v>
      </c>
      <c r="DA308" s="3">
        <v>1598.2</v>
      </c>
      <c r="DB308" s="3">
        <f>ROUND(Table1[[#This Row],[Profit]],0)</f>
        <v>1598</v>
      </c>
      <c r="DC308" s="3">
        <f>ABS(Table1[[#This Row],[Profit]])</f>
        <v>1598.2</v>
      </c>
      <c r="DD308" s="3"/>
      <c r="DE308" s="3"/>
      <c r="DF308" s="3"/>
      <c r="DG308" s="3" t="str">
        <f>IF(Table1[[#This Row],[Profit]]&gt;0,"Profit","Loss")</f>
        <v>Profit</v>
      </c>
      <c r="DH308" s="3" t="str">
        <f>IF(AND(Table1[[#This Row],[Sales_Amount]]&gt;=10000,Table1[[#This Row],[Profit]]&gt;0),"Priority","Normal")</f>
        <v>Normal</v>
      </c>
      <c r="DI308" s="3">
        <f t="shared" ca="1" si="30"/>
        <v>0.1604477932041305</v>
      </c>
      <c r="DJ308" s="3">
        <f t="shared" ca="1" si="31"/>
        <v>99</v>
      </c>
      <c r="DK308" s="3"/>
      <c r="DL308" s="3"/>
      <c r="DM308" s="3"/>
      <c r="DN308" s="3"/>
      <c r="DO308" s="3"/>
      <c r="DP308" s="3"/>
    </row>
    <row r="309" spans="1:120">
      <c r="A309" t="s">
        <v>1382</v>
      </c>
      <c r="B309" t="str">
        <f>REPLACE(Table1[[#This Row],[Order_ID]],1,3,"YOO")</f>
        <v>YOO10308</v>
      </c>
      <c r="C309" t="str">
        <f>MID(Table1[[#This Row],[Order_ID]],4,4)</f>
        <v>1030</v>
      </c>
      <c r="D309" t="str">
        <f>LEFT(Table1[[#This Row],[Order_ID]],4)</f>
        <v>ORD1</v>
      </c>
      <c r="E309" t="str">
        <f>RIGHT(Table1[[#This Row],[Order_ID]],5)</f>
        <v>10308</v>
      </c>
      <c r="F309" t="s">
        <v>5</v>
      </c>
      <c r="G309">
        <v>10308</v>
      </c>
      <c r="H309" t="s">
        <v>1383</v>
      </c>
      <c r="I309" s="2">
        <f>EDATE(Table1[[#This Row],[Order_Date]],3)</f>
        <v>45785</v>
      </c>
      <c r="J309" s="2">
        <f>EDATE(Table1[[#This Row],[Order_Date]],6)</f>
        <v>45877</v>
      </c>
      <c r="K309">
        <f ca="1">YEAR(Table1[[#This Row],[Today]])</f>
        <v>2026</v>
      </c>
      <c r="L309">
        <v>308</v>
      </c>
      <c r="M309">
        <f ca="1">DAY(Table1[[#This Row],[Today]])</f>
        <v>11</v>
      </c>
      <c r="N309" s="19">
        <f t="shared" ca="1" si="34"/>
        <v>46245.589795370368</v>
      </c>
      <c r="O309" s="2">
        <f t="shared" ca="1" si="29"/>
        <v>46245</v>
      </c>
      <c r="P309" s="17">
        <f ca="1">Table1[[#This Row],[Today]]-Table1[[#This Row],[Order_Date]]</f>
        <v>549</v>
      </c>
      <c r="Q309" s="2">
        <v>45965</v>
      </c>
      <c r="R309" s="2">
        <v>45696</v>
      </c>
      <c r="S309" s="6">
        <f t="shared" si="32"/>
        <v>2025</v>
      </c>
      <c r="T309" s="7" t="str">
        <f t="shared" si="33"/>
        <v>February</v>
      </c>
      <c r="U309" s="2">
        <f>WORKDAY(Table1[[#This Row],[Order_Date]],5)</f>
        <v>45702</v>
      </c>
      <c r="V309" s="7" t="str">
        <f>CONCATENATE(Table1[[#This Row],[Customer_ID]],Table1[[#This Row],[Customer_Name]])</f>
        <v>C1028Rahul Sharma</v>
      </c>
      <c r="W309" t="s">
        <v>309</v>
      </c>
      <c r="X309" t="s">
        <v>290</v>
      </c>
      <c r="Y309">
        <f>COUNTA(Table1[[#This Row],[Customer_Name]])</f>
        <v>1</v>
      </c>
      <c r="Z309" t="str">
        <f>SUBSTITUTE(Table1[[#This Row],[Customer_Name]]," ","_")</f>
        <v>Rahul_Sharma</v>
      </c>
      <c r="AA309" s="10">
        <f>IFERROR(SEARCH("a",Table1[[#This Row],[Customer_Name]]),"N/A")</f>
        <v>2</v>
      </c>
      <c r="AB309">
        <f>SEARCH(" ",Table1[[#This Row],[Customer_Name]])</f>
        <v>6</v>
      </c>
      <c r="AC309" s="11">
        <f>IFERROR(FIND("a",Table1[[#This Row],[Customer_Name]]),"N/A")</f>
        <v>2</v>
      </c>
      <c r="AD309">
        <f>FIND(" ",Table1[[#This Row],[Customer_Name]])</f>
        <v>6</v>
      </c>
      <c r="AE309" t="str">
        <f>TRIM(Table1[[#This Row],[Customer_Name]])</f>
        <v>Rahul Sharma</v>
      </c>
      <c r="AF309">
        <f>LEN(Table1[[#This Row],[Trimmed]])</f>
        <v>12</v>
      </c>
      <c r="AG309">
        <f>MAX(Table1[Length])</f>
        <v>15</v>
      </c>
      <c r="AH309" t="str">
        <f>PROPER(Table1[[#This Row],[Customer_Name]])</f>
        <v>Rahul Sharma</v>
      </c>
      <c r="AI309" t="str">
        <f>LOWER(Table1[[#This Row],[Customer_Name]])</f>
        <v>rahul sharma</v>
      </c>
      <c r="AJ309" t="str">
        <f>UPPER(Table1[[#This Row],[Customer_Name]])</f>
        <v>RAHUL SHARMA</v>
      </c>
      <c r="AK309" t="str">
        <f>CONCATENATE(Table1[[#This Row],[Customer_ID]],Table1[[#This Row],[Customer_Name]])</f>
        <v>C1028Rahul Sharma</v>
      </c>
      <c r="AL309" t="s">
        <v>291</v>
      </c>
      <c r="AM309" t="s">
        <v>292</v>
      </c>
      <c r="AN309" t="s">
        <v>245</v>
      </c>
      <c r="AO309" t="s">
        <v>291</v>
      </c>
      <c r="AP309" t="s">
        <v>292</v>
      </c>
      <c r="AQ309" t="s">
        <v>199</v>
      </c>
      <c r="AR309" t="str">
        <f>TRIM(Table1[[#This Row],[City]])</f>
        <v>Lucknow</v>
      </c>
      <c r="AS309" t="str">
        <f>PROPER(Table1[[#This Row],[City]])</f>
        <v>Lucknow</v>
      </c>
      <c r="AT309" t="s">
        <v>200</v>
      </c>
      <c r="AU309" t="str">
        <f>CONCATENATE(Table1[[#This Row],[City]],Table1[[#This Row],[State]])</f>
        <v>LucknowUttar Pradesh</v>
      </c>
      <c r="AV309" t="s">
        <v>150</v>
      </c>
      <c r="AW309" t="s">
        <v>169</v>
      </c>
      <c r="AX309" t="str">
        <f>REPLACE(Table1[[#This Row],[Product_ID]],1,1,"s")</f>
        <v>s112</v>
      </c>
      <c r="AY309" t="s">
        <v>1384</v>
      </c>
      <c r="AZ309">
        <f>SEARCH("-",Table1[[#This Row],[Product ID]])</f>
        <v>2</v>
      </c>
      <c r="BA309">
        <f>FIND("-",Table1[[#This Row],[Product ID]])</f>
        <v>2</v>
      </c>
      <c r="BB309" t="str">
        <f>MID(Table1[[#This Row],[Product_ID]],2,3)</f>
        <v>112</v>
      </c>
      <c r="BC309" t="str">
        <f>RIGHT(Table1[[#This Row],[Product_ID]],3)</f>
        <v>112</v>
      </c>
      <c r="BD309" t="str">
        <f>LEFT(Table1[[#This Row],[Product_ID]],3)</f>
        <v>P11</v>
      </c>
      <c r="BE309" t="str">
        <f>_xlfn.XLOOKUP(Table1[[#This Row],[Product_ID]],AW:AW,BF:BF,,0)</f>
        <v>Air Fryer</v>
      </c>
      <c r="BF309" t="s">
        <v>171</v>
      </c>
      <c r="BG309">
        <f>LEN(Table1[[#This Row],[Product_Name]])</f>
        <v>9</v>
      </c>
      <c r="BH309" t="s">
        <v>133</v>
      </c>
      <c r="BI309">
        <f t="shared" si="35"/>
        <v>75</v>
      </c>
      <c r="BJ309" t="str">
        <f>SUBSTITUTE(Table1[[#This Row],[Category]],"Electronics","ELECTRONICS")</f>
        <v>Home</v>
      </c>
      <c r="BN309" t="s">
        <v>134</v>
      </c>
      <c r="BS309" s="14">
        <v>4</v>
      </c>
      <c r="BT309" s="3">
        <v>6499</v>
      </c>
      <c r="BU309" s="4">
        <v>10</v>
      </c>
      <c r="BV309" s="4" t="str">
        <f>IF(AND(Table1[[#This Row],[Quantity]]&gt;=3,Table1[[#This Row],[Discount_%]]&gt;=15%),"Bulk Discount","no")</f>
        <v>Bulk Discount</v>
      </c>
      <c r="BW309" s="4" t="str">
        <f>IF(AND(Table1[[#This Row],[Quantity]]&gt;3,Table1[[#This Row],[Discount_%]]&gt;15%),"Bulk Customer","Normal")</f>
        <v>Bulk Customer</v>
      </c>
      <c r="BX309" t="s">
        <v>172</v>
      </c>
      <c r="BY309" t="s">
        <v>193</v>
      </c>
      <c r="CC309" t="str">
        <f>IF(OR(Table1[[#This Row],[Order_Status]]="Returned",Table1[[#This Row],[Order_Status]]="Cancelled"),"Attention Required","Not")</f>
        <v>Not</v>
      </c>
      <c r="CD309" t="str">
        <f>IF(OR(Table1[[#This Row],[Order_Status]]="Returned",Table1[[#This Row],[Order_Status]]="Cancelled"),"Review","no")</f>
        <v>no</v>
      </c>
      <c r="CE309" t="str">
        <f>SUBSTITUTE(Table1[[#This Row],[Order_Status]],"Delivered","Completed")</f>
        <v>Shipped</v>
      </c>
      <c r="CF309" s="2">
        <v>45697</v>
      </c>
      <c r="CG309" s="17">
        <f>NETWORKDAYS(Table1[[#This Row],[Order_Date]],Table1[[#This Row],[Delivery_Date]])</f>
        <v>0</v>
      </c>
      <c r="CH309" s="17">
        <f>Table1[[#This Row],[Delivery_Date]]-Table1[[#This Row],[Order_Date]]</f>
        <v>1</v>
      </c>
      <c r="CI309" t="s">
        <v>137</v>
      </c>
      <c r="CJ309" t="str">
        <f>IF(Table1[[#This Row],[Rating]]&gt;=4,"Good","Needs Improvement")</f>
        <v>Needs Improvement</v>
      </c>
      <c r="CK309" t="str">
        <f>IF(OR(Table1[[#This Row],[Rating]]&lt;=2,Table1[[#This Row],[Profit]]&lt;0),"Review","NO")</f>
        <v>Review</v>
      </c>
      <c r="CL309" t="e" cm="1">
        <f t="array" ref="CL309">_xlfn.IFS(Table1[[#This Row],[Rating]]&gt;2,"Poor",Table1[[#This Row],[Rating]]=3,"Average",Table1[[#This Row],[Rating]]=4,"Good",CP309=5,"Excellent")</f>
        <v>#N/A</v>
      </c>
      <c r="CM309">
        <f>COUNT(Table1[[#This Row],[Rating]])</f>
        <v>1</v>
      </c>
      <c r="CN309">
        <f>COUNTBLANK(Table1[[#This Row],[Rating]])</f>
        <v>0</v>
      </c>
      <c r="CQ309" s="14">
        <v>1</v>
      </c>
      <c r="CR309" t="s">
        <v>139</v>
      </c>
      <c r="CS309" t="s">
        <v>267</v>
      </c>
      <c r="CU309" s="3">
        <v>23396.400000000001</v>
      </c>
      <c r="CV309" s="3">
        <f>ROUND(Table1[[#This Row],[Sales_Amount]],0)</f>
        <v>23396</v>
      </c>
      <c r="CW309" s="3"/>
      <c r="CX309" s="3"/>
      <c r="CY309" s="3" t="str">
        <f>IF(AND(Table1[[#This Row],[Sales_Amount]]&gt;=10000,Table1[[#This Row],[Profit]]&gt;0),"Good Order")</f>
        <v>Good Order</v>
      </c>
      <c r="CZ309" s="3" t="str">
        <f>IF(Table1[[#This Row],[Sales_Amount]]&gt;=10000,"High","Normal")</f>
        <v>High</v>
      </c>
      <c r="DA309" s="3">
        <v>6196.4</v>
      </c>
      <c r="DB309" s="3">
        <f>ROUND(Table1[[#This Row],[Profit]],0)</f>
        <v>6196</v>
      </c>
      <c r="DC309" s="3">
        <f>ABS(Table1[[#This Row],[Profit]])</f>
        <v>6196.4</v>
      </c>
      <c r="DD309" s="3"/>
      <c r="DE309" s="3"/>
      <c r="DF309" s="3"/>
      <c r="DG309" s="3" t="str">
        <f>IF(Table1[[#This Row],[Profit]]&gt;0,"Profit","Loss")</f>
        <v>Profit</v>
      </c>
      <c r="DH309" s="3" t="str">
        <f>IF(AND(Table1[[#This Row],[Sales_Amount]]&gt;=10000,Table1[[#This Row],[Profit]]&gt;0),"Priority","Normal")</f>
        <v>Priority</v>
      </c>
      <c r="DI309" s="3">
        <f t="shared" ca="1" si="30"/>
        <v>0.58979381508741291</v>
      </c>
      <c r="DJ309" s="3">
        <f t="shared" ca="1" si="31"/>
        <v>74</v>
      </c>
      <c r="DK309" s="3"/>
      <c r="DL309" s="3"/>
      <c r="DM309" s="3"/>
      <c r="DN309" s="3"/>
      <c r="DO309" s="3"/>
      <c r="DP309" s="3"/>
    </row>
    <row r="310" spans="1:120">
      <c r="A310" t="s">
        <v>1385</v>
      </c>
      <c r="B310" t="str">
        <f>REPLACE(Table1[[#This Row],[Order_ID]],1,3,"YOO")</f>
        <v>YOO10309</v>
      </c>
      <c r="C310" t="str">
        <f>MID(Table1[[#This Row],[Order_ID]],4,4)</f>
        <v>1030</v>
      </c>
      <c r="D310" t="str">
        <f>LEFT(Table1[[#This Row],[Order_ID]],4)</f>
        <v>ORD1</v>
      </c>
      <c r="E310" t="str">
        <f>RIGHT(Table1[[#This Row],[Order_ID]],5)</f>
        <v>10309</v>
      </c>
      <c r="F310" t="s">
        <v>5</v>
      </c>
      <c r="G310">
        <v>10309</v>
      </c>
      <c r="H310" t="s">
        <v>1386</v>
      </c>
      <c r="I310" s="2">
        <f>EDATE(Table1[[#This Row],[Order_Date]],3)</f>
        <v>45876</v>
      </c>
      <c r="J310" s="2">
        <f>EDATE(Table1[[#This Row],[Order_Date]],6)</f>
        <v>45968</v>
      </c>
      <c r="K310">
        <f ca="1">YEAR(Table1[[#This Row],[Today]])</f>
        <v>2026</v>
      </c>
      <c r="L310">
        <v>309</v>
      </c>
      <c r="M310">
        <f ca="1">DAY(Table1[[#This Row],[Today]])</f>
        <v>11</v>
      </c>
      <c r="N310" s="19">
        <f t="shared" ca="1" si="34"/>
        <v>46245.589795370368</v>
      </c>
      <c r="O310" s="2">
        <f t="shared" ca="1" si="29"/>
        <v>46245</v>
      </c>
      <c r="P310" s="17">
        <f ca="1">Table1[[#This Row],[Today]]-Table1[[#This Row],[Order_Date]]</f>
        <v>461</v>
      </c>
      <c r="Q310" s="2">
        <v>45966</v>
      </c>
      <c r="R310" s="2">
        <v>45784</v>
      </c>
      <c r="S310" s="6">
        <f t="shared" si="32"/>
        <v>2025</v>
      </c>
      <c r="T310" s="7" t="str">
        <f t="shared" si="33"/>
        <v>May</v>
      </c>
      <c r="U310" s="2">
        <f>WORKDAY(Table1[[#This Row],[Order_Date]],5)</f>
        <v>45791</v>
      </c>
      <c r="V310" s="7" t="str">
        <f>CONCATENATE(Table1[[#This Row],[Customer_ID]],Table1[[#This Row],[Customer_Name]])</f>
        <v>C1003Pooja Jain</v>
      </c>
      <c r="W310" t="s">
        <v>633</v>
      </c>
      <c r="X310" t="s">
        <v>419</v>
      </c>
      <c r="Y310">
        <f>COUNTA(Table1[[#This Row],[Customer_Name]])</f>
        <v>1</v>
      </c>
      <c r="Z310" t="str">
        <f>SUBSTITUTE(Table1[[#This Row],[Customer_Name]]," ","_")</f>
        <v>Pooja_Jain</v>
      </c>
      <c r="AA310" s="10">
        <f>IFERROR(SEARCH("a",Table1[[#This Row],[Customer_Name]]),"N/A")</f>
        <v>5</v>
      </c>
      <c r="AB310">
        <f>SEARCH(" ",Table1[[#This Row],[Customer_Name]])</f>
        <v>6</v>
      </c>
      <c r="AC310" s="11">
        <f>IFERROR(FIND("a",Table1[[#This Row],[Customer_Name]]),"N/A")</f>
        <v>5</v>
      </c>
      <c r="AD310">
        <f>FIND(" ",Table1[[#This Row],[Customer_Name]])</f>
        <v>6</v>
      </c>
      <c r="AE310" t="str">
        <f>TRIM(Table1[[#This Row],[Customer_Name]])</f>
        <v>Pooja Jain</v>
      </c>
      <c r="AF310">
        <f>LEN(Table1[[#This Row],[Trimmed]])</f>
        <v>10</v>
      </c>
      <c r="AG310">
        <f>MAX(Table1[Length])</f>
        <v>15</v>
      </c>
      <c r="AH310" t="str">
        <f>PROPER(Table1[[#This Row],[Customer_Name]])</f>
        <v>Pooja Jain</v>
      </c>
      <c r="AI310" t="str">
        <f>LOWER(Table1[[#This Row],[Customer_Name]])</f>
        <v>pooja jain</v>
      </c>
      <c r="AJ310" t="str">
        <f>UPPER(Table1[[#This Row],[Customer_Name]])</f>
        <v>POOJA JAIN</v>
      </c>
      <c r="AK310" t="str">
        <f>CONCATENATE(Table1[[#This Row],[Customer_ID]],Table1[[#This Row],[Customer_Name]])</f>
        <v>C1003Pooja Jain</v>
      </c>
      <c r="AL310" t="s">
        <v>420</v>
      </c>
      <c r="AM310" t="s">
        <v>421</v>
      </c>
      <c r="AN310" t="s">
        <v>422</v>
      </c>
      <c r="AO310" t="s">
        <v>420</v>
      </c>
      <c r="AP310" t="s">
        <v>421</v>
      </c>
      <c r="AQ310" t="s">
        <v>166</v>
      </c>
      <c r="AR310" t="str">
        <f>TRIM(Table1[[#This Row],[City]])</f>
        <v>Bengaluru</v>
      </c>
      <c r="AS310" t="str">
        <f>PROPER(Table1[[#This Row],[City]])</f>
        <v>Bengaluru</v>
      </c>
      <c r="AT310" t="s">
        <v>167</v>
      </c>
      <c r="AU310" t="str">
        <f>CONCATENATE(Table1[[#This Row],[City]],Table1[[#This Row],[State]])</f>
        <v>BengaluruKarnataka</v>
      </c>
      <c r="AV310" t="s">
        <v>168</v>
      </c>
      <c r="AW310" t="s">
        <v>370</v>
      </c>
      <c r="AX310" t="str">
        <f>REPLACE(Table1[[#This Row],[Product_ID]],1,1,"s")</f>
        <v>s108</v>
      </c>
      <c r="AY310" t="s">
        <v>1387</v>
      </c>
      <c r="AZ310">
        <f>SEARCH("-",Table1[[#This Row],[Product ID]])</f>
        <v>2</v>
      </c>
      <c r="BA310">
        <f>FIND("-",Table1[[#This Row],[Product ID]])</f>
        <v>2</v>
      </c>
      <c r="BB310" t="str">
        <f>MID(Table1[[#This Row],[Product_ID]],2,3)</f>
        <v>108</v>
      </c>
      <c r="BC310" t="str">
        <f>RIGHT(Table1[[#This Row],[Product_ID]],3)</f>
        <v>108</v>
      </c>
      <c r="BD310" t="str">
        <f>LEFT(Table1[[#This Row],[Product_ID]],3)</f>
        <v>P10</v>
      </c>
      <c r="BE310" t="str">
        <f>_xlfn.XLOOKUP(Table1[[#This Row],[Product_ID]],AW:AW,BF:BF,,0)</f>
        <v>Hoodie</v>
      </c>
      <c r="BF310" t="s">
        <v>372</v>
      </c>
      <c r="BG310">
        <f>LEN(Table1[[#This Row],[Product_Name]])</f>
        <v>6</v>
      </c>
      <c r="BH310" t="s">
        <v>224</v>
      </c>
      <c r="BI310">
        <f t="shared" si="35"/>
        <v>75</v>
      </c>
      <c r="BJ310" t="str">
        <f>SUBSTITUTE(Table1[[#This Row],[Category]],"Electronics","ELECTRONICS")</f>
        <v>Fashion</v>
      </c>
      <c r="BN310" t="s">
        <v>373</v>
      </c>
      <c r="BS310" s="14">
        <v>5</v>
      </c>
      <c r="BT310" s="3">
        <v>1999</v>
      </c>
      <c r="BU310" s="4">
        <v>10</v>
      </c>
      <c r="BV310" s="4" t="str">
        <f>IF(AND(Table1[[#This Row],[Quantity]]&gt;=3,Table1[[#This Row],[Discount_%]]&gt;=15%),"Bulk Discount","no")</f>
        <v>Bulk Discount</v>
      </c>
      <c r="BW310" s="4" t="str">
        <f>IF(AND(Table1[[#This Row],[Quantity]]&gt;3,Table1[[#This Row],[Discount_%]]&gt;15%),"Bulk Customer","Normal")</f>
        <v>Bulk Customer</v>
      </c>
      <c r="BX310" t="s">
        <v>330</v>
      </c>
      <c r="BY310" t="s">
        <v>136</v>
      </c>
      <c r="CC310" t="str">
        <f>IF(OR(Table1[[#This Row],[Order_Status]]="Returned",Table1[[#This Row],[Order_Status]]="Cancelled"),"Attention Required","Not")</f>
        <v>Not</v>
      </c>
      <c r="CD310" t="str">
        <f>IF(OR(Table1[[#This Row],[Order_Status]]="Returned",Table1[[#This Row],[Order_Status]]="Cancelled"),"Review","no")</f>
        <v>no</v>
      </c>
      <c r="CE310" t="str">
        <f>SUBSTITUTE(Table1[[#This Row],[Order_Status]],"Delivered","Completed")</f>
        <v>Completed</v>
      </c>
      <c r="CF310" s="2">
        <v>45787</v>
      </c>
      <c r="CG310" s="17">
        <f>NETWORKDAYS(Table1[[#This Row],[Order_Date]],Table1[[#This Row],[Delivery_Date]])</f>
        <v>3</v>
      </c>
      <c r="CH310" s="17">
        <f>Table1[[#This Row],[Delivery_Date]]-Table1[[#This Row],[Order_Date]]</f>
        <v>3</v>
      </c>
      <c r="CI310" t="s">
        <v>137</v>
      </c>
      <c r="CJ310" t="str">
        <f>IF(Table1[[#This Row],[Rating]]&gt;=4,"Good","Needs Improvement")</f>
        <v>Good</v>
      </c>
      <c r="CK310" t="str">
        <f>IF(OR(Table1[[#This Row],[Rating]]&lt;=2,Table1[[#This Row],[Profit]]&lt;0),"Review","NO")</f>
        <v>NO</v>
      </c>
      <c r="CL310" t="str" cm="1">
        <f t="array" ref="CL310">_xlfn.IFS(Table1[[#This Row],[Rating]]&gt;2,"Poor",Table1[[#This Row],[Rating]]=3,"Average",Table1[[#This Row],[Rating]]=4,"Good",CP310=5,"Excellent")</f>
        <v>Poor</v>
      </c>
      <c r="CM310">
        <f>COUNT(Table1[[#This Row],[Rating]])</f>
        <v>1</v>
      </c>
      <c r="CN310">
        <f>COUNTBLANK(Table1[[#This Row],[Rating]])</f>
        <v>0</v>
      </c>
      <c r="CQ310" s="14">
        <v>4</v>
      </c>
      <c r="CR310" t="s">
        <v>139</v>
      </c>
      <c r="CS310" t="s">
        <v>213</v>
      </c>
      <c r="CU310" s="3">
        <v>8995.5</v>
      </c>
      <c r="CV310" s="3">
        <f>ROUND(Table1[[#This Row],[Sales_Amount]],0)</f>
        <v>8996</v>
      </c>
      <c r="CW310" s="3"/>
      <c r="CX310" s="3"/>
      <c r="CY310" s="3" t="b">
        <f>IF(AND(Table1[[#This Row],[Sales_Amount]]&gt;=10000,Table1[[#This Row],[Profit]]&gt;0),"Good Order")</f>
        <v>0</v>
      </c>
      <c r="CZ310" s="3" t="str">
        <f>IF(Table1[[#This Row],[Sales_Amount]]&gt;=10000,"High","Normal")</f>
        <v>Normal</v>
      </c>
      <c r="DA310" s="3">
        <v>3745.5</v>
      </c>
      <c r="DB310" s="3">
        <f>ROUND(Table1[[#This Row],[Profit]],0)</f>
        <v>3746</v>
      </c>
      <c r="DC310" s="3">
        <f>ABS(Table1[[#This Row],[Profit]])</f>
        <v>3745.5</v>
      </c>
      <c r="DD310" s="3"/>
      <c r="DE310" s="3"/>
      <c r="DF310" s="3"/>
      <c r="DG310" s="3" t="str">
        <f>IF(Table1[[#This Row],[Profit]]&gt;0,"Profit","Loss")</f>
        <v>Profit</v>
      </c>
      <c r="DH310" s="3" t="str">
        <f>IF(AND(Table1[[#This Row],[Sales_Amount]]&gt;=10000,Table1[[#This Row],[Profit]]&gt;0),"Priority","Normal")</f>
        <v>Normal</v>
      </c>
      <c r="DI310" s="3">
        <f t="shared" ca="1" si="30"/>
        <v>4.4058110049833399E-2</v>
      </c>
      <c r="DJ310" s="3">
        <f t="shared" ca="1" si="31"/>
        <v>61</v>
      </c>
      <c r="DK310" s="3"/>
      <c r="DL310" s="3"/>
      <c r="DM310" s="3"/>
      <c r="DN310" s="3"/>
      <c r="DO310" s="3"/>
      <c r="DP310" s="3"/>
    </row>
    <row r="311" spans="1:120">
      <c r="A311" t="s">
        <v>1388</v>
      </c>
      <c r="B311" t="str">
        <f>REPLACE(Table1[[#This Row],[Order_ID]],1,3,"YOO")</f>
        <v>YOO10310</v>
      </c>
      <c r="C311" t="str">
        <f>MID(Table1[[#This Row],[Order_ID]],4,4)</f>
        <v>1031</v>
      </c>
      <c r="D311" t="str">
        <f>LEFT(Table1[[#This Row],[Order_ID]],4)</f>
        <v>ORD1</v>
      </c>
      <c r="E311" t="str">
        <f>RIGHT(Table1[[#This Row],[Order_ID]],5)</f>
        <v>10310</v>
      </c>
      <c r="F311" t="s">
        <v>5</v>
      </c>
      <c r="G311">
        <v>10310</v>
      </c>
      <c r="H311" t="s">
        <v>1389</v>
      </c>
      <c r="I311" s="2">
        <f>EDATE(Table1[[#This Row],[Order_Date]],3)</f>
        <v>45890</v>
      </c>
      <c r="J311" s="2">
        <f>EDATE(Table1[[#This Row],[Order_Date]],6)</f>
        <v>45982</v>
      </c>
      <c r="K311">
        <f ca="1">YEAR(Table1[[#This Row],[Today]])</f>
        <v>2026</v>
      </c>
      <c r="L311">
        <v>310</v>
      </c>
      <c r="M311">
        <f ca="1">DAY(Table1[[#This Row],[Today]])</f>
        <v>11</v>
      </c>
      <c r="N311" s="19">
        <f t="shared" ca="1" si="34"/>
        <v>46245.589795138891</v>
      </c>
      <c r="O311" s="2">
        <f t="shared" ca="1" si="29"/>
        <v>46245</v>
      </c>
      <c r="P311" s="17">
        <f ca="1">Table1[[#This Row],[Today]]-Table1[[#This Row],[Order_Date]]</f>
        <v>447</v>
      </c>
      <c r="Q311" s="2">
        <v>45967</v>
      </c>
      <c r="R311" s="2">
        <v>45798</v>
      </c>
      <c r="S311" s="6">
        <f t="shared" si="32"/>
        <v>2025</v>
      </c>
      <c r="T311" s="7" t="str">
        <f t="shared" si="33"/>
        <v>May</v>
      </c>
      <c r="U311" s="2">
        <f>WORKDAY(Table1[[#This Row],[Order_Date]],5)</f>
        <v>45805</v>
      </c>
      <c r="V311" s="7" t="str">
        <f>CONCATENATE(Table1[[#This Row],[Customer_ID]],Table1[[#This Row],[Customer_Name]])</f>
        <v>C1030Neha Gupta</v>
      </c>
      <c r="W311" t="s">
        <v>645</v>
      </c>
      <c r="X311" t="s">
        <v>229</v>
      </c>
      <c r="Y311">
        <f>COUNTA(Table1[[#This Row],[Customer_Name]])</f>
        <v>1</v>
      </c>
      <c r="Z311" t="str">
        <f>SUBSTITUTE(Table1[[#This Row],[Customer_Name]]," ","_")</f>
        <v>Neha_Gupta</v>
      </c>
      <c r="AA311" s="10">
        <f>IFERROR(SEARCH("a",Table1[[#This Row],[Customer_Name]]),"N/A")</f>
        <v>4</v>
      </c>
      <c r="AB311">
        <f>SEARCH(" ",Table1[[#This Row],[Customer_Name]])</f>
        <v>5</v>
      </c>
      <c r="AC311" s="11">
        <f>IFERROR(FIND("a",Table1[[#This Row],[Customer_Name]]),"N/A")</f>
        <v>4</v>
      </c>
      <c r="AD311">
        <f>FIND(" ",Table1[[#This Row],[Customer_Name]])</f>
        <v>5</v>
      </c>
      <c r="AE311" t="str">
        <f>TRIM(Table1[[#This Row],[Customer_Name]])</f>
        <v>Neha Gupta</v>
      </c>
      <c r="AF311">
        <f>LEN(Table1[[#This Row],[Trimmed]])</f>
        <v>10</v>
      </c>
      <c r="AG311">
        <f>MAX(Table1[Length])</f>
        <v>15</v>
      </c>
      <c r="AH311" t="str">
        <f>PROPER(Table1[[#This Row],[Customer_Name]])</f>
        <v>Neha Gupta</v>
      </c>
      <c r="AI311" t="str">
        <f>LOWER(Table1[[#This Row],[Customer_Name]])</f>
        <v>neha gupta</v>
      </c>
      <c r="AJ311" t="str">
        <f>UPPER(Table1[[#This Row],[Customer_Name]])</f>
        <v>NEHA GUPTA</v>
      </c>
      <c r="AK311" t="str">
        <f>CONCATENATE(Table1[[#This Row],[Customer_ID]],Table1[[#This Row],[Customer_Name]])</f>
        <v>C1030Neha Gupta</v>
      </c>
      <c r="AL311" t="s">
        <v>230</v>
      </c>
      <c r="AM311" t="s">
        <v>231</v>
      </c>
      <c r="AN311" t="s">
        <v>232</v>
      </c>
      <c r="AO311" t="s">
        <v>230</v>
      </c>
      <c r="AP311" t="s">
        <v>231</v>
      </c>
      <c r="AQ311" t="s">
        <v>379</v>
      </c>
      <c r="AR311" t="str">
        <f>TRIM(Table1[[#This Row],[City]])</f>
        <v>Indore</v>
      </c>
      <c r="AS311" t="str">
        <f>PROPER(Table1[[#This Row],[City]])</f>
        <v>Indore</v>
      </c>
      <c r="AT311" t="s">
        <v>345</v>
      </c>
      <c r="AU311" t="str">
        <f>CONCATENATE(Table1[[#This Row],[City]],Table1[[#This Row],[State]])</f>
        <v>IndoreMadhya Pradesh</v>
      </c>
      <c r="AV311" t="s">
        <v>346</v>
      </c>
      <c r="AW311" t="s">
        <v>477</v>
      </c>
      <c r="AX311" t="str">
        <f>REPLACE(Table1[[#This Row],[Product_ID]],1,1,"s")</f>
        <v>s109</v>
      </c>
      <c r="AY311" t="s">
        <v>1390</v>
      </c>
      <c r="AZ311">
        <f>SEARCH("-",Table1[[#This Row],[Product ID]])</f>
        <v>2</v>
      </c>
      <c r="BA311">
        <f>FIND("-",Table1[[#This Row],[Product ID]])</f>
        <v>2</v>
      </c>
      <c r="BB311" t="str">
        <f>MID(Table1[[#This Row],[Product_ID]],2,3)</f>
        <v>109</v>
      </c>
      <c r="BC311" t="str">
        <f>RIGHT(Table1[[#This Row],[Product_ID]],3)</f>
        <v>109</v>
      </c>
      <c r="BD311" t="str">
        <f>LEFT(Table1[[#This Row],[Product_ID]],3)</f>
        <v>P10</v>
      </c>
      <c r="BE311" t="str">
        <f>_xlfn.XLOOKUP(Table1[[#This Row],[Product_ID]],AW:AW,BF:BF,,0)</f>
        <v>Backpack</v>
      </c>
      <c r="BF311" t="s">
        <v>479</v>
      </c>
      <c r="BG311">
        <f>LEN(Table1[[#This Row],[Product_Name]])</f>
        <v>8</v>
      </c>
      <c r="BH311" t="s">
        <v>224</v>
      </c>
      <c r="BI311">
        <f t="shared" si="35"/>
        <v>75</v>
      </c>
      <c r="BJ311" t="str">
        <f>SUBSTITUTE(Table1[[#This Row],[Category]],"Electronics","ELECTRONICS")</f>
        <v>Fashion</v>
      </c>
      <c r="BN311" t="s">
        <v>480</v>
      </c>
      <c r="BS311" s="14">
        <v>4</v>
      </c>
      <c r="BT311" s="3">
        <v>2299</v>
      </c>
      <c r="BU311" s="4">
        <v>0</v>
      </c>
      <c r="BV311" s="4" t="str">
        <f>IF(AND(Table1[[#This Row],[Quantity]]&gt;=3,Table1[[#This Row],[Discount_%]]&gt;=15%),"Bulk Discount","no")</f>
        <v>no</v>
      </c>
      <c r="BW311" s="4" t="str">
        <f>IF(AND(Table1[[#This Row],[Quantity]]&gt;3,Table1[[#This Row],[Discount_%]]&gt;15%),"Bulk Customer","Normal")</f>
        <v>Normal</v>
      </c>
      <c r="BX311" t="s">
        <v>330</v>
      </c>
      <c r="BY311" t="s">
        <v>156</v>
      </c>
      <c r="CC311" t="str">
        <f>IF(OR(Table1[[#This Row],[Order_Status]]="Returned",Table1[[#This Row],[Order_Status]]="Cancelled"),"Attention Required","Not")</f>
        <v>Attention Required</v>
      </c>
      <c r="CD311" t="str">
        <f>IF(OR(Table1[[#This Row],[Order_Status]]="Returned",Table1[[#This Row],[Order_Status]]="Cancelled"),"Review","no")</f>
        <v>Review</v>
      </c>
      <c r="CE311" t="str">
        <f>SUBSTITUTE(Table1[[#This Row],[Order_Status]],"Delivered","Completed")</f>
        <v>Cancelled</v>
      </c>
      <c r="CF311" s="2">
        <v>45800</v>
      </c>
      <c r="CG311" s="17">
        <f>NETWORKDAYS(Table1[[#This Row],[Order_Date]],Table1[[#This Row],[Delivery_Date]])</f>
        <v>3</v>
      </c>
      <c r="CH311" s="17">
        <f>Table1[[#This Row],[Delivery_Date]]-Table1[[#This Row],[Order_Date]]</f>
        <v>2</v>
      </c>
      <c r="CI311" t="s">
        <v>137</v>
      </c>
      <c r="CJ311" t="str">
        <f>IF(Table1[[#This Row],[Rating]]&gt;=4,"Good","Needs Improvement")</f>
        <v>Good</v>
      </c>
      <c r="CK311" t="str">
        <f>IF(OR(Table1[[#This Row],[Rating]]&lt;=2,Table1[[#This Row],[Profit]]&lt;0),"Review","NO")</f>
        <v>NO</v>
      </c>
      <c r="CL311" t="str" cm="1">
        <f t="array" ref="CL311">_xlfn.IFS(Table1[[#This Row],[Rating]]&gt;2,"Poor",Table1[[#This Row],[Rating]]=3,"Average",Table1[[#This Row],[Rating]]=4,"Good",CP311=5,"Excellent")</f>
        <v>Poor</v>
      </c>
      <c r="CM311">
        <f>COUNT(Table1[[#This Row],[Rating]])</f>
        <v>1</v>
      </c>
      <c r="CN311">
        <f>COUNTBLANK(Table1[[#This Row],[Rating]])</f>
        <v>0</v>
      </c>
      <c r="CP311" t="s">
        <v>194</v>
      </c>
      <c r="CQ311" s="14">
        <v>4</v>
      </c>
      <c r="CR311" t="s">
        <v>204</v>
      </c>
      <c r="CS311" t="s">
        <v>158</v>
      </c>
      <c r="CU311" s="3">
        <v>9196</v>
      </c>
      <c r="CV311" s="3">
        <f>ROUND(Table1[[#This Row],[Sales_Amount]],0)</f>
        <v>9196</v>
      </c>
      <c r="CW311" s="3"/>
      <c r="CX311" s="3"/>
      <c r="CY311" s="3" t="b">
        <f>IF(AND(Table1[[#This Row],[Sales_Amount]]&gt;=10000,Table1[[#This Row],[Profit]]&gt;0),"Good Order")</f>
        <v>0</v>
      </c>
      <c r="CZ311" s="3" t="str">
        <f>IF(Table1[[#This Row],[Sales_Amount]]&gt;=10000,"High","Normal")</f>
        <v>Normal</v>
      </c>
      <c r="DA311" s="3">
        <v>4196</v>
      </c>
      <c r="DB311" s="3">
        <f>ROUND(Table1[[#This Row],[Profit]],0)</f>
        <v>4196</v>
      </c>
      <c r="DC311" s="3">
        <f>ABS(Table1[[#This Row],[Profit]])</f>
        <v>4196</v>
      </c>
      <c r="DD311" s="3"/>
      <c r="DE311" s="3"/>
      <c r="DF311" s="3"/>
      <c r="DG311" s="3" t="str">
        <f>IF(Table1[[#This Row],[Profit]]&gt;0,"Profit","Loss")</f>
        <v>Profit</v>
      </c>
      <c r="DH311" s="3" t="str">
        <f>IF(AND(Table1[[#This Row],[Sales_Amount]]&gt;=10000,Table1[[#This Row],[Profit]]&gt;0),"Priority","Normal")</f>
        <v>Normal</v>
      </c>
      <c r="DI311" s="3">
        <f t="shared" ca="1" si="30"/>
        <v>0.62145137009303986</v>
      </c>
      <c r="DJ311" s="3">
        <f t="shared" ca="1" si="31"/>
        <v>21</v>
      </c>
      <c r="DK311" s="3"/>
      <c r="DL311" s="3"/>
      <c r="DM311" s="3"/>
      <c r="DN311" s="3"/>
      <c r="DO311" s="3"/>
      <c r="DP311" s="3"/>
    </row>
    <row r="312" spans="1:120">
      <c r="A312" t="s">
        <v>1391</v>
      </c>
      <c r="B312" t="str">
        <f>REPLACE(Table1[[#This Row],[Order_ID]],1,3,"YOO")</f>
        <v>YOO10311</v>
      </c>
      <c r="C312" t="str">
        <f>MID(Table1[[#This Row],[Order_ID]],4,4)</f>
        <v>1031</v>
      </c>
      <c r="D312" t="str">
        <f>LEFT(Table1[[#This Row],[Order_ID]],4)</f>
        <v>ORD1</v>
      </c>
      <c r="E312" t="str">
        <f>RIGHT(Table1[[#This Row],[Order_ID]],5)</f>
        <v>10311</v>
      </c>
      <c r="F312" t="s">
        <v>5</v>
      </c>
      <c r="G312">
        <v>10311</v>
      </c>
      <c r="H312" t="s">
        <v>1392</v>
      </c>
      <c r="I312" s="2">
        <f>EDATE(Table1[[#This Row],[Order_Date]],3)</f>
        <v>46285</v>
      </c>
      <c r="J312" s="2">
        <f>EDATE(Table1[[#This Row],[Order_Date]],6)</f>
        <v>46376</v>
      </c>
      <c r="K312">
        <f ca="1">YEAR(Table1[[#This Row],[Today]])</f>
        <v>2026</v>
      </c>
      <c r="L312">
        <v>311</v>
      </c>
      <c r="M312">
        <f ca="1">DAY(Table1[[#This Row],[Today]])</f>
        <v>11</v>
      </c>
      <c r="N312" s="19">
        <f t="shared" ca="1" si="34"/>
        <v>46245.589795370368</v>
      </c>
      <c r="O312" s="2">
        <f t="shared" ca="1" si="29"/>
        <v>46245</v>
      </c>
      <c r="P312" s="17">
        <f ca="1">Table1[[#This Row],[Today]]-Table1[[#This Row],[Order_Date]]</f>
        <v>52</v>
      </c>
      <c r="Q312" s="2">
        <v>45968</v>
      </c>
      <c r="R312" s="2">
        <v>46193</v>
      </c>
      <c r="S312" s="6">
        <f t="shared" si="32"/>
        <v>2026</v>
      </c>
      <c r="T312" s="7" t="str">
        <f t="shared" si="33"/>
        <v>June</v>
      </c>
      <c r="U312" s="2">
        <f>WORKDAY(Table1[[#This Row],[Order_Date]],5)</f>
        <v>46199</v>
      </c>
      <c r="V312" s="7" t="str">
        <f>CONCATENATE(Table1[[#This Row],[Customer_ID]],Table1[[#This Row],[Customer_Name]])</f>
        <v xml:space="preserve">C1042  priya verma  </v>
      </c>
      <c r="W312" t="s">
        <v>383</v>
      </c>
      <c r="X312" t="s">
        <v>1393</v>
      </c>
      <c r="Y312">
        <f>COUNTA(Table1[[#This Row],[Customer_Name]])</f>
        <v>1</v>
      </c>
      <c r="Z312" t="str">
        <f>SUBSTITUTE(Table1[[#This Row],[Customer_Name]]," ","_")</f>
        <v>__priya_verma__</v>
      </c>
      <c r="AA312" s="10">
        <f>IFERROR(SEARCH("a",Table1[[#This Row],[Customer_Name]]),"N/A")</f>
        <v>7</v>
      </c>
      <c r="AB312">
        <f>SEARCH(" ",Table1[[#This Row],[Customer_Name]])</f>
        <v>1</v>
      </c>
      <c r="AC312" s="11">
        <f>IFERROR(FIND("a",Table1[[#This Row],[Customer_Name]]),"N/A")</f>
        <v>7</v>
      </c>
      <c r="AD312">
        <f>FIND(" ",Table1[[#This Row],[Customer_Name]])</f>
        <v>1</v>
      </c>
      <c r="AE312" t="str">
        <f>TRIM(Table1[[#This Row],[Customer_Name]])</f>
        <v>priya verma</v>
      </c>
      <c r="AF312">
        <f>LEN(Table1[[#This Row],[Trimmed]])</f>
        <v>11</v>
      </c>
      <c r="AG312">
        <f>MAX(Table1[Length])</f>
        <v>15</v>
      </c>
      <c r="AH312" t="str">
        <f>PROPER(Table1[[#This Row],[Customer_Name]])</f>
        <v xml:space="preserve">  Priya Verma  </v>
      </c>
      <c r="AI312" t="str">
        <f>LOWER(Table1[[#This Row],[Customer_Name]])</f>
        <v xml:space="preserve">  priya verma  </v>
      </c>
      <c r="AJ312" t="str">
        <f>UPPER(Table1[[#This Row],[Customer_Name]])</f>
        <v xml:space="preserve">  PRIYA VERMA  </v>
      </c>
      <c r="AK312" t="str">
        <f>CONCATENATE(Table1[[#This Row],[Customer_ID]],Table1[[#This Row],[Customer_Name]])</f>
        <v xml:space="preserve">C1042  priya verma  </v>
      </c>
      <c r="AL312" t="s">
        <v>1394</v>
      </c>
      <c r="AM312" t="s">
        <v>1395</v>
      </c>
      <c r="AN312" t="s">
        <v>337</v>
      </c>
      <c r="AO312" t="s">
        <v>1394</v>
      </c>
      <c r="AP312" t="s">
        <v>1395</v>
      </c>
      <c r="AQ312" t="s">
        <v>379</v>
      </c>
      <c r="AR312" t="str">
        <f>TRIM(Table1[[#This Row],[City]])</f>
        <v>Indore</v>
      </c>
      <c r="AS312" t="str">
        <f>PROPER(Table1[[#This Row],[City]])</f>
        <v>Indore</v>
      </c>
      <c r="AT312" t="s">
        <v>345</v>
      </c>
      <c r="AU312" t="str">
        <f>CONCATENATE(Table1[[#This Row],[City]],Table1[[#This Row],[State]])</f>
        <v>IndoreMadhya Pradesh</v>
      </c>
      <c r="AV312" t="s">
        <v>346</v>
      </c>
      <c r="AW312" t="s">
        <v>250</v>
      </c>
      <c r="AX312" t="str">
        <f>REPLACE(Table1[[#This Row],[Product_ID]],1,1,"s")</f>
        <v>s113</v>
      </c>
      <c r="AY312" t="s">
        <v>1396</v>
      </c>
      <c r="AZ312">
        <f>SEARCH("-",Table1[[#This Row],[Product ID]])</f>
        <v>2</v>
      </c>
      <c r="BA312">
        <f>FIND("-",Table1[[#This Row],[Product ID]])</f>
        <v>2</v>
      </c>
      <c r="BB312" t="str">
        <f>MID(Table1[[#This Row],[Product_ID]],2,3)</f>
        <v>113</v>
      </c>
      <c r="BC312" t="str">
        <f>RIGHT(Table1[[#This Row],[Product_ID]],3)</f>
        <v>113</v>
      </c>
      <c r="BD312" t="str">
        <f>LEFT(Table1[[#This Row],[Product_ID]],3)</f>
        <v>P11</v>
      </c>
      <c r="BE312" t="str">
        <f>_xlfn.XLOOKUP(Table1[[#This Row],[Product_ID]],AW:AW,BF:BF,,0)</f>
        <v>Desk Lamp</v>
      </c>
      <c r="BF312" t="s">
        <v>252</v>
      </c>
      <c r="BG312">
        <f>LEN(Table1[[#This Row],[Product_Name]])</f>
        <v>9</v>
      </c>
      <c r="BH312" t="s">
        <v>133</v>
      </c>
      <c r="BI312">
        <f t="shared" si="35"/>
        <v>75</v>
      </c>
      <c r="BJ312" t="str">
        <f>SUBSTITUTE(Table1[[#This Row],[Category]],"Electronics","ELECTRONICS")</f>
        <v>Home</v>
      </c>
      <c r="BN312" t="s">
        <v>253</v>
      </c>
      <c r="BS312" s="14">
        <v>2</v>
      </c>
      <c r="BT312" s="3">
        <v>1299</v>
      </c>
      <c r="BU312" s="4">
        <v>15</v>
      </c>
      <c r="BV312" s="4" t="str">
        <f>IF(AND(Table1[[#This Row],[Quantity]]&gt;=3,Table1[[#This Row],[Discount_%]]&gt;=15%),"Bulk Discount","no")</f>
        <v>no</v>
      </c>
      <c r="BW312" s="4" t="str">
        <f>IF(AND(Table1[[#This Row],[Quantity]]&gt;3,Table1[[#This Row],[Discount_%]]&gt;15%),"Bulk Customer","Normal")</f>
        <v>Normal</v>
      </c>
      <c r="BX312" t="s">
        <v>135</v>
      </c>
      <c r="BY312" t="s">
        <v>374</v>
      </c>
      <c r="CC312" t="str">
        <f>IF(OR(Table1[[#This Row],[Order_Status]]="Returned",Table1[[#This Row],[Order_Status]]="Cancelled"),"Attention Required","Not")</f>
        <v>Attention Required</v>
      </c>
      <c r="CD312" t="str">
        <f>IF(OR(Table1[[#This Row],[Order_Status]]="Returned",Table1[[#This Row],[Order_Status]]="Cancelled"),"Review","no")</f>
        <v>Review</v>
      </c>
      <c r="CE312" t="str">
        <f>SUBSTITUTE(Table1[[#This Row],[Order_Status]],"Delivered","Completed")</f>
        <v>Returned</v>
      </c>
      <c r="CF312" s="2">
        <v>46200</v>
      </c>
      <c r="CG312" s="17">
        <f>NETWORKDAYS(Table1[[#This Row],[Order_Date]],Table1[[#This Row],[Delivery_Date]])</f>
        <v>5</v>
      </c>
      <c r="CH312" s="17">
        <f>Table1[[#This Row],[Delivery_Date]]-Table1[[#This Row],[Order_Date]]</f>
        <v>7</v>
      </c>
      <c r="CI312" t="s">
        <v>375</v>
      </c>
      <c r="CJ312" t="str">
        <f>IF(Table1[[#This Row],[Rating]]&gt;=4,"Good","Needs Improvement")</f>
        <v>Good</v>
      </c>
      <c r="CK312" t="str">
        <f>IF(OR(Table1[[#This Row],[Rating]]&lt;=2,Table1[[#This Row],[Profit]]&lt;0),"Review","NO")</f>
        <v>NO</v>
      </c>
      <c r="CL312" t="str" cm="1">
        <f t="array" ref="CL312">_xlfn.IFS(Table1[[#This Row],[Rating]]&gt;2,"Poor",Table1[[#This Row],[Rating]]=3,"Average",Table1[[#This Row],[Rating]]=4,"Good",CP312=5,"Excellent")</f>
        <v>Poor</v>
      </c>
      <c r="CM312">
        <f>COUNT(Table1[[#This Row],[Rating]])</f>
        <v>1</v>
      </c>
      <c r="CN312">
        <f>COUNTBLANK(Table1[[#This Row],[Rating]])</f>
        <v>0</v>
      </c>
      <c r="CP312" t="s">
        <v>138</v>
      </c>
      <c r="CQ312" s="14">
        <v>4</v>
      </c>
      <c r="CR312" t="s">
        <v>139</v>
      </c>
      <c r="CS312" t="s">
        <v>213</v>
      </c>
      <c r="CU312" s="3">
        <v>2208.3000000000002</v>
      </c>
      <c r="CV312" s="3">
        <f>ROUND(Table1[[#This Row],[Sales_Amount]],0)</f>
        <v>2208</v>
      </c>
      <c r="CW312" s="3"/>
      <c r="CX312" s="3"/>
      <c r="CY312" s="3" t="b">
        <f>IF(AND(Table1[[#This Row],[Sales_Amount]]&gt;=10000,Table1[[#This Row],[Profit]]&gt;0),"Good Order")</f>
        <v>0</v>
      </c>
      <c r="CZ312" s="3" t="str">
        <f>IF(Table1[[#This Row],[Sales_Amount]]&gt;=10000,"High","Normal")</f>
        <v>Normal</v>
      </c>
      <c r="DA312" s="3">
        <v>908.3</v>
      </c>
      <c r="DB312" s="3">
        <f>ROUND(Table1[[#This Row],[Profit]],0)</f>
        <v>908</v>
      </c>
      <c r="DC312" s="3">
        <f>ABS(Table1[[#This Row],[Profit]])</f>
        <v>908.3</v>
      </c>
      <c r="DD312" s="3"/>
      <c r="DE312" s="3"/>
      <c r="DF312" s="3"/>
      <c r="DG312" s="3" t="str">
        <f>IF(Table1[[#This Row],[Profit]]&gt;0,"Profit","Loss")</f>
        <v>Profit</v>
      </c>
      <c r="DH312" s="3" t="str">
        <f>IF(AND(Table1[[#This Row],[Sales_Amount]]&gt;=10000,Table1[[#This Row],[Profit]]&gt;0),"Priority","Normal")</f>
        <v>Normal</v>
      </c>
      <c r="DI312" s="3">
        <f t="shared" ca="1" si="30"/>
        <v>0.43095137418929352</v>
      </c>
      <c r="DJ312" s="3">
        <f t="shared" ca="1" si="31"/>
        <v>67</v>
      </c>
      <c r="DK312" s="3"/>
      <c r="DL312" s="3"/>
      <c r="DM312" s="3"/>
      <c r="DN312" s="3"/>
      <c r="DO312" s="3"/>
      <c r="DP312" s="3"/>
    </row>
    <row r="313" spans="1:120">
      <c r="A313" t="s">
        <v>1397</v>
      </c>
      <c r="B313" t="str">
        <f>REPLACE(Table1[[#This Row],[Order_ID]],1,3,"YOO")</f>
        <v>YOO10312</v>
      </c>
      <c r="C313" t="str">
        <f>MID(Table1[[#This Row],[Order_ID]],4,4)</f>
        <v>1031</v>
      </c>
      <c r="D313" t="str">
        <f>LEFT(Table1[[#This Row],[Order_ID]],4)</f>
        <v>ORD1</v>
      </c>
      <c r="E313" t="str">
        <f>RIGHT(Table1[[#This Row],[Order_ID]],5)</f>
        <v>10312</v>
      </c>
      <c r="F313" t="s">
        <v>5</v>
      </c>
      <c r="G313">
        <v>10312</v>
      </c>
      <c r="H313" t="s">
        <v>1398</v>
      </c>
      <c r="I313" s="2">
        <f>EDATE(Table1[[#This Row],[Order_Date]],3)</f>
        <v>46086</v>
      </c>
      <c r="J313" s="2">
        <f>EDATE(Table1[[#This Row],[Order_Date]],6)</f>
        <v>46178</v>
      </c>
      <c r="K313">
        <f ca="1">YEAR(Table1[[#This Row],[Today]])</f>
        <v>2026</v>
      </c>
      <c r="L313">
        <v>312</v>
      </c>
      <c r="M313">
        <f ca="1">DAY(Table1[[#This Row],[Today]])</f>
        <v>11</v>
      </c>
      <c r="N313" s="19">
        <f t="shared" ca="1" si="34"/>
        <v>46245.589795370368</v>
      </c>
      <c r="O313" s="2">
        <f t="shared" ca="1" si="29"/>
        <v>46245</v>
      </c>
      <c r="P313" s="17">
        <f ca="1">Table1[[#This Row],[Today]]-Table1[[#This Row],[Order_Date]]</f>
        <v>249</v>
      </c>
      <c r="Q313" s="2">
        <v>45969</v>
      </c>
      <c r="R313" s="2">
        <v>45996</v>
      </c>
      <c r="S313" s="6">
        <f t="shared" si="32"/>
        <v>2025</v>
      </c>
      <c r="T313" s="7" t="str">
        <f t="shared" si="33"/>
        <v>December</v>
      </c>
      <c r="U313" s="2">
        <f>WORKDAY(Table1[[#This Row],[Order_Date]],5)</f>
        <v>46003</v>
      </c>
      <c r="V313" s="7" t="str">
        <f>CONCATENATE(Table1[[#This Row],[Customer_ID]],Table1[[#This Row],[Customer_Name]])</f>
        <v>C1147Kavya Shah</v>
      </c>
      <c r="W313" t="s">
        <v>748</v>
      </c>
      <c r="X313" t="s">
        <v>271</v>
      </c>
      <c r="Y313">
        <f>COUNTA(Table1[[#This Row],[Customer_Name]])</f>
        <v>1</v>
      </c>
      <c r="Z313" t="str">
        <f>SUBSTITUTE(Table1[[#This Row],[Customer_Name]]," ","_")</f>
        <v>Kavya_Shah</v>
      </c>
      <c r="AA313" s="10">
        <f>IFERROR(SEARCH("a",Table1[[#This Row],[Customer_Name]]),"N/A")</f>
        <v>2</v>
      </c>
      <c r="AB313">
        <f>SEARCH(" ",Table1[[#This Row],[Customer_Name]])</f>
        <v>6</v>
      </c>
      <c r="AC313" s="11">
        <f>IFERROR(FIND("a",Table1[[#This Row],[Customer_Name]]),"N/A")</f>
        <v>2</v>
      </c>
      <c r="AD313">
        <f>FIND(" ",Table1[[#This Row],[Customer_Name]])</f>
        <v>6</v>
      </c>
      <c r="AE313" t="str">
        <f>TRIM(Table1[[#This Row],[Customer_Name]])</f>
        <v>Kavya Shah</v>
      </c>
      <c r="AF313">
        <f>LEN(Table1[[#This Row],[Trimmed]])</f>
        <v>10</v>
      </c>
      <c r="AG313">
        <f>MAX(Table1[Length])</f>
        <v>15</v>
      </c>
      <c r="AH313" t="str">
        <f>PROPER(Table1[[#This Row],[Customer_Name]])</f>
        <v>Kavya Shah</v>
      </c>
      <c r="AI313" t="str">
        <f>LOWER(Table1[[#This Row],[Customer_Name]])</f>
        <v>kavya shah</v>
      </c>
      <c r="AJ313" t="str">
        <f>UPPER(Table1[[#This Row],[Customer_Name]])</f>
        <v>KAVYA SHAH</v>
      </c>
      <c r="AK313" t="str">
        <f>CONCATENATE(Table1[[#This Row],[Customer_ID]],Table1[[#This Row],[Customer_Name]])</f>
        <v>C1147Kavya Shah</v>
      </c>
      <c r="AL313" t="s">
        <v>272</v>
      </c>
      <c r="AM313" t="s">
        <v>273</v>
      </c>
      <c r="AN313" t="s">
        <v>274</v>
      </c>
      <c r="AO313" t="s">
        <v>272</v>
      </c>
      <c r="AP313" t="s">
        <v>273</v>
      </c>
      <c r="AQ313" t="s">
        <v>284</v>
      </c>
      <c r="AR313" t="str">
        <f>TRIM(Table1[[#This Row],[City]])</f>
        <v>Hyderabad</v>
      </c>
      <c r="AS313" t="str">
        <f>PROPER(Table1[[#This Row],[City]])</f>
        <v>Hyderabad</v>
      </c>
      <c r="AT313" t="s">
        <v>285</v>
      </c>
      <c r="AU313" t="str">
        <f>CONCATENATE(Table1[[#This Row],[City]],Table1[[#This Row],[State]])</f>
        <v>HyderabadTelangana</v>
      </c>
      <c r="AV313" t="s">
        <v>168</v>
      </c>
      <c r="AW313" t="s">
        <v>338</v>
      </c>
      <c r="AX313" t="str">
        <f>REPLACE(Table1[[#This Row],[Product_ID]],1,1,"s")</f>
        <v>s115</v>
      </c>
      <c r="AY313" t="s">
        <v>1399</v>
      </c>
      <c r="AZ313">
        <f>SEARCH("-",Table1[[#This Row],[Product ID]])</f>
        <v>2</v>
      </c>
      <c r="BA313">
        <f>FIND("-",Table1[[#This Row],[Product ID]])</f>
        <v>2</v>
      </c>
      <c r="BB313" t="str">
        <f>MID(Table1[[#This Row],[Product_ID]],2,3)</f>
        <v>115</v>
      </c>
      <c r="BC313" t="str">
        <f>RIGHT(Table1[[#This Row],[Product_ID]],3)</f>
        <v>115</v>
      </c>
      <c r="BD313" t="str">
        <f>LEFT(Table1[[#This Row],[Product_ID]],3)</f>
        <v>P11</v>
      </c>
      <c r="BE313" t="str">
        <f>_xlfn.XLOOKUP(Table1[[#This Row],[Product_ID]],AW:AW,BF:BF,,0)</f>
        <v>Dumbbell Set</v>
      </c>
      <c r="BF313" t="s">
        <v>340</v>
      </c>
      <c r="BG313">
        <f>LEN(Table1[[#This Row],[Product_Name]])</f>
        <v>12</v>
      </c>
      <c r="BH313" t="s">
        <v>264</v>
      </c>
      <c r="BI313">
        <f t="shared" si="35"/>
        <v>75</v>
      </c>
      <c r="BJ313" t="str">
        <f>SUBSTITUTE(Table1[[#This Row],[Category]],"Electronics","ELECTRONICS")</f>
        <v>Sports</v>
      </c>
      <c r="BN313" t="s">
        <v>265</v>
      </c>
      <c r="BS313" s="14">
        <v>2</v>
      </c>
      <c r="BT313" s="3">
        <v>2499</v>
      </c>
      <c r="BU313" s="4">
        <v>0</v>
      </c>
      <c r="BV313" s="4" t="str">
        <f>IF(AND(Table1[[#This Row],[Quantity]]&gt;=3,Table1[[#This Row],[Discount_%]]&gt;=15%),"Bulk Discount","no")</f>
        <v>no</v>
      </c>
      <c r="BW313" s="4" t="str">
        <f>IF(AND(Table1[[#This Row],[Quantity]]&gt;3,Table1[[#This Row],[Discount_%]]&gt;15%),"Bulk Customer","Normal")</f>
        <v>Normal</v>
      </c>
      <c r="BX313" t="s">
        <v>187</v>
      </c>
      <c r="BY313" t="s">
        <v>136</v>
      </c>
      <c r="CC313" t="str">
        <f>IF(OR(Table1[[#This Row],[Order_Status]]="Returned",Table1[[#This Row],[Order_Status]]="Cancelled"),"Attention Required","Not")</f>
        <v>Not</v>
      </c>
      <c r="CD313" t="str">
        <f>IF(OR(Table1[[#This Row],[Order_Status]]="Returned",Table1[[#This Row],[Order_Status]]="Cancelled"),"Review","no")</f>
        <v>no</v>
      </c>
      <c r="CE313" t="str">
        <f>SUBSTITUTE(Table1[[#This Row],[Order_Status]],"Delivered","Completed")</f>
        <v>Completed</v>
      </c>
      <c r="CF313" s="2">
        <v>45998</v>
      </c>
      <c r="CG313" s="17">
        <f>NETWORKDAYS(Table1[[#This Row],[Order_Date]],Table1[[#This Row],[Delivery_Date]])</f>
        <v>1</v>
      </c>
      <c r="CH313" s="17">
        <f>Table1[[#This Row],[Delivery_Date]]-Table1[[#This Row],[Order_Date]]</f>
        <v>2</v>
      </c>
      <c r="CI313" t="s">
        <v>137</v>
      </c>
      <c r="CJ313" t="str">
        <f>IF(Table1[[#This Row],[Rating]]&gt;=4,"Good","Needs Improvement")</f>
        <v>Needs Improvement</v>
      </c>
      <c r="CK313" t="str">
        <f>IF(OR(Table1[[#This Row],[Rating]]&lt;=2,Table1[[#This Row],[Profit]]&lt;0),"Review","NO")</f>
        <v>Review</v>
      </c>
      <c r="CL313" t="e" cm="1">
        <f t="array" ref="CL313">_xlfn.IFS(Table1[[#This Row],[Rating]]&gt;2,"Poor",Table1[[#This Row],[Rating]]=3,"Average",Table1[[#This Row],[Rating]]=4,"Good",CP313=5,"Excellent")</f>
        <v>#N/A</v>
      </c>
      <c r="CM313">
        <f>COUNT(Table1[[#This Row],[Rating]])</f>
        <v>1</v>
      </c>
      <c r="CN313">
        <f>COUNTBLANK(Table1[[#This Row],[Rating]])</f>
        <v>0</v>
      </c>
      <c r="CP313" t="s">
        <v>331</v>
      </c>
      <c r="CQ313" s="14">
        <v>2</v>
      </c>
      <c r="CR313" t="s">
        <v>204</v>
      </c>
      <c r="CS313" t="s">
        <v>140</v>
      </c>
      <c r="CU313" s="3">
        <v>4998</v>
      </c>
      <c r="CV313" s="3">
        <f>ROUND(Table1[[#This Row],[Sales_Amount]],0)</f>
        <v>4998</v>
      </c>
      <c r="CW313" s="3"/>
      <c r="CX313" s="3"/>
      <c r="CY313" s="3" t="b">
        <f>IF(AND(Table1[[#This Row],[Sales_Amount]]&gt;=10000,Table1[[#This Row],[Profit]]&gt;0),"Good Order")</f>
        <v>0</v>
      </c>
      <c r="CZ313" s="3" t="str">
        <f>IF(Table1[[#This Row],[Sales_Amount]]&gt;=10000,"High","Normal")</f>
        <v>Normal</v>
      </c>
      <c r="DA313" s="3">
        <v>2098</v>
      </c>
      <c r="DB313" s="3">
        <f>ROUND(Table1[[#This Row],[Profit]],0)</f>
        <v>2098</v>
      </c>
      <c r="DC313" s="3">
        <f>ABS(Table1[[#This Row],[Profit]])</f>
        <v>2098</v>
      </c>
      <c r="DD313" s="3"/>
      <c r="DE313" s="3"/>
      <c r="DF313" s="3"/>
      <c r="DG313" s="3" t="str">
        <f>IF(Table1[[#This Row],[Profit]]&gt;0,"Profit","Loss")</f>
        <v>Profit</v>
      </c>
      <c r="DH313" s="3" t="str">
        <f>IF(AND(Table1[[#This Row],[Sales_Amount]]&gt;=10000,Table1[[#This Row],[Profit]]&gt;0),"Priority","Normal")</f>
        <v>Normal</v>
      </c>
      <c r="DI313" s="3">
        <f t="shared" ca="1" si="30"/>
        <v>5.6493213753030735E-2</v>
      </c>
      <c r="DJ313" s="3">
        <f t="shared" ca="1" si="31"/>
        <v>34</v>
      </c>
      <c r="DK313" s="3"/>
      <c r="DL313" s="3"/>
      <c r="DM313" s="3"/>
      <c r="DN313" s="3"/>
      <c r="DO313" s="3"/>
      <c r="DP313" s="3"/>
    </row>
    <row r="314" spans="1:120">
      <c r="A314" t="s">
        <v>1400</v>
      </c>
      <c r="B314" t="str">
        <f>REPLACE(Table1[[#This Row],[Order_ID]],1,3,"YOO")</f>
        <v>YOO10313</v>
      </c>
      <c r="C314" t="str">
        <f>MID(Table1[[#This Row],[Order_ID]],4,4)</f>
        <v>1031</v>
      </c>
      <c r="D314" t="str">
        <f>LEFT(Table1[[#This Row],[Order_ID]],4)</f>
        <v>ORD1</v>
      </c>
      <c r="E314" t="str">
        <f>RIGHT(Table1[[#This Row],[Order_ID]],5)</f>
        <v>10313</v>
      </c>
      <c r="F314" t="s">
        <v>5</v>
      </c>
      <c r="G314">
        <v>10313</v>
      </c>
      <c r="H314" t="s">
        <v>1401</v>
      </c>
      <c r="I314" s="2">
        <f>EDATE(Table1[[#This Row],[Order_Date]],3)</f>
        <v>45852</v>
      </c>
      <c r="J314" s="2">
        <f>EDATE(Table1[[#This Row],[Order_Date]],6)</f>
        <v>45944</v>
      </c>
      <c r="K314">
        <f ca="1">YEAR(Table1[[#This Row],[Today]])</f>
        <v>2026</v>
      </c>
      <c r="L314">
        <v>313</v>
      </c>
      <c r="M314">
        <f ca="1">DAY(Table1[[#This Row],[Today]])</f>
        <v>11</v>
      </c>
      <c r="N314" s="19">
        <f t="shared" ca="1" si="34"/>
        <v>46245.589795138891</v>
      </c>
      <c r="O314" s="2">
        <f t="shared" ca="1" si="29"/>
        <v>46245</v>
      </c>
      <c r="P314" s="17">
        <f ca="1">Table1[[#This Row],[Today]]-Table1[[#This Row],[Order_Date]]</f>
        <v>484</v>
      </c>
      <c r="Q314" s="2">
        <v>45970</v>
      </c>
      <c r="R314" s="2">
        <v>45761</v>
      </c>
      <c r="S314" s="6">
        <f t="shared" si="32"/>
        <v>2025</v>
      </c>
      <c r="T314" s="7" t="str">
        <f t="shared" si="33"/>
        <v>April</v>
      </c>
      <c r="U314" s="2">
        <f>WORKDAY(Table1[[#This Row],[Order_Date]],5)</f>
        <v>45768</v>
      </c>
      <c r="V314" s="7" t="str">
        <f>CONCATENATE(Table1[[#This Row],[Customer_ID]],Table1[[#This Row],[Customer_Name]])</f>
        <v>C1119Priya Verma</v>
      </c>
      <c r="W314" t="s">
        <v>198</v>
      </c>
      <c r="X314" t="s">
        <v>335</v>
      </c>
      <c r="Y314">
        <f>COUNTA(Table1[[#This Row],[Customer_Name]])</f>
        <v>1</v>
      </c>
      <c r="Z314" t="str">
        <f>SUBSTITUTE(Table1[[#This Row],[Customer_Name]]," ","_")</f>
        <v>Priya_Verma</v>
      </c>
      <c r="AA314" s="10">
        <f>IFERROR(SEARCH("a",Table1[[#This Row],[Customer_Name]]),"N/A")</f>
        <v>5</v>
      </c>
      <c r="AB314">
        <f>SEARCH(" ",Table1[[#This Row],[Customer_Name]])</f>
        <v>6</v>
      </c>
      <c r="AC314" s="11">
        <f>IFERROR(FIND("a",Table1[[#This Row],[Customer_Name]]),"N/A")</f>
        <v>5</v>
      </c>
      <c r="AD314">
        <f>FIND(" ",Table1[[#This Row],[Customer_Name]])</f>
        <v>6</v>
      </c>
      <c r="AE314" t="str">
        <f>TRIM(Table1[[#This Row],[Customer_Name]])</f>
        <v>Priya Verma</v>
      </c>
      <c r="AF314">
        <f>LEN(Table1[[#This Row],[Trimmed]])</f>
        <v>11</v>
      </c>
      <c r="AG314">
        <f>MAX(Table1[Length])</f>
        <v>15</v>
      </c>
      <c r="AH314" t="str">
        <f>PROPER(Table1[[#This Row],[Customer_Name]])</f>
        <v>Priya Verma</v>
      </c>
      <c r="AI314" t="str">
        <f>LOWER(Table1[[#This Row],[Customer_Name]])</f>
        <v>priya verma</v>
      </c>
      <c r="AJ314" t="str">
        <f>UPPER(Table1[[#This Row],[Customer_Name]])</f>
        <v>PRIYA VERMA</v>
      </c>
      <c r="AK314" t="str">
        <f>CONCATENATE(Table1[[#This Row],[Customer_ID]],Table1[[#This Row],[Customer_Name]])</f>
        <v>C1119Priya Verma</v>
      </c>
      <c r="AL314" t="s">
        <v>174</v>
      </c>
      <c r="AM314" t="s">
        <v>336</v>
      </c>
      <c r="AN314" t="s">
        <v>337</v>
      </c>
      <c r="AO314" t="s">
        <v>174</v>
      </c>
      <c r="AP314" t="s">
        <v>336</v>
      </c>
      <c r="AQ314" t="s">
        <v>423</v>
      </c>
      <c r="AR314" t="str">
        <f>TRIM(Table1[[#This Row],[City]])</f>
        <v>Ahmedabad</v>
      </c>
      <c r="AS314" t="str">
        <f>PROPER(Table1[[#This Row],[City]])</f>
        <v>Ahmedabad</v>
      </c>
      <c r="AT314" t="s">
        <v>424</v>
      </c>
      <c r="AU314" t="str">
        <f>CONCATENATE(Table1[[#This Row],[City]],Table1[[#This Row],[State]])</f>
        <v>AhmedabadGujarat</v>
      </c>
      <c r="AV314" t="s">
        <v>129</v>
      </c>
      <c r="AW314" t="s">
        <v>169</v>
      </c>
      <c r="AX314" t="str">
        <f>REPLACE(Table1[[#This Row],[Product_ID]],1,1,"s")</f>
        <v>s112</v>
      </c>
      <c r="AY314" t="s">
        <v>1402</v>
      </c>
      <c r="AZ314">
        <f>SEARCH("-",Table1[[#This Row],[Product ID]])</f>
        <v>2</v>
      </c>
      <c r="BA314">
        <f>FIND("-",Table1[[#This Row],[Product ID]])</f>
        <v>2</v>
      </c>
      <c r="BB314" t="str">
        <f>MID(Table1[[#This Row],[Product_ID]],2,3)</f>
        <v>112</v>
      </c>
      <c r="BC314" t="str">
        <f>RIGHT(Table1[[#This Row],[Product_ID]],3)</f>
        <v>112</v>
      </c>
      <c r="BD314" t="str">
        <f>LEFT(Table1[[#This Row],[Product_ID]],3)</f>
        <v>P11</v>
      </c>
      <c r="BE314" t="str">
        <f>_xlfn.XLOOKUP(Table1[[#This Row],[Product_ID]],AW:AW,BF:BF,,0)</f>
        <v>Air Fryer</v>
      </c>
      <c r="BF314" t="s">
        <v>171</v>
      </c>
      <c r="BG314">
        <f>LEN(Table1[[#This Row],[Product_Name]])</f>
        <v>9</v>
      </c>
      <c r="BH314" t="s">
        <v>133</v>
      </c>
      <c r="BI314">
        <f t="shared" si="35"/>
        <v>75</v>
      </c>
      <c r="BJ314" t="str">
        <f>SUBSTITUTE(Table1[[#This Row],[Category]],"Electronics","ELECTRONICS")</f>
        <v>Home</v>
      </c>
      <c r="BN314" t="s">
        <v>134</v>
      </c>
      <c r="BS314" s="14">
        <v>3</v>
      </c>
      <c r="BT314" s="3">
        <v>6499</v>
      </c>
      <c r="BU314" s="4">
        <v>10</v>
      </c>
      <c r="BV314" s="4" t="str">
        <f>IF(AND(Table1[[#This Row],[Quantity]]&gt;=3,Table1[[#This Row],[Discount_%]]&gt;=15%),"Bulk Discount","no")</f>
        <v>Bulk Discount</v>
      </c>
      <c r="BW314" s="4" t="str">
        <f>IF(AND(Table1[[#This Row],[Quantity]]&gt;3,Table1[[#This Row],[Discount_%]]&gt;15%),"Bulk Customer","Normal")</f>
        <v>Normal</v>
      </c>
      <c r="BX314" t="s">
        <v>172</v>
      </c>
      <c r="BY314" t="s">
        <v>136</v>
      </c>
      <c r="CC314" t="str">
        <f>IF(OR(Table1[[#This Row],[Order_Status]]="Returned",Table1[[#This Row],[Order_Status]]="Cancelled"),"Attention Required","Not")</f>
        <v>Not</v>
      </c>
      <c r="CD314" t="str">
        <f>IF(OR(Table1[[#This Row],[Order_Status]]="Returned",Table1[[#This Row],[Order_Status]]="Cancelled"),"Review","no")</f>
        <v>no</v>
      </c>
      <c r="CE314" t="str">
        <f>SUBSTITUTE(Table1[[#This Row],[Order_Status]],"Delivered","Completed")</f>
        <v>Completed</v>
      </c>
      <c r="CF314" s="2">
        <v>45766</v>
      </c>
      <c r="CG314" s="17">
        <f>NETWORKDAYS(Table1[[#This Row],[Order_Date]],Table1[[#This Row],[Delivery_Date]])</f>
        <v>5</v>
      </c>
      <c r="CH314" s="17">
        <f>Table1[[#This Row],[Delivery_Date]]-Table1[[#This Row],[Order_Date]]</f>
        <v>5</v>
      </c>
      <c r="CI314" t="s">
        <v>137</v>
      </c>
      <c r="CJ314" t="str">
        <f>IF(Table1[[#This Row],[Rating]]&gt;=4,"Good","Needs Improvement")</f>
        <v>Good</v>
      </c>
      <c r="CK314" t="str">
        <f>IF(OR(Table1[[#This Row],[Rating]]&lt;=2,Table1[[#This Row],[Profit]]&lt;0),"Review","NO")</f>
        <v>NO</v>
      </c>
      <c r="CL314" t="str" cm="1">
        <f t="array" ref="CL314">_xlfn.IFS(Table1[[#This Row],[Rating]]&gt;2,"Poor",Table1[[#This Row],[Rating]]=3,"Average",Table1[[#This Row],[Rating]]=4,"Good",CP314=5,"Excellent")</f>
        <v>Poor</v>
      </c>
      <c r="CM314">
        <f>COUNT(Table1[[#This Row],[Rating]])</f>
        <v>1</v>
      </c>
      <c r="CN314">
        <f>COUNTBLANK(Table1[[#This Row],[Rating]])</f>
        <v>0</v>
      </c>
      <c r="CP314" t="s">
        <v>194</v>
      </c>
      <c r="CQ314" s="14">
        <v>4</v>
      </c>
      <c r="CR314" t="s">
        <v>139</v>
      </c>
      <c r="CS314" t="s">
        <v>195</v>
      </c>
      <c r="CU314" s="3">
        <v>17547.3</v>
      </c>
      <c r="CV314" s="3">
        <f>ROUND(Table1[[#This Row],[Sales_Amount]],0)</f>
        <v>17547</v>
      </c>
      <c r="CW314" s="3"/>
      <c r="CX314" s="3"/>
      <c r="CY314" s="3" t="str">
        <f>IF(AND(Table1[[#This Row],[Sales_Amount]]&gt;=10000,Table1[[#This Row],[Profit]]&gt;0),"Good Order")</f>
        <v>Good Order</v>
      </c>
      <c r="CZ314" s="3" t="str">
        <f>IF(Table1[[#This Row],[Sales_Amount]]&gt;=10000,"High","Normal")</f>
        <v>High</v>
      </c>
      <c r="DA314" s="3">
        <v>4647.3</v>
      </c>
      <c r="DB314" s="3">
        <f>ROUND(Table1[[#This Row],[Profit]],0)</f>
        <v>4647</v>
      </c>
      <c r="DC314" s="3">
        <f>ABS(Table1[[#This Row],[Profit]])</f>
        <v>4647.3</v>
      </c>
      <c r="DD314" s="3"/>
      <c r="DE314" s="3"/>
      <c r="DF314" s="3"/>
      <c r="DG314" s="3" t="str">
        <f>IF(Table1[[#This Row],[Profit]]&gt;0,"Profit","Loss")</f>
        <v>Profit</v>
      </c>
      <c r="DH314" s="3" t="str">
        <f>IF(AND(Table1[[#This Row],[Sales_Amount]]&gt;=10000,Table1[[#This Row],[Profit]]&gt;0),"Priority","Normal")</f>
        <v>Priority</v>
      </c>
      <c r="DI314" s="3">
        <f t="shared" ca="1" si="30"/>
        <v>0.80529940706602565</v>
      </c>
      <c r="DJ314" s="3">
        <f t="shared" ca="1" si="31"/>
        <v>90</v>
      </c>
      <c r="DK314" s="3"/>
      <c r="DL314" s="3"/>
      <c r="DM314" s="3"/>
      <c r="DN314" s="3"/>
      <c r="DO314" s="3"/>
      <c r="DP314" s="3"/>
    </row>
    <row r="315" spans="1:120">
      <c r="A315" t="s">
        <v>1403</v>
      </c>
      <c r="B315" t="str">
        <f>REPLACE(Table1[[#This Row],[Order_ID]],1,3,"YOO")</f>
        <v>YOO10314</v>
      </c>
      <c r="C315" t="str">
        <f>MID(Table1[[#This Row],[Order_ID]],4,4)</f>
        <v>1031</v>
      </c>
      <c r="D315" t="str">
        <f>LEFT(Table1[[#This Row],[Order_ID]],4)</f>
        <v>ORD1</v>
      </c>
      <c r="E315" t="str">
        <f>RIGHT(Table1[[#This Row],[Order_ID]],5)</f>
        <v>10314</v>
      </c>
      <c r="F315" t="s">
        <v>5</v>
      </c>
      <c r="G315">
        <v>10314</v>
      </c>
      <c r="H315" t="s">
        <v>1404</v>
      </c>
      <c r="I315" s="2">
        <f>EDATE(Table1[[#This Row],[Order_Date]],3)</f>
        <v>46070</v>
      </c>
      <c r="J315" s="2">
        <f>EDATE(Table1[[#This Row],[Order_Date]],6)</f>
        <v>46159</v>
      </c>
      <c r="K315">
        <f ca="1">YEAR(Table1[[#This Row],[Today]])</f>
        <v>2026</v>
      </c>
      <c r="L315">
        <v>314</v>
      </c>
      <c r="M315">
        <f ca="1">DAY(Table1[[#This Row],[Today]])</f>
        <v>11</v>
      </c>
      <c r="N315" s="19">
        <f t="shared" ca="1" si="34"/>
        <v>46245.589795370368</v>
      </c>
      <c r="O315" s="2">
        <f t="shared" ca="1" si="29"/>
        <v>46245</v>
      </c>
      <c r="P315" s="17">
        <f ca="1">Table1[[#This Row],[Today]]-Table1[[#This Row],[Order_Date]]</f>
        <v>267</v>
      </c>
      <c r="Q315" s="2">
        <v>45971</v>
      </c>
      <c r="R315" s="2">
        <v>45978</v>
      </c>
      <c r="S315" s="6">
        <f t="shared" si="32"/>
        <v>2025</v>
      </c>
      <c r="T315" s="7" t="str">
        <f t="shared" si="33"/>
        <v>November</v>
      </c>
      <c r="U315" s="2">
        <f>WORKDAY(Table1[[#This Row],[Order_Date]],5)</f>
        <v>45985</v>
      </c>
      <c r="V315" s="7" t="str">
        <f>CONCATENATE(Table1[[#This Row],[Customer_ID]],Table1[[#This Row],[Customer_Name]])</f>
        <v>C1036Simran Kaur</v>
      </c>
      <c r="W315" t="s">
        <v>637</v>
      </c>
      <c r="X315" t="s">
        <v>325</v>
      </c>
      <c r="Y315">
        <f>COUNTA(Table1[[#This Row],[Customer_Name]])</f>
        <v>1</v>
      </c>
      <c r="Z315" t="str">
        <f>SUBSTITUTE(Table1[[#This Row],[Customer_Name]]," ","_")</f>
        <v>Simran_Kaur</v>
      </c>
      <c r="AA315" s="10">
        <f>IFERROR(SEARCH("a",Table1[[#This Row],[Customer_Name]]),"N/A")</f>
        <v>5</v>
      </c>
      <c r="AB315">
        <f>SEARCH(" ",Table1[[#This Row],[Customer_Name]])</f>
        <v>7</v>
      </c>
      <c r="AC315" s="11">
        <f>IFERROR(FIND("a",Table1[[#This Row],[Customer_Name]]),"N/A")</f>
        <v>5</v>
      </c>
      <c r="AD315">
        <f>FIND(" ",Table1[[#This Row],[Customer_Name]])</f>
        <v>7</v>
      </c>
      <c r="AE315" t="str">
        <f>TRIM(Table1[[#This Row],[Customer_Name]])</f>
        <v>Simran Kaur</v>
      </c>
      <c r="AF315">
        <f>LEN(Table1[[#This Row],[Trimmed]])</f>
        <v>11</v>
      </c>
      <c r="AG315">
        <f>MAX(Table1[Length])</f>
        <v>15</v>
      </c>
      <c r="AH315" t="str">
        <f>PROPER(Table1[[#This Row],[Customer_Name]])</f>
        <v>Simran Kaur</v>
      </c>
      <c r="AI315" t="str">
        <f>LOWER(Table1[[#This Row],[Customer_Name]])</f>
        <v>simran kaur</v>
      </c>
      <c r="AJ315" t="str">
        <f>UPPER(Table1[[#This Row],[Customer_Name]])</f>
        <v>SIMRAN KAUR</v>
      </c>
      <c r="AK315" t="str">
        <f>CONCATENATE(Table1[[#This Row],[Customer_ID]],Table1[[#This Row],[Customer_Name]])</f>
        <v>C1036Simran Kaur</v>
      </c>
      <c r="AL315" t="s">
        <v>326</v>
      </c>
      <c r="AM315" t="s">
        <v>327</v>
      </c>
      <c r="AN315" t="s">
        <v>328</v>
      </c>
      <c r="AO315" t="s">
        <v>326</v>
      </c>
      <c r="AP315" t="s">
        <v>327</v>
      </c>
      <c r="AQ315" t="s">
        <v>199</v>
      </c>
      <c r="AR315" t="str">
        <f>TRIM(Table1[[#This Row],[City]])</f>
        <v>Lucknow</v>
      </c>
      <c r="AS315" t="str">
        <f>PROPER(Table1[[#This Row],[City]])</f>
        <v>Lucknow</v>
      </c>
      <c r="AT315" t="s">
        <v>200</v>
      </c>
      <c r="AU315" t="str">
        <f>CONCATENATE(Table1[[#This Row],[City]],Table1[[#This Row],[State]])</f>
        <v>LucknowUttar Pradesh</v>
      </c>
      <c r="AV315" t="s">
        <v>150</v>
      </c>
      <c r="AW315" t="s">
        <v>221</v>
      </c>
      <c r="AX315" t="str">
        <f>REPLACE(Table1[[#This Row],[Product_ID]],1,1,"s")</f>
        <v>s106</v>
      </c>
      <c r="AY315" t="s">
        <v>1405</v>
      </c>
      <c r="AZ315">
        <f>SEARCH("-",Table1[[#This Row],[Product ID]])</f>
        <v>2</v>
      </c>
      <c r="BA315">
        <f>FIND("-",Table1[[#This Row],[Product ID]])</f>
        <v>2</v>
      </c>
      <c r="BB315" t="str">
        <f>MID(Table1[[#This Row],[Product_ID]],2,3)</f>
        <v>106</v>
      </c>
      <c r="BC315" t="str">
        <f>RIGHT(Table1[[#This Row],[Product_ID]],3)</f>
        <v>106</v>
      </c>
      <c r="BD315" t="str">
        <f>LEFT(Table1[[#This Row],[Product_ID]],3)</f>
        <v>P10</v>
      </c>
      <c r="BE315" t="str">
        <f>_xlfn.XLOOKUP(Table1[[#This Row],[Product_ID]],AW:AW,BF:BF,,0)</f>
        <v>Running Shoes</v>
      </c>
      <c r="BF315" t="s">
        <v>223</v>
      </c>
      <c r="BG315">
        <f>LEN(Table1[[#This Row],[Product_Name]])</f>
        <v>13</v>
      </c>
      <c r="BH315" t="s">
        <v>224</v>
      </c>
      <c r="BI315">
        <f t="shared" si="35"/>
        <v>75</v>
      </c>
      <c r="BJ315" t="str">
        <f>SUBSTITUTE(Table1[[#This Row],[Category]],"Electronics","ELECTRONICS")</f>
        <v>Fashion</v>
      </c>
      <c r="BN315" t="s">
        <v>225</v>
      </c>
      <c r="BS315" s="14">
        <v>4</v>
      </c>
      <c r="BT315" s="3">
        <v>3499</v>
      </c>
      <c r="BU315" s="4">
        <v>0</v>
      </c>
      <c r="BV315" s="4" t="str">
        <f>IF(AND(Table1[[#This Row],[Quantity]]&gt;=3,Table1[[#This Row],[Discount_%]]&gt;=15%),"Bulk Discount","no")</f>
        <v>no</v>
      </c>
      <c r="BW315" s="4" t="str">
        <f>IF(AND(Table1[[#This Row],[Quantity]]&gt;3,Table1[[#This Row],[Discount_%]]&gt;15%),"Bulk Customer","Normal")</f>
        <v>Normal</v>
      </c>
      <c r="BX315" t="s">
        <v>192</v>
      </c>
      <c r="BY315" t="s">
        <v>136</v>
      </c>
      <c r="CC315" t="str">
        <f>IF(OR(Table1[[#This Row],[Order_Status]]="Returned",Table1[[#This Row],[Order_Status]]="Cancelled"),"Attention Required","Not")</f>
        <v>Not</v>
      </c>
      <c r="CD315" t="str">
        <f>IF(OR(Table1[[#This Row],[Order_Status]]="Returned",Table1[[#This Row],[Order_Status]]="Cancelled"),"Review","no")</f>
        <v>no</v>
      </c>
      <c r="CE315" t="str">
        <f>SUBSTITUTE(Table1[[#This Row],[Order_Status]],"Delivered","Completed")</f>
        <v>Completed</v>
      </c>
      <c r="CF315" s="2">
        <v>45979</v>
      </c>
      <c r="CG315" s="17">
        <f>NETWORKDAYS(Table1[[#This Row],[Order_Date]],Table1[[#This Row],[Delivery_Date]])</f>
        <v>2</v>
      </c>
      <c r="CH315" s="17">
        <f>Table1[[#This Row],[Delivery_Date]]-Table1[[#This Row],[Order_Date]]</f>
        <v>1</v>
      </c>
      <c r="CI315" t="s">
        <v>137</v>
      </c>
      <c r="CJ315" t="str">
        <f>IF(Table1[[#This Row],[Rating]]&gt;=4,"Good","Needs Improvement")</f>
        <v>Needs Improvement</v>
      </c>
      <c r="CK315" t="str">
        <f>IF(OR(Table1[[#This Row],[Rating]]&lt;=2,Table1[[#This Row],[Profit]]&lt;0),"Review","NO")</f>
        <v>Review</v>
      </c>
      <c r="CL315" t="e" cm="1">
        <f t="array" ref="CL315">_xlfn.IFS(Table1[[#This Row],[Rating]]&gt;2,"Poor",Table1[[#This Row],[Rating]]=3,"Average",Table1[[#This Row],[Rating]]=4,"Good",CP315=5,"Excellent")</f>
        <v>#N/A</v>
      </c>
      <c r="CM315">
        <f>COUNT(Table1[[#This Row],[Rating]])</f>
        <v>1</v>
      </c>
      <c r="CN315">
        <f>COUNTBLANK(Table1[[#This Row],[Rating]])</f>
        <v>0</v>
      </c>
      <c r="CP315" t="s">
        <v>157</v>
      </c>
      <c r="CQ315" s="14">
        <v>1</v>
      </c>
      <c r="CR315" t="s">
        <v>173</v>
      </c>
      <c r="CS315" t="s">
        <v>174</v>
      </c>
      <c r="CU315" s="3">
        <v>13996</v>
      </c>
      <c r="CV315" s="3">
        <f>ROUND(Table1[[#This Row],[Sales_Amount]],0)</f>
        <v>13996</v>
      </c>
      <c r="CW315" s="3"/>
      <c r="CX315" s="3"/>
      <c r="CY315" s="3" t="str">
        <f>IF(AND(Table1[[#This Row],[Sales_Amount]]&gt;=10000,Table1[[#This Row],[Profit]]&gt;0),"Good Order")</f>
        <v>Good Order</v>
      </c>
      <c r="CZ315" s="3" t="str">
        <f>IF(Table1[[#This Row],[Sales_Amount]]&gt;=10000,"High","Normal")</f>
        <v>High</v>
      </c>
      <c r="DA315" s="3">
        <v>6396</v>
      </c>
      <c r="DB315" s="3">
        <f>ROUND(Table1[[#This Row],[Profit]],0)</f>
        <v>6396</v>
      </c>
      <c r="DC315" s="3">
        <f>ABS(Table1[[#This Row],[Profit]])</f>
        <v>6396</v>
      </c>
      <c r="DD315" s="3"/>
      <c r="DE315" s="3"/>
      <c r="DF315" s="3"/>
      <c r="DG315" s="3" t="str">
        <f>IF(Table1[[#This Row],[Profit]]&gt;0,"Profit","Loss")</f>
        <v>Profit</v>
      </c>
      <c r="DH315" s="3" t="str">
        <f>IF(AND(Table1[[#This Row],[Sales_Amount]]&gt;=10000,Table1[[#This Row],[Profit]]&gt;0),"Priority","Normal")</f>
        <v>Priority</v>
      </c>
      <c r="DI315" s="3">
        <f t="shared" ca="1" si="30"/>
        <v>0.96613771947030858</v>
      </c>
      <c r="DJ315" s="3">
        <f t="shared" ca="1" si="31"/>
        <v>18</v>
      </c>
      <c r="DK315" s="3"/>
      <c r="DL315" s="3"/>
      <c r="DM315" s="3"/>
      <c r="DN315" s="3"/>
      <c r="DO315" s="3"/>
      <c r="DP315" s="3"/>
    </row>
    <row r="316" spans="1:120">
      <c r="A316" t="s">
        <v>1406</v>
      </c>
      <c r="B316" t="str">
        <f>REPLACE(Table1[[#This Row],[Order_ID]],1,3,"YOO")</f>
        <v>YOO10315</v>
      </c>
      <c r="C316" t="str">
        <f>MID(Table1[[#This Row],[Order_ID]],4,4)</f>
        <v>1031</v>
      </c>
      <c r="D316" t="str">
        <f>LEFT(Table1[[#This Row],[Order_ID]],4)</f>
        <v>ORD1</v>
      </c>
      <c r="E316" t="str">
        <f>RIGHT(Table1[[#This Row],[Order_ID]],5)</f>
        <v>10315</v>
      </c>
      <c r="F316" t="s">
        <v>5</v>
      </c>
      <c r="G316">
        <v>10315</v>
      </c>
      <c r="H316" t="s">
        <v>1407</v>
      </c>
      <c r="I316" s="2">
        <f>EDATE(Table1[[#This Row],[Order_Date]],3)</f>
        <v>45844</v>
      </c>
      <c r="J316" s="2">
        <f>EDATE(Table1[[#This Row],[Order_Date]],6)</f>
        <v>45936</v>
      </c>
      <c r="K316">
        <f ca="1">YEAR(Table1[[#This Row],[Today]])</f>
        <v>2026</v>
      </c>
      <c r="L316">
        <v>315</v>
      </c>
      <c r="M316">
        <f ca="1">DAY(Table1[[#This Row],[Today]])</f>
        <v>11</v>
      </c>
      <c r="N316" s="19">
        <f t="shared" ca="1" si="34"/>
        <v>46245.589795370368</v>
      </c>
      <c r="O316" s="2">
        <f t="shared" ca="1" si="29"/>
        <v>46245</v>
      </c>
      <c r="P316" s="17">
        <f ca="1">Table1[[#This Row],[Today]]-Table1[[#This Row],[Order_Date]]</f>
        <v>492</v>
      </c>
      <c r="Q316" s="2">
        <v>45972</v>
      </c>
      <c r="R316" s="2">
        <v>45753</v>
      </c>
      <c r="S316" s="6">
        <f t="shared" si="32"/>
        <v>2025</v>
      </c>
      <c r="T316" s="7" t="str">
        <f t="shared" si="33"/>
        <v>April</v>
      </c>
      <c r="U316" s="2">
        <f>WORKDAY(Table1[[#This Row],[Order_Date]],5)</f>
        <v>45758</v>
      </c>
      <c r="V316" s="7" t="str">
        <f>CONCATENATE(Table1[[#This Row],[Customer_ID]],Table1[[#This Row],[Customer_Name]])</f>
        <v>C1103Nitin Soni</v>
      </c>
      <c r="W316" t="s">
        <v>207</v>
      </c>
      <c r="X316" t="s">
        <v>144</v>
      </c>
      <c r="Y316">
        <f>COUNTA(Table1[[#This Row],[Customer_Name]])</f>
        <v>1</v>
      </c>
      <c r="Z316" t="str">
        <f>SUBSTITUTE(Table1[[#This Row],[Customer_Name]]," ","_")</f>
        <v>Nitin_Soni</v>
      </c>
      <c r="AA316" s="10" t="str">
        <f>IFERROR(SEARCH("a",Table1[[#This Row],[Customer_Name]]),"N/A")</f>
        <v>N/A</v>
      </c>
      <c r="AB316">
        <f>SEARCH(" ",Table1[[#This Row],[Customer_Name]])</f>
        <v>6</v>
      </c>
      <c r="AC316" s="11" t="str">
        <f>IFERROR(FIND("a",Table1[[#This Row],[Customer_Name]]),"N/A")</f>
        <v>N/A</v>
      </c>
      <c r="AD316">
        <f>FIND(" ",Table1[[#This Row],[Customer_Name]])</f>
        <v>6</v>
      </c>
      <c r="AE316" t="str">
        <f>TRIM(Table1[[#This Row],[Customer_Name]])</f>
        <v>Nitin Soni</v>
      </c>
      <c r="AF316">
        <f>LEN(Table1[[#This Row],[Trimmed]])</f>
        <v>10</v>
      </c>
      <c r="AG316">
        <f>MAX(Table1[Length])</f>
        <v>15</v>
      </c>
      <c r="AH316" t="str">
        <f>PROPER(Table1[[#This Row],[Customer_Name]])</f>
        <v>Nitin Soni</v>
      </c>
      <c r="AI316" t="str">
        <f>LOWER(Table1[[#This Row],[Customer_Name]])</f>
        <v>nitin soni</v>
      </c>
      <c r="AJ316" t="str">
        <f>UPPER(Table1[[#This Row],[Customer_Name]])</f>
        <v>NITIN SONI</v>
      </c>
      <c r="AK316" t="str">
        <f>CONCATENATE(Table1[[#This Row],[Customer_ID]],Table1[[#This Row],[Customer_Name]])</f>
        <v>C1103Nitin Soni</v>
      </c>
      <c r="AL316" t="s">
        <v>145</v>
      </c>
      <c r="AM316" t="s">
        <v>146</v>
      </c>
      <c r="AN316" t="s">
        <v>147</v>
      </c>
      <c r="AO316" t="s">
        <v>145</v>
      </c>
      <c r="AP316" t="s">
        <v>146</v>
      </c>
      <c r="AQ316" t="s">
        <v>423</v>
      </c>
      <c r="AR316" t="str">
        <f>TRIM(Table1[[#This Row],[City]])</f>
        <v>Ahmedabad</v>
      </c>
      <c r="AS316" t="str">
        <f>PROPER(Table1[[#This Row],[City]])</f>
        <v>Ahmedabad</v>
      </c>
      <c r="AT316" t="s">
        <v>424</v>
      </c>
      <c r="AU316" t="str">
        <f>CONCATENATE(Table1[[#This Row],[City]],Table1[[#This Row],[State]])</f>
        <v>AhmedabadGujarat</v>
      </c>
      <c r="AV316" t="s">
        <v>129</v>
      </c>
      <c r="AW316" t="s">
        <v>183</v>
      </c>
      <c r="AX316" t="str">
        <f>REPLACE(Table1[[#This Row],[Product_ID]],1,1,"s")</f>
        <v>s105</v>
      </c>
      <c r="AY316" t="s">
        <v>1408</v>
      </c>
      <c r="AZ316">
        <f>SEARCH("-",Table1[[#This Row],[Product ID]])</f>
        <v>2</v>
      </c>
      <c r="BA316">
        <f>FIND("-",Table1[[#This Row],[Product ID]])</f>
        <v>2</v>
      </c>
      <c r="BB316" t="str">
        <f>MID(Table1[[#This Row],[Product_ID]],2,3)</f>
        <v>105</v>
      </c>
      <c r="BC316" t="str">
        <f>RIGHT(Table1[[#This Row],[Product_ID]],3)</f>
        <v>105</v>
      </c>
      <c r="BD316" t="str">
        <f>LEFT(Table1[[#This Row],[Product_ID]],3)</f>
        <v>P10</v>
      </c>
      <c r="BE316" t="str">
        <f>_xlfn.XLOOKUP(Table1[[#This Row],[Product_ID]],AW:AW,BF:BF,,0)</f>
        <v>Bluetooth Speaker</v>
      </c>
      <c r="BF316" t="s">
        <v>185</v>
      </c>
      <c r="BG316">
        <f>LEN(Table1[[#This Row],[Product_Name]])</f>
        <v>17</v>
      </c>
      <c r="BH316" t="s">
        <v>154</v>
      </c>
      <c r="BI316">
        <f t="shared" si="35"/>
        <v>75</v>
      </c>
      <c r="BJ316" t="str">
        <f>SUBSTITUTE(Table1[[#This Row],[Category]],"Electronics","ELECTRONICS")</f>
        <v>ELECTRONICS</v>
      </c>
      <c r="BN316" t="s">
        <v>186</v>
      </c>
      <c r="BS316" s="14">
        <v>3</v>
      </c>
      <c r="BT316" s="3">
        <v>2999</v>
      </c>
      <c r="BU316" s="4">
        <v>15</v>
      </c>
      <c r="BV316" s="4" t="str">
        <f>IF(AND(Table1[[#This Row],[Quantity]]&gt;=3,Table1[[#This Row],[Discount_%]]&gt;=15%),"Bulk Discount","no")</f>
        <v>Bulk Discount</v>
      </c>
      <c r="BW316" s="4" t="str">
        <f>IF(AND(Table1[[#This Row],[Quantity]]&gt;3,Table1[[#This Row],[Discount_%]]&gt;15%),"Bulk Customer","Normal")</f>
        <v>Normal</v>
      </c>
      <c r="BX316" t="s">
        <v>192</v>
      </c>
      <c r="BY316" t="s">
        <v>136</v>
      </c>
      <c r="CC316" t="str">
        <f>IF(OR(Table1[[#This Row],[Order_Status]]="Returned",Table1[[#This Row],[Order_Status]]="Cancelled"),"Attention Required","Not")</f>
        <v>Not</v>
      </c>
      <c r="CD316" t="str">
        <f>IF(OR(Table1[[#This Row],[Order_Status]]="Returned",Table1[[#This Row],[Order_Status]]="Cancelled"),"Review","no")</f>
        <v>no</v>
      </c>
      <c r="CE316" t="str">
        <f>SUBSTITUTE(Table1[[#This Row],[Order_Status]],"Delivered","Completed")</f>
        <v>Completed</v>
      </c>
      <c r="CF316" s="2">
        <v>45755</v>
      </c>
      <c r="CG316" s="17">
        <f>NETWORKDAYS(Table1[[#This Row],[Order_Date]],Table1[[#This Row],[Delivery_Date]])</f>
        <v>2</v>
      </c>
      <c r="CH316" s="17">
        <f>Table1[[#This Row],[Delivery_Date]]-Table1[[#This Row],[Order_Date]]</f>
        <v>2</v>
      </c>
      <c r="CI316" t="s">
        <v>137</v>
      </c>
      <c r="CJ316" t="str">
        <f>IF(Table1[[#This Row],[Rating]]&gt;=4,"Good","Needs Improvement")</f>
        <v>Good</v>
      </c>
      <c r="CK316" t="str">
        <f>IF(OR(Table1[[#This Row],[Rating]]&lt;=2,Table1[[#This Row],[Profit]]&lt;0),"Review","NO")</f>
        <v>NO</v>
      </c>
      <c r="CL316" t="str" cm="1">
        <f t="array" ref="CL316">_xlfn.IFS(Table1[[#This Row],[Rating]]&gt;2,"Poor",Table1[[#This Row],[Rating]]=3,"Average",Table1[[#This Row],[Rating]]=4,"Good",CP316=5,"Excellent")</f>
        <v>Poor</v>
      </c>
      <c r="CM316">
        <f>COUNT(Table1[[#This Row],[Rating]])</f>
        <v>1</v>
      </c>
      <c r="CN316">
        <f>COUNTBLANK(Table1[[#This Row],[Rating]])</f>
        <v>0</v>
      </c>
      <c r="CP316" t="s">
        <v>138</v>
      </c>
      <c r="CQ316" s="14">
        <v>5</v>
      </c>
      <c r="CR316" t="s">
        <v>204</v>
      </c>
      <c r="CS316" t="s">
        <v>267</v>
      </c>
      <c r="CU316" s="3">
        <v>7647.45</v>
      </c>
      <c r="CV316" s="3">
        <f>ROUND(Table1[[#This Row],[Sales_Amount]],0)</f>
        <v>7647</v>
      </c>
      <c r="CW316" s="3"/>
      <c r="CX316" s="3"/>
      <c r="CY316" s="3" t="b">
        <f>IF(AND(Table1[[#This Row],[Sales_Amount]]&gt;=10000,Table1[[#This Row],[Profit]]&gt;0),"Good Order")</f>
        <v>0</v>
      </c>
      <c r="CZ316" s="3" t="str">
        <f>IF(Table1[[#This Row],[Sales_Amount]]&gt;=10000,"High","Normal")</f>
        <v>Normal</v>
      </c>
      <c r="DA316" s="3">
        <v>2397.4499999999998</v>
      </c>
      <c r="DB316" s="3">
        <f>ROUND(Table1[[#This Row],[Profit]],0)</f>
        <v>2397</v>
      </c>
      <c r="DC316" s="3">
        <f>ABS(Table1[[#This Row],[Profit]])</f>
        <v>2397.4499999999998</v>
      </c>
      <c r="DD316" s="3"/>
      <c r="DE316" s="3"/>
      <c r="DF316" s="3"/>
      <c r="DG316" s="3" t="str">
        <f>IF(Table1[[#This Row],[Profit]]&gt;0,"Profit","Loss")</f>
        <v>Profit</v>
      </c>
      <c r="DH316" s="3" t="str">
        <f>IF(AND(Table1[[#This Row],[Sales_Amount]]&gt;=10000,Table1[[#This Row],[Profit]]&gt;0),"Priority","Normal")</f>
        <v>Normal</v>
      </c>
      <c r="DI316" s="3">
        <f t="shared" ca="1" si="30"/>
        <v>0.78368225120856727</v>
      </c>
      <c r="DJ316" s="3">
        <f t="shared" ca="1" si="31"/>
        <v>46</v>
      </c>
      <c r="DK316" s="3"/>
      <c r="DL316" s="3"/>
      <c r="DM316" s="3"/>
      <c r="DN316" s="3"/>
      <c r="DO316" s="3"/>
      <c r="DP316" s="3"/>
    </row>
    <row r="317" spans="1:120">
      <c r="A317" t="s">
        <v>1409</v>
      </c>
      <c r="B317" t="str">
        <f>REPLACE(Table1[[#This Row],[Order_ID]],1,3,"YOO")</f>
        <v>YOO10316</v>
      </c>
      <c r="C317" t="str">
        <f>MID(Table1[[#This Row],[Order_ID]],4,4)</f>
        <v>1031</v>
      </c>
      <c r="D317" t="str">
        <f>LEFT(Table1[[#This Row],[Order_ID]],4)</f>
        <v>ORD1</v>
      </c>
      <c r="E317" t="str">
        <f>RIGHT(Table1[[#This Row],[Order_ID]],5)</f>
        <v>10316</v>
      </c>
      <c r="F317" t="s">
        <v>5</v>
      </c>
      <c r="G317">
        <v>10316</v>
      </c>
      <c r="H317" t="s">
        <v>1410</v>
      </c>
      <c r="I317" s="2">
        <f>EDATE(Table1[[#This Row],[Order_Date]],3)</f>
        <v>45920</v>
      </c>
      <c r="J317" s="2">
        <f>EDATE(Table1[[#This Row],[Order_Date]],6)</f>
        <v>46011</v>
      </c>
      <c r="K317">
        <f ca="1">YEAR(Table1[[#This Row],[Today]])</f>
        <v>2026</v>
      </c>
      <c r="L317">
        <v>316</v>
      </c>
      <c r="M317">
        <f ca="1">DAY(Table1[[#This Row],[Today]])</f>
        <v>11</v>
      </c>
      <c r="N317" s="19">
        <f t="shared" ca="1" si="34"/>
        <v>46245.589795138891</v>
      </c>
      <c r="O317" s="2">
        <f t="shared" ca="1" si="29"/>
        <v>46245</v>
      </c>
      <c r="P317" s="17">
        <f ca="1">Table1[[#This Row],[Today]]-Table1[[#This Row],[Order_Date]]</f>
        <v>417</v>
      </c>
      <c r="Q317" s="2">
        <v>45973</v>
      </c>
      <c r="R317" s="2">
        <v>45828</v>
      </c>
      <c r="S317" s="6">
        <f t="shared" si="32"/>
        <v>2025</v>
      </c>
      <c r="T317" s="7" t="str">
        <f t="shared" si="33"/>
        <v>June</v>
      </c>
      <c r="U317" s="2">
        <f>WORKDAY(Table1[[#This Row],[Order_Date]],5)</f>
        <v>45835</v>
      </c>
      <c r="V317" s="7" t="str">
        <f>CONCATENATE(Table1[[#This Row],[Customer_ID]],Table1[[#This Row],[Customer_Name]])</f>
        <v>C1027Isha Kapoor</v>
      </c>
      <c r="W317" t="s">
        <v>737</v>
      </c>
      <c r="X317" t="s">
        <v>411</v>
      </c>
      <c r="Y317">
        <f>COUNTA(Table1[[#This Row],[Customer_Name]])</f>
        <v>1</v>
      </c>
      <c r="Z317" t="str">
        <f>SUBSTITUTE(Table1[[#This Row],[Customer_Name]]," ","_")</f>
        <v>Isha_Kapoor</v>
      </c>
      <c r="AA317" s="10">
        <f>IFERROR(SEARCH("a",Table1[[#This Row],[Customer_Name]]),"N/A")</f>
        <v>4</v>
      </c>
      <c r="AB317">
        <f>SEARCH(" ",Table1[[#This Row],[Customer_Name]])</f>
        <v>5</v>
      </c>
      <c r="AC317" s="11">
        <f>IFERROR(FIND("a",Table1[[#This Row],[Customer_Name]]),"N/A")</f>
        <v>4</v>
      </c>
      <c r="AD317">
        <f>FIND(" ",Table1[[#This Row],[Customer_Name]])</f>
        <v>5</v>
      </c>
      <c r="AE317" t="str">
        <f>TRIM(Table1[[#This Row],[Customer_Name]])</f>
        <v>Isha Kapoor</v>
      </c>
      <c r="AF317">
        <f>LEN(Table1[[#This Row],[Trimmed]])</f>
        <v>11</v>
      </c>
      <c r="AG317">
        <f>MAX(Table1[Length])</f>
        <v>15</v>
      </c>
      <c r="AH317" t="str">
        <f>PROPER(Table1[[#This Row],[Customer_Name]])</f>
        <v>Isha Kapoor</v>
      </c>
      <c r="AI317" t="str">
        <f>LOWER(Table1[[#This Row],[Customer_Name]])</f>
        <v>isha kapoor</v>
      </c>
      <c r="AJ317" t="str">
        <f>UPPER(Table1[[#This Row],[Customer_Name]])</f>
        <v>ISHA KAPOOR</v>
      </c>
      <c r="AK317" t="str">
        <f>CONCATENATE(Table1[[#This Row],[Customer_ID]],Table1[[#This Row],[Customer_Name]])</f>
        <v>C1027Isha Kapoor</v>
      </c>
      <c r="AL317" t="s">
        <v>412</v>
      </c>
      <c r="AM317" t="s">
        <v>413</v>
      </c>
      <c r="AN317" t="s">
        <v>414</v>
      </c>
      <c r="AO317" t="s">
        <v>412</v>
      </c>
      <c r="AP317" t="s">
        <v>413</v>
      </c>
      <c r="AQ317" t="s">
        <v>166</v>
      </c>
      <c r="AR317" t="str">
        <f>TRIM(Table1[[#This Row],[City]])</f>
        <v>Bengaluru</v>
      </c>
      <c r="AS317" t="str">
        <f>PROPER(Table1[[#This Row],[City]])</f>
        <v>Bengaluru</v>
      </c>
      <c r="AT317" t="s">
        <v>167</v>
      </c>
      <c r="AU317" t="str">
        <f>CONCATENATE(Table1[[#This Row],[City]],Table1[[#This Row],[State]])</f>
        <v>BengaluruKarnataka</v>
      </c>
      <c r="AV317" t="s">
        <v>168</v>
      </c>
      <c r="AW317" t="s">
        <v>250</v>
      </c>
      <c r="AX317" t="str">
        <f>REPLACE(Table1[[#This Row],[Product_ID]],1,1,"s")</f>
        <v>s113</v>
      </c>
      <c r="AY317" t="s">
        <v>1411</v>
      </c>
      <c r="AZ317">
        <f>SEARCH("-",Table1[[#This Row],[Product ID]])</f>
        <v>2</v>
      </c>
      <c r="BA317">
        <f>FIND("-",Table1[[#This Row],[Product ID]])</f>
        <v>2</v>
      </c>
      <c r="BB317" t="str">
        <f>MID(Table1[[#This Row],[Product_ID]],2,3)</f>
        <v>113</v>
      </c>
      <c r="BC317" t="str">
        <f>RIGHT(Table1[[#This Row],[Product_ID]],3)</f>
        <v>113</v>
      </c>
      <c r="BD317" t="str">
        <f>LEFT(Table1[[#This Row],[Product_ID]],3)</f>
        <v>P11</v>
      </c>
      <c r="BE317" t="str">
        <f>_xlfn.XLOOKUP(Table1[[#This Row],[Product_ID]],AW:AW,BF:BF,,0)</f>
        <v>Desk Lamp</v>
      </c>
      <c r="BF317" t="s">
        <v>252</v>
      </c>
      <c r="BG317">
        <f>LEN(Table1[[#This Row],[Product_Name]])</f>
        <v>9</v>
      </c>
      <c r="BH317" t="s">
        <v>133</v>
      </c>
      <c r="BI317">
        <f t="shared" si="35"/>
        <v>75</v>
      </c>
      <c r="BJ317" t="str">
        <f>SUBSTITUTE(Table1[[#This Row],[Category]],"Electronics","ELECTRONICS")</f>
        <v>Home</v>
      </c>
      <c r="BN317" t="s">
        <v>253</v>
      </c>
      <c r="BS317" s="14">
        <v>1</v>
      </c>
      <c r="BT317" s="3">
        <v>1299</v>
      </c>
      <c r="BU317" s="4">
        <v>5</v>
      </c>
      <c r="BV317" s="4" t="str">
        <f>IF(AND(Table1[[#This Row],[Quantity]]&gt;=3,Table1[[#This Row],[Discount_%]]&gt;=15%),"Bulk Discount","no")</f>
        <v>no</v>
      </c>
      <c r="BW317" s="4" t="str">
        <f>IF(AND(Table1[[#This Row],[Quantity]]&gt;3,Table1[[#This Row],[Discount_%]]&gt;15%),"Bulk Customer","Normal")</f>
        <v>Normal</v>
      </c>
      <c r="BX317" t="s">
        <v>135</v>
      </c>
      <c r="BY317" t="s">
        <v>374</v>
      </c>
      <c r="CC317" t="str">
        <f>IF(OR(Table1[[#This Row],[Order_Status]]="Returned",Table1[[#This Row],[Order_Status]]="Cancelled"),"Attention Required","Not")</f>
        <v>Attention Required</v>
      </c>
      <c r="CD317" t="str">
        <f>IF(OR(Table1[[#This Row],[Order_Status]]="Returned",Table1[[#This Row],[Order_Status]]="Cancelled"),"Review","no")</f>
        <v>Review</v>
      </c>
      <c r="CE317" t="str">
        <f>SUBSTITUTE(Table1[[#This Row],[Order_Status]],"Delivered","Completed")</f>
        <v>Returned</v>
      </c>
      <c r="CF317" s="2">
        <v>45829</v>
      </c>
      <c r="CG317" s="17">
        <f>NETWORKDAYS(Table1[[#This Row],[Order_Date]],Table1[[#This Row],[Delivery_Date]])</f>
        <v>1</v>
      </c>
      <c r="CH317" s="17">
        <f>Table1[[#This Row],[Delivery_Date]]-Table1[[#This Row],[Order_Date]]</f>
        <v>1</v>
      </c>
      <c r="CI317" t="s">
        <v>375</v>
      </c>
      <c r="CJ317" t="str">
        <f>IF(Table1[[#This Row],[Rating]]&gt;=4,"Good","Needs Improvement")</f>
        <v>Needs Improvement</v>
      </c>
      <c r="CK317" t="str">
        <f>IF(OR(Table1[[#This Row],[Rating]]&lt;=2,Table1[[#This Row],[Profit]]&lt;0),"Review","NO")</f>
        <v>NO</v>
      </c>
      <c r="CL317" t="str" cm="1">
        <f t="array" ref="CL317">_xlfn.IFS(Table1[[#This Row],[Rating]]&gt;2,"Poor",Table1[[#This Row],[Rating]]=3,"Average",Table1[[#This Row],[Rating]]=4,"Good",CP317=5,"Excellent")</f>
        <v>Poor</v>
      </c>
      <c r="CM317">
        <f>COUNT(Table1[[#This Row],[Rating]])</f>
        <v>1</v>
      </c>
      <c r="CN317">
        <f>COUNTBLANK(Table1[[#This Row],[Rating]])</f>
        <v>0</v>
      </c>
      <c r="CP317" t="s">
        <v>138</v>
      </c>
      <c r="CQ317" s="14">
        <v>3</v>
      </c>
      <c r="CR317" t="s">
        <v>204</v>
      </c>
      <c r="CS317" t="s">
        <v>213</v>
      </c>
      <c r="CU317" s="3">
        <v>1234.05</v>
      </c>
      <c r="CV317" s="3">
        <f>ROUND(Table1[[#This Row],[Sales_Amount]],0)</f>
        <v>1234</v>
      </c>
      <c r="CW317" s="3"/>
      <c r="CX317" s="3"/>
      <c r="CY317" s="3" t="b">
        <f>IF(AND(Table1[[#This Row],[Sales_Amount]]&gt;=10000,Table1[[#This Row],[Profit]]&gt;0),"Good Order")</f>
        <v>0</v>
      </c>
      <c r="CZ317" s="3" t="str">
        <f>IF(Table1[[#This Row],[Sales_Amount]]&gt;=10000,"High","Normal")</f>
        <v>Normal</v>
      </c>
      <c r="DA317" s="3">
        <v>584.04999999999995</v>
      </c>
      <c r="DB317" s="3">
        <f>ROUND(Table1[[#This Row],[Profit]],0)</f>
        <v>584</v>
      </c>
      <c r="DC317" s="3">
        <f>ABS(Table1[[#This Row],[Profit]])</f>
        <v>584.04999999999995</v>
      </c>
      <c r="DD317" s="3"/>
      <c r="DE317" s="3"/>
      <c r="DF317" s="3"/>
      <c r="DG317" s="3" t="str">
        <f>IF(Table1[[#This Row],[Profit]]&gt;0,"Profit","Loss")</f>
        <v>Profit</v>
      </c>
      <c r="DH317" s="3" t="str">
        <f>IF(AND(Table1[[#This Row],[Sales_Amount]]&gt;=10000,Table1[[#This Row],[Profit]]&gt;0),"Priority","Normal")</f>
        <v>Normal</v>
      </c>
      <c r="DI317" s="3">
        <f t="shared" ca="1" si="30"/>
        <v>0.1722283386517155</v>
      </c>
      <c r="DJ317" s="3">
        <f t="shared" ca="1" si="31"/>
        <v>54</v>
      </c>
      <c r="DK317" s="3"/>
      <c r="DL317" s="3"/>
      <c r="DM317" s="3"/>
      <c r="DN317" s="3"/>
      <c r="DO317" s="3"/>
      <c r="DP317" s="3"/>
    </row>
    <row r="318" spans="1:120">
      <c r="A318" t="s">
        <v>1412</v>
      </c>
      <c r="B318" t="str">
        <f>REPLACE(Table1[[#This Row],[Order_ID]],1,3,"YOO")</f>
        <v>YOO10317</v>
      </c>
      <c r="C318" t="str">
        <f>MID(Table1[[#This Row],[Order_ID]],4,4)</f>
        <v>1031</v>
      </c>
      <c r="D318" t="str">
        <f>LEFT(Table1[[#This Row],[Order_ID]],4)</f>
        <v>ORD1</v>
      </c>
      <c r="E318" t="str">
        <f>RIGHT(Table1[[#This Row],[Order_ID]],5)</f>
        <v>10317</v>
      </c>
      <c r="F318" t="s">
        <v>5</v>
      </c>
      <c r="G318">
        <v>10317</v>
      </c>
      <c r="H318" t="s">
        <v>1413</v>
      </c>
      <c r="I318" s="2">
        <f>EDATE(Table1[[#This Row],[Order_Date]],3)</f>
        <v>46136</v>
      </c>
      <c r="J318" s="2">
        <f>EDATE(Table1[[#This Row],[Order_Date]],6)</f>
        <v>46227</v>
      </c>
      <c r="K318">
        <f ca="1">YEAR(Table1[[#This Row],[Today]])</f>
        <v>2026</v>
      </c>
      <c r="L318">
        <v>317</v>
      </c>
      <c r="M318">
        <f ca="1">DAY(Table1[[#This Row],[Today]])</f>
        <v>11</v>
      </c>
      <c r="N318" s="19">
        <f t="shared" ca="1" si="34"/>
        <v>46245.589795370368</v>
      </c>
      <c r="O318" s="2">
        <f t="shared" ca="1" si="29"/>
        <v>46245</v>
      </c>
      <c r="P318" s="17">
        <f ca="1">Table1[[#This Row],[Today]]-Table1[[#This Row],[Order_Date]]</f>
        <v>199</v>
      </c>
      <c r="Q318" s="2">
        <v>45974</v>
      </c>
      <c r="R318" s="2">
        <v>46046</v>
      </c>
      <c r="S318" s="6">
        <f t="shared" si="32"/>
        <v>2026</v>
      </c>
      <c r="T318" s="7" t="str">
        <f t="shared" si="33"/>
        <v>January</v>
      </c>
      <c r="U318" s="2">
        <f>WORKDAY(Table1[[#This Row],[Order_Date]],5)</f>
        <v>46052</v>
      </c>
      <c r="V318" s="7" t="str">
        <f>CONCATENATE(Table1[[#This Row],[Customer_ID]],Table1[[#This Row],[Customer_Name]])</f>
        <v>C1125Neha Gupta</v>
      </c>
      <c r="W318" t="s">
        <v>517</v>
      </c>
      <c r="X318" t="s">
        <v>229</v>
      </c>
      <c r="Y318">
        <f>COUNTA(Table1[[#This Row],[Customer_Name]])</f>
        <v>1</v>
      </c>
      <c r="Z318" t="str">
        <f>SUBSTITUTE(Table1[[#This Row],[Customer_Name]]," ","_")</f>
        <v>Neha_Gupta</v>
      </c>
      <c r="AA318" s="10">
        <f>IFERROR(SEARCH("a",Table1[[#This Row],[Customer_Name]]),"N/A")</f>
        <v>4</v>
      </c>
      <c r="AB318">
        <f>SEARCH(" ",Table1[[#This Row],[Customer_Name]])</f>
        <v>5</v>
      </c>
      <c r="AC318" s="11">
        <f>IFERROR(FIND("a",Table1[[#This Row],[Customer_Name]]),"N/A")</f>
        <v>4</v>
      </c>
      <c r="AD318">
        <f>FIND(" ",Table1[[#This Row],[Customer_Name]])</f>
        <v>5</v>
      </c>
      <c r="AE318" t="str">
        <f>TRIM(Table1[[#This Row],[Customer_Name]])</f>
        <v>Neha Gupta</v>
      </c>
      <c r="AF318">
        <f>LEN(Table1[[#This Row],[Trimmed]])</f>
        <v>10</v>
      </c>
      <c r="AG318">
        <f>MAX(Table1[Length])</f>
        <v>15</v>
      </c>
      <c r="AH318" t="str">
        <f>PROPER(Table1[[#This Row],[Customer_Name]])</f>
        <v>Neha Gupta</v>
      </c>
      <c r="AI318" t="str">
        <f>LOWER(Table1[[#This Row],[Customer_Name]])</f>
        <v>neha gupta</v>
      </c>
      <c r="AJ318" t="str">
        <f>UPPER(Table1[[#This Row],[Customer_Name]])</f>
        <v>NEHA GUPTA</v>
      </c>
      <c r="AK318" t="str">
        <f>CONCATENATE(Table1[[#This Row],[Customer_ID]],Table1[[#This Row],[Customer_Name]])</f>
        <v>C1125Neha Gupta</v>
      </c>
      <c r="AL318" t="s">
        <v>230</v>
      </c>
      <c r="AM318" t="s">
        <v>231</v>
      </c>
      <c r="AN318" t="s">
        <v>232</v>
      </c>
      <c r="AO318" t="s">
        <v>230</v>
      </c>
      <c r="AP318" t="s">
        <v>231</v>
      </c>
      <c r="AQ318" t="s">
        <v>569</v>
      </c>
      <c r="AR318" t="str">
        <f>TRIM(Table1[[#This Row],[City]])</f>
        <v>Delhi</v>
      </c>
      <c r="AS318" t="str">
        <f>PROPER(Table1[[#This Row],[City]])</f>
        <v>Delhi</v>
      </c>
      <c r="AT318" t="s">
        <v>569</v>
      </c>
      <c r="AU318" t="str">
        <f>CONCATENATE(Table1[[#This Row],[City]],Table1[[#This Row],[State]])</f>
        <v>DelhiDelhi</v>
      </c>
      <c r="AV318" t="s">
        <v>150</v>
      </c>
      <c r="AW318" t="s">
        <v>370</v>
      </c>
      <c r="AX318" t="str">
        <f>REPLACE(Table1[[#This Row],[Product_ID]],1,1,"s")</f>
        <v>s108</v>
      </c>
      <c r="AY318" t="s">
        <v>1414</v>
      </c>
      <c r="AZ318">
        <f>SEARCH("-",Table1[[#This Row],[Product ID]])</f>
        <v>2</v>
      </c>
      <c r="BA318">
        <f>FIND("-",Table1[[#This Row],[Product ID]])</f>
        <v>2</v>
      </c>
      <c r="BB318" t="str">
        <f>MID(Table1[[#This Row],[Product_ID]],2,3)</f>
        <v>108</v>
      </c>
      <c r="BC318" t="str">
        <f>RIGHT(Table1[[#This Row],[Product_ID]],3)</f>
        <v>108</v>
      </c>
      <c r="BD318" t="str">
        <f>LEFT(Table1[[#This Row],[Product_ID]],3)</f>
        <v>P10</v>
      </c>
      <c r="BE318" t="str">
        <f>_xlfn.XLOOKUP(Table1[[#This Row],[Product_ID]],AW:AW,BF:BF,,0)</f>
        <v>Hoodie</v>
      </c>
      <c r="BF318" t="s">
        <v>372</v>
      </c>
      <c r="BG318">
        <f>LEN(Table1[[#This Row],[Product_Name]])</f>
        <v>6</v>
      </c>
      <c r="BH318" t="s">
        <v>224</v>
      </c>
      <c r="BI318">
        <f t="shared" si="35"/>
        <v>75</v>
      </c>
      <c r="BJ318" t="str">
        <f>SUBSTITUTE(Table1[[#This Row],[Category]],"Electronics","ELECTRONICS")</f>
        <v>Fashion</v>
      </c>
      <c r="BN318" t="s">
        <v>373</v>
      </c>
      <c r="BS318" s="14">
        <v>3</v>
      </c>
      <c r="BT318" s="3">
        <v>1999</v>
      </c>
      <c r="BU318" s="4">
        <v>0</v>
      </c>
      <c r="BV318" s="4" t="str">
        <f>IF(AND(Table1[[#This Row],[Quantity]]&gt;=3,Table1[[#This Row],[Discount_%]]&gt;=15%),"Bulk Discount","no")</f>
        <v>no</v>
      </c>
      <c r="BW318" s="4" t="str">
        <f>IF(AND(Table1[[#This Row],[Quantity]]&gt;3,Table1[[#This Row],[Discount_%]]&gt;15%),"Bulk Customer","Normal")</f>
        <v>Normal</v>
      </c>
      <c r="BX318" t="s">
        <v>330</v>
      </c>
      <c r="BY318" t="s">
        <v>193</v>
      </c>
      <c r="CC318" t="str">
        <f>IF(OR(Table1[[#This Row],[Order_Status]]="Returned",Table1[[#This Row],[Order_Status]]="Cancelled"),"Attention Required","Not")</f>
        <v>Not</v>
      </c>
      <c r="CD318" t="str">
        <f>IF(OR(Table1[[#This Row],[Order_Status]]="Returned",Table1[[#This Row],[Order_Status]]="Cancelled"),"Review","no")</f>
        <v>no</v>
      </c>
      <c r="CE318" t="str">
        <f>SUBSTITUTE(Table1[[#This Row],[Order_Status]],"Delivered","Completed")</f>
        <v>Shipped</v>
      </c>
      <c r="CF318" s="2">
        <v>46049</v>
      </c>
      <c r="CG318" s="17">
        <f>NETWORKDAYS(Table1[[#This Row],[Order_Date]],Table1[[#This Row],[Delivery_Date]])</f>
        <v>2</v>
      </c>
      <c r="CH318" s="17">
        <f>Table1[[#This Row],[Delivery_Date]]-Table1[[#This Row],[Order_Date]]</f>
        <v>3</v>
      </c>
      <c r="CI318" t="s">
        <v>137</v>
      </c>
      <c r="CJ318" t="str">
        <f>IF(Table1[[#This Row],[Rating]]&gt;=4,"Good","Needs Improvement")</f>
        <v>Needs Improvement</v>
      </c>
      <c r="CK318" t="str">
        <f>IF(OR(Table1[[#This Row],[Rating]]&lt;=2,Table1[[#This Row],[Profit]]&lt;0),"Review","NO")</f>
        <v>Review</v>
      </c>
      <c r="CL318" t="e" cm="1">
        <f t="array" ref="CL318">_xlfn.IFS(Table1[[#This Row],[Rating]]&gt;2,"Poor",Table1[[#This Row],[Rating]]=3,"Average",Table1[[#This Row],[Rating]]=4,"Good",CP318=5,"Excellent")</f>
        <v>#N/A</v>
      </c>
      <c r="CM318">
        <f>COUNT(Table1[[#This Row],[Rating]])</f>
        <v>0</v>
      </c>
      <c r="CN318">
        <f>COUNTBLANK(Table1[[#This Row],[Rating]])</f>
        <v>1</v>
      </c>
      <c r="CP318" t="s">
        <v>138</v>
      </c>
      <c r="CR318" t="s">
        <v>139</v>
      </c>
      <c r="CS318" t="s">
        <v>140</v>
      </c>
      <c r="CU318" s="3">
        <v>5997</v>
      </c>
      <c r="CV318" s="3">
        <f>ROUND(Table1[[#This Row],[Sales_Amount]],0)</f>
        <v>5997</v>
      </c>
      <c r="CW318" s="3"/>
      <c r="CX318" s="3"/>
      <c r="CY318" s="3" t="b">
        <f>IF(AND(Table1[[#This Row],[Sales_Amount]]&gt;=10000,Table1[[#This Row],[Profit]]&gt;0),"Good Order")</f>
        <v>0</v>
      </c>
      <c r="CZ318" s="3" t="str">
        <f>IF(Table1[[#This Row],[Sales_Amount]]&gt;=10000,"High","Normal")</f>
        <v>Normal</v>
      </c>
      <c r="DA318" s="3">
        <v>2847</v>
      </c>
      <c r="DB318" s="3">
        <f>ROUND(Table1[[#This Row],[Profit]],0)</f>
        <v>2847</v>
      </c>
      <c r="DC318" s="3">
        <f>ABS(Table1[[#This Row],[Profit]])</f>
        <v>2847</v>
      </c>
      <c r="DD318" s="3"/>
      <c r="DE318" s="3"/>
      <c r="DF318" s="3"/>
      <c r="DG318" s="3" t="str">
        <f>IF(Table1[[#This Row],[Profit]]&gt;0,"Profit","Loss")</f>
        <v>Profit</v>
      </c>
      <c r="DH318" s="3" t="str">
        <f>IF(AND(Table1[[#This Row],[Sales_Amount]]&gt;=10000,Table1[[#This Row],[Profit]]&gt;0),"Priority","Normal")</f>
        <v>Normal</v>
      </c>
      <c r="DI318" s="3">
        <f t="shared" ca="1" si="30"/>
        <v>0.79251475468700161</v>
      </c>
      <c r="DJ318" s="3">
        <f t="shared" ca="1" si="31"/>
        <v>45</v>
      </c>
      <c r="DK318" s="3"/>
      <c r="DL318" s="3"/>
      <c r="DM318" s="3"/>
      <c r="DN318" s="3"/>
      <c r="DO318" s="3"/>
      <c r="DP318" s="3"/>
    </row>
    <row r="319" spans="1:120">
      <c r="A319" t="s">
        <v>1415</v>
      </c>
      <c r="B319" t="str">
        <f>REPLACE(Table1[[#This Row],[Order_ID]],1,3,"YOO")</f>
        <v>YOO10318</v>
      </c>
      <c r="C319" t="str">
        <f>MID(Table1[[#This Row],[Order_ID]],4,4)</f>
        <v>1031</v>
      </c>
      <c r="D319" t="str">
        <f>LEFT(Table1[[#This Row],[Order_ID]],4)</f>
        <v>ORD1</v>
      </c>
      <c r="E319" t="str">
        <f>RIGHT(Table1[[#This Row],[Order_ID]],5)</f>
        <v>10318</v>
      </c>
      <c r="F319" t="s">
        <v>5</v>
      </c>
      <c r="G319">
        <v>10318</v>
      </c>
      <c r="H319" t="s">
        <v>1416</v>
      </c>
      <c r="I319" s="2">
        <f>EDATE(Table1[[#This Row],[Order_Date]],3)</f>
        <v>46071</v>
      </c>
      <c r="J319" s="2">
        <f>EDATE(Table1[[#This Row],[Order_Date]],6)</f>
        <v>46160</v>
      </c>
      <c r="K319">
        <f ca="1">YEAR(Table1[[#This Row],[Today]])</f>
        <v>2026</v>
      </c>
      <c r="L319">
        <v>318</v>
      </c>
      <c r="M319">
        <f ca="1">DAY(Table1[[#This Row],[Today]])</f>
        <v>11</v>
      </c>
      <c r="N319" s="19">
        <f t="shared" ca="1" si="34"/>
        <v>46245.589795370368</v>
      </c>
      <c r="O319" s="2">
        <f t="shared" ca="1" si="29"/>
        <v>46245</v>
      </c>
      <c r="P319" s="17">
        <f ca="1">Table1[[#This Row],[Today]]-Table1[[#This Row],[Order_Date]]</f>
        <v>266</v>
      </c>
      <c r="Q319" s="2">
        <v>45975</v>
      </c>
      <c r="R319" s="2">
        <v>45979</v>
      </c>
      <c r="S319" s="6">
        <f t="shared" si="32"/>
        <v>2025</v>
      </c>
      <c r="T319" s="7" t="str">
        <f t="shared" si="33"/>
        <v>November</v>
      </c>
      <c r="U319" s="2">
        <f>WORKDAY(Table1[[#This Row],[Order_Date]],5)</f>
        <v>45986</v>
      </c>
      <c r="V319" s="7" t="str">
        <f>CONCATENATE(Table1[[#This Row],[Customer_ID]],Table1[[#This Row],[Customer_Name]])</f>
        <v>C1111Anjali Joshi</v>
      </c>
      <c r="W319" t="s">
        <v>387</v>
      </c>
      <c r="X319" t="s">
        <v>310</v>
      </c>
      <c r="Y319">
        <f>COUNTA(Table1[[#This Row],[Customer_Name]])</f>
        <v>1</v>
      </c>
      <c r="Z319" t="str">
        <f>SUBSTITUTE(Table1[[#This Row],[Customer_Name]]," ","_")</f>
        <v>Anjali_Joshi</v>
      </c>
      <c r="AA319" s="10">
        <f>IFERROR(SEARCH("a",Table1[[#This Row],[Customer_Name]]),"N/A")</f>
        <v>1</v>
      </c>
      <c r="AB319">
        <f>SEARCH(" ",Table1[[#This Row],[Customer_Name]])</f>
        <v>7</v>
      </c>
      <c r="AC319" s="11">
        <f>IFERROR(FIND("a",Table1[[#This Row],[Customer_Name]]),"N/A")</f>
        <v>4</v>
      </c>
      <c r="AD319">
        <f>FIND(" ",Table1[[#This Row],[Customer_Name]])</f>
        <v>7</v>
      </c>
      <c r="AE319" t="str">
        <f>TRIM(Table1[[#This Row],[Customer_Name]])</f>
        <v>Anjali Joshi</v>
      </c>
      <c r="AF319">
        <f>LEN(Table1[[#This Row],[Trimmed]])</f>
        <v>12</v>
      </c>
      <c r="AG319">
        <f>MAX(Table1[Length])</f>
        <v>15</v>
      </c>
      <c r="AH319" t="str">
        <f>PROPER(Table1[[#This Row],[Customer_Name]])</f>
        <v>Anjali Joshi</v>
      </c>
      <c r="AI319" t="str">
        <f>LOWER(Table1[[#This Row],[Customer_Name]])</f>
        <v>anjali joshi</v>
      </c>
      <c r="AJ319" t="str">
        <f>UPPER(Table1[[#This Row],[Customer_Name]])</f>
        <v>ANJALI JOSHI</v>
      </c>
      <c r="AK319" t="str">
        <f>CONCATENATE(Table1[[#This Row],[Customer_ID]],Table1[[#This Row],[Customer_Name]])</f>
        <v>C1111Anjali Joshi</v>
      </c>
      <c r="AL319" t="s">
        <v>311</v>
      </c>
      <c r="AM319" t="s">
        <v>312</v>
      </c>
      <c r="AN319" t="s">
        <v>313</v>
      </c>
      <c r="AO319" t="s">
        <v>311</v>
      </c>
      <c r="AP319" t="s">
        <v>312</v>
      </c>
      <c r="AQ319" t="s">
        <v>199</v>
      </c>
      <c r="AR319" t="str">
        <f>TRIM(Table1[[#This Row],[City]])</f>
        <v>Lucknow</v>
      </c>
      <c r="AS319" t="str">
        <f>PROPER(Table1[[#This Row],[City]])</f>
        <v>Lucknow</v>
      </c>
      <c r="AT319" t="s">
        <v>200</v>
      </c>
      <c r="AU319" t="str">
        <f>CONCATENATE(Table1[[#This Row],[City]],Table1[[#This Row],[State]])</f>
        <v>LucknowUttar Pradesh</v>
      </c>
      <c r="AV319" t="s">
        <v>150</v>
      </c>
      <c r="AW319" t="s">
        <v>183</v>
      </c>
      <c r="AX319" t="str">
        <f>REPLACE(Table1[[#This Row],[Product_ID]],1,1,"s")</f>
        <v>s105</v>
      </c>
      <c r="AY319" t="s">
        <v>1417</v>
      </c>
      <c r="AZ319">
        <f>SEARCH("-",Table1[[#This Row],[Product ID]])</f>
        <v>2</v>
      </c>
      <c r="BA319">
        <f>FIND("-",Table1[[#This Row],[Product ID]])</f>
        <v>2</v>
      </c>
      <c r="BB319" t="str">
        <f>MID(Table1[[#This Row],[Product_ID]],2,3)</f>
        <v>105</v>
      </c>
      <c r="BC319" t="str">
        <f>RIGHT(Table1[[#This Row],[Product_ID]],3)</f>
        <v>105</v>
      </c>
      <c r="BD319" t="str">
        <f>LEFT(Table1[[#This Row],[Product_ID]],3)</f>
        <v>P10</v>
      </c>
      <c r="BE319" t="str">
        <f>_xlfn.XLOOKUP(Table1[[#This Row],[Product_ID]],AW:AW,BF:BF,,0)</f>
        <v>Bluetooth Speaker</v>
      </c>
      <c r="BF319" t="s">
        <v>185</v>
      </c>
      <c r="BG319">
        <f>LEN(Table1[[#This Row],[Product_Name]])</f>
        <v>17</v>
      </c>
      <c r="BH319" t="s">
        <v>154</v>
      </c>
      <c r="BI319">
        <f t="shared" si="35"/>
        <v>75</v>
      </c>
      <c r="BJ319" t="str">
        <f>SUBSTITUTE(Table1[[#This Row],[Category]],"Electronics","ELECTRONICS")</f>
        <v>ELECTRONICS</v>
      </c>
      <c r="BN319" t="s">
        <v>186</v>
      </c>
      <c r="BS319" s="14">
        <v>1</v>
      </c>
      <c r="BT319" s="3">
        <v>2999</v>
      </c>
      <c r="BU319" s="4">
        <v>10</v>
      </c>
      <c r="BV319" s="4" t="str">
        <f>IF(AND(Table1[[#This Row],[Quantity]]&gt;=3,Table1[[#This Row],[Discount_%]]&gt;=15%),"Bulk Discount","no")</f>
        <v>no</v>
      </c>
      <c r="BW319" s="4" t="str">
        <f>IF(AND(Table1[[#This Row],[Quantity]]&gt;3,Table1[[#This Row],[Discount_%]]&gt;15%),"Bulk Customer","Normal")</f>
        <v>Normal</v>
      </c>
      <c r="BX319" t="s">
        <v>330</v>
      </c>
      <c r="BY319" t="s">
        <v>374</v>
      </c>
      <c r="CC319" t="str">
        <f>IF(OR(Table1[[#This Row],[Order_Status]]="Returned",Table1[[#This Row],[Order_Status]]="Cancelled"),"Attention Required","Not")</f>
        <v>Attention Required</v>
      </c>
      <c r="CD319" t="str">
        <f>IF(OR(Table1[[#This Row],[Order_Status]]="Returned",Table1[[#This Row],[Order_Status]]="Cancelled"),"Review","no")</f>
        <v>Review</v>
      </c>
      <c r="CE319" t="str">
        <f>SUBSTITUTE(Table1[[#This Row],[Order_Status]],"Delivered","Completed")</f>
        <v>Returned</v>
      </c>
      <c r="CF319" s="2">
        <v>45985</v>
      </c>
      <c r="CG319" s="17">
        <f>NETWORKDAYS(Table1[[#This Row],[Order_Date]],Table1[[#This Row],[Delivery_Date]])</f>
        <v>5</v>
      </c>
      <c r="CH319" s="17">
        <f>Table1[[#This Row],[Delivery_Date]]-Table1[[#This Row],[Order_Date]]</f>
        <v>6</v>
      </c>
      <c r="CI319" t="s">
        <v>375</v>
      </c>
      <c r="CJ319" t="str">
        <f>IF(Table1[[#This Row],[Rating]]&gt;=4,"Good","Needs Improvement")</f>
        <v>Needs Improvement</v>
      </c>
      <c r="CK319" t="str">
        <f>IF(OR(Table1[[#This Row],[Rating]]&lt;=2,Table1[[#This Row],[Profit]]&lt;0),"Review","NO")</f>
        <v>Review</v>
      </c>
      <c r="CL319" t="e" cm="1">
        <f t="array" ref="CL319">_xlfn.IFS(Table1[[#This Row],[Rating]]&gt;2,"Poor",Table1[[#This Row],[Rating]]=3,"Average",Table1[[#This Row],[Rating]]=4,"Good",CP319=5,"Excellent")</f>
        <v>#N/A</v>
      </c>
      <c r="CM319">
        <f>COUNT(Table1[[#This Row],[Rating]])</f>
        <v>1</v>
      </c>
      <c r="CN319">
        <f>COUNTBLANK(Table1[[#This Row],[Rating]])</f>
        <v>0</v>
      </c>
      <c r="CP319" t="s">
        <v>157</v>
      </c>
      <c r="CQ319" s="14">
        <v>2</v>
      </c>
      <c r="CR319" t="s">
        <v>204</v>
      </c>
      <c r="CS319" t="s">
        <v>213</v>
      </c>
      <c r="CU319" s="3">
        <v>2699.1</v>
      </c>
      <c r="CV319" s="3">
        <f>ROUND(Table1[[#This Row],[Sales_Amount]],0)</f>
        <v>2699</v>
      </c>
      <c r="CW319" s="3"/>
      <c r="CX319" s="3"/>
      <c r="CY319" s="3" t="b">
        <f>IF(AND(Table1[[#This Row],[Sales_Amount]]&gt;=10000,Table1[[#This Row],[Profit]]&gt;0),"Good Order")</f>
        <v>0</v>
      </c>
      <c r="CZ319" s="3" t="str">
        <f>IF(Table1[[#This Row],[Sales_Amount]]&gt;=10000,"High","Normal")</f>
        <v>Normal</v>
      </c>
      <c r="DA319" s="3">
        <v>949.1</v>
      </c>
      <c r="DB319" s="3">
        <f>ROUND(Table1[[#This Row],[Profit]],0)</f>
        <v>949</v>
      </c>
      <c r="DC319" s="3">
        <f>ABS(Table1[[#This Row],[Profit]])</f>
        <v>949.1</v>
      </c>
      <c r="DD319" s="3"/>
      <c r="DE319" s="3"/>
      <c r="DF319" s="3"/>
      <c r="DG319" s="3" t="str">
        <f>IF(Table1[[#This Row],[Profit]]&gt;0,"Profit","Loss")</f>
        <v>Profit</v>
      </c>
      <c r="DH319" s="3" t="str">
        <f>IF(AND(Table1[[#This Row],[Sales_Amount]]&gt;=10000,Table1[[#This Row],[Profit]]&gt;0),"Priority","Normal")</f>
        <v>Normal</v>
      </c>
      <c r="DI319" s="3">
        <f t="shared" ca="1" si="30"/>
        <v>0.19637578064548833</v>
      </c>
      <c r="DJ319" s="3">
        <f t="shared" ca="1" si="31"/>
        <v>90</v>
      </c>
      <c r="DK319" s="3"/>
      <c r="DL319" s="3"/>
      <c r="DM319" s="3"/>
      <c r="DN319" s="3"/>
      <c r="DO319" s="3"/>
      <c r="DP319" s="3"/>
    </row>
    <row r="320" spans="1:120">
      <c r="A320" t="s">
        <v>1418</v>
      </c>
      <c r="B320" t="str">
        <f>REPLACE(Table1[[#This Row],[Order_ID]],1,3,"YOO")</f>
        <v>YOO10319</v>
      </c>
      <c r="C320" t="str">
        <f>MID(Table1[[#This Row],[Order_ID]],4,4)</f>
        <v>1031</v>
      </c>
      <c r="D320" t="str">
        <f>LEFT(Table1[[#This Row],[Order_ID]],4)</f>
        <v>ORD1</v>
      </c>
      <c r="E320" t="str">
        <f>RIGHT(Table1[[#This Row],[Order_ID]],5)</f>
        <v>10319</v>
      </c>
      <c r="F320" t="s">
        <v>5</v>
      </c>
      <c r="G320">
        <v>10319</v>
      </c>
      <c r="H320" t="s">
        <v>1419</v>
      </c>
      <c r="I320" s="2">
        <f>EDATE(Table1[[#This Row],[Order_Date]],3)</f>
        <v>45902</v>
      </c>
      <c r="J320" s="2">
        <f>EDATE(Table1[[#This Row],[Order_Date]],6)</f>
        <v>45993</v>
      </c>
      <c r="K320">
        <f ca="1">YEAR(Table1[[#This Row],[Today]])</f>
        <v>2026</v>
      </c>
      <c r="L320">
        <v>319</v>
      </c>
      <c r="M320">
        <f ca="1">DAY(Table1[[#This Row],[Today]])</f>
        <v>11</v>
      </c>
      <c r="N320" s="19">
        <f t="shared" ca="1" si="34"/>
        <v>46245.589795138891</v>
      </c>
      <c r="O320" s="2">
        <f t="shared" ca="1" si="29"/>
        <v>46245</v>
      </c>
      <c r="P320" s="17">
        <f ca="1">Table1[[#This Row],[Today]]-Table1[[#This Row],[Order_Date]]</f>
        <v>435</v>
      </c>
      <c r="Q320" s="2">
        <v>45976</v>
      </c>
      <c r="R320" s="2">
        <v>45810</v>
      </c>
      <c r="S320" s="6">
        <f t="shared" si="32"/>
        <v>2025</v>
      </c>
      <c r="T320" s="7" t="str">
        <f t="shared" si="33"/>
        <v>June</v>
      </c>
      <c r="U320" s="2">
        <f>WORKDAY(Table1[[#This Row],[Order_Date]],5)</f>
        <v>45817</v>
      </c>
      <c r="V320" s="7" t="str">
        <f>CONCATENATE(Table1[[#This Row],[Customer_ID]],Table1[[#This Row],[Customer_Name]])</f>
        <v>C1127Simran Kaur</v>
      </c>
      <c r="W320" t="s">
        <v>444</v>
      </c>
      <c r="X320" t="s">
        <v>325</v>
      </c>
      <c r="Y320">
        <f>COUNTA(Table1[[#This Row],[Customer_Name]])</f>
        <v>1</v>
      </c>
      <c r="Z320" t="str">
        <f>SUBSTITUTE(Table1[[#This Row],[Customer_Name]]," ","_")</f>
        <v>Simran_Kaur</v>
      </c>
      <c r="AA320" s="10">
        <f>IFERROR(SEARCH("a",Table1[[#This Row],[Customer_Name]]),"N/A")</f>
        <v>5</v>
      </c>
      <c r="AB320">
        <f>SEARCH(" ",Table1[[#This Row],[Customer_Name]])</f>
        <v>7</v>
      </c>
      <c r="AC320" s="11">
        <f>IFERROR(FIND("a",Table1[[#This Row],[Customer_Name]]),"N/A")</f>
        <v>5</v>
      </c>
      <c r="AD320">
        <f>FIND(" ",Table1[[#This Row],[Customer_Name]])</f>
        <v>7</v>
      </c>
      <c r="AE320" t="str">
        <f>TRIM(Table1[[#This Row],[Customer_Name]])</f>
        <v>Simran Kaur</v>
      </c>
      <c r="AF320">
        <f>LEN(Table1[[#This Row],[Trimmed]])</f>
        <v>11</v>
      </c>
      <c r="AG320">
        <f>MAX(Table1[Length])</f>
        <v>15</v>
      </c>
      <c r="AH320" t="str">
        <f>PROPER(Table1[[#This Row],[Customer_Name]])</f>
        <v>Simran Kaur</v>
      </c>
      <c r="AI320" t="str">
        <f>LOWER(Table1[[#This Row],[Customer_Name]])</f>
        <v>simran kaur</v>
      </c>
      <c r="AJ320" t="str">
        <f>UPPER(Table1[[#This Row],[Customer_Name]])</f>
        <v>SIMRAN KAUR</v>
      </c>
      <c r="AK320" t="str">
        <f>CONCATENATE(Table1[[#This Row],[Customer_ID]],Table1[[#This Row],[Customer_Name]])</f>
        <v>C1127Simran Kaur</v>
      </c>
      <c r="AL320" t="s">
        <v>326</v>
      </c>
      <c r="AM320" t="s">
        <v>327</v>
      </c>
      <c r="AN320" t="s">
        <v>328</v>
      </c>
      <c r="AO320" t="s">
        <v>326</v>
      </c>
      <c r="AP320" t="s">
        <v>327</v>
      </c>
      <c r="AQ320" t="s">
        <v>166</v>
      </c>
      <c r="AR320" t="str">
        <f>TRIM(Table1[[#This Row],[City]])</f>
        <v>Bengaluru</v>
      </c>
      <c r="AS320" t="str">
        <f>PROPER(Table1[[#This Row],[City]])</f>
        <v>Bengaluru</v>
      </c>
      <c r="AT320" t="s">
        <v>167</v>
      </c>
      <c r="AU320" t="str">
        <f>CONCATENATE(Table1[[#This Row],[City]],Table1[[#This Row],[State]])</f>
        <v>BengaluruKarnataka</v>
      </c>
      <c r="AV320" t="s">
        <v>168</v>
      </c>
      <c r="AW320" t="s">
        <v>130</v>
      </c>
      <c r="AX320" t="str">
        <f>REPLACE(Table1[[#This Row],[Product_ID]],1,1,"s")</f>
        <v>s111</v>
      </c>
      <c r="AY320" t="s">
        <v>1420</v>
      </c>
      <c r="AZ320">
        <f>SEARCH("-",Table1[[#This Row],[Product ID]])</f>
        <v>2</v>
      </c>
      <c r="BA320">
        <f>FIND("-",Table1[[#This Row],[Product ID]])</f>
        <v>2</v>
      </c>
      <c r="BB320" t="str">
        <f>MID(Table1[[#This Row],[Product_ID]],2,3)</f>
        <v>111</v>
      </c>
      <c r="BC320" t="str">
        <f>RIGHT(Table1[[#This Row],[Product_ID]],3)</f>
        <v>111</v>
      </c>
      <c r="BD320" t="str">
        <f>LEFT(Table1[[#This Row],[Product_ID]],3)</f>
        <v>P11</v>
      </c>
      <c r="BE320" t="str">
        <f>_xlfn.XLOOKUP(Table1[[#This Row],[Product_ID]],AW:AW,BF:BF,,0)</f>
        <v>Coffee Maker</v>
      </c>
      <c r="BF320" t="s">
        <v>132</v>
      </c>
      <c r="BG320">
        <f>LEN(Table1[[#This Row],[Product_Name]])</f>
        <v>12</v>
      </c>
      <c r="BH320" t="s">
        <v>133</v>
      </c>
      <c r="BI320">
        <f t="shared" si="35"/>
        <v>75</v>
      </c>
      <c r="BJ320" t="str">
        <f>SUBSTITUTE(Table1[[#This Row],[Category]],"Electronics","ELECTRONICS")</f>
        <v>Home</v>
      </c>
      <c r="BN320" t="s">
        <v>134</v>
      </c>
      <c r="BS320" s="14">
        <v>5</v>
      </c>
      <c r="BT320" s="3">
        <v>3999</v>
      </c>
      <c r="BU320" s="4">
        <v>0</v>
      </c>
      <c r="BV320" s="4" t="str">
        <f>IF(AND(Table1[[#This Row],[Quantity]]&gt;=3,Table1[[#This Row],[Discount_%]]&gt;=15%),"Bulk Discount","no")</f>
        <v>no</v>
      </c>
      <c r="BW320" s="4" t="str">
        <f>IF(AND(Table1[[#This Row],[Quantity]]&gt;3,Table1[[#This Row],[Discount_%]]&gt;15%),"Bulk Customer","Normal")</f>
        <v>Normal</v>
      </c>
      <c r="BX320" t="s">
        <v>172</v>
      </c>
      <c r="BY320" t="s">
        <v>136</v>
      </c>
      <c r="CC320" t="str">
        <f>IF(OR(Table1[[#This Row],[Order_Status]]="Returned",Table1[[#This Row],[Order_Status]]="Cancelled"),"Attention Required","Not")</f>
        <v>Not</v>
      </c>
      <c r="CD320" t="str">
        <f>IF(OR(Table1[[#This Row],[Order_Status]]="Returned",Table1[[#This Row],[Order_Status]]="Cancelled"),"Review","no")</f>
        <v>no</v>
      </c>
      <c r="CE320" t="str">
        <f>SUBSTITUTE(Table1[[#This Row],[Order_Status]],"Delivered","Completed")</f>
        <v>Completed</v>
      </c>
      <c r="CF320" s="2">
        <v>45813</v>
      </c>
      <c r="CG320" s="17">
        <f>NETWORKDAYS(Table1[[#This Row],[Order_Date]],Table1[[#This Row],[Delivery_Date]])</f>
        <v>4</v>
      </c>
      <c r="CH320" s="17">
        <f>Table1[[#This Row],[Delivery_Date]]-Table1[[#This Row],[Order_Date]]</f>
        <v>3</v>
      </c>
      <c r="CI320" t="s">
        <v>137</v>
      </c>
      <c r="CJ320" t="str">
        <f>IF(Table1[[#This Row],[Rating]]&gt;=4,"Good","Needs Improvement")</f>
        <v>Needs Improvement</v>
      </c>
      <c r="CK320" t="str">
        <f>IF(OR(Table1[[#This Row],[Rating]]&lt;=2,Table1[[#This Row],[Profit]]&lt;0),"Review","NO")</f>
        <v>Review</v>
      </c>
      <c r="CL320" t="e" cm="1">
        <f t="array" ref="CL320">_xlfn.IFS(Table1[[#This Row],[Rating]]&gt;2,"Poor",Table1[[#This Row],[Rating]]=3,"Average",Table1[[#This Row],[Rating]]=4,"Good",CP320=5,"Excellent")</f>
        <v>#N/A</v>
      </c>
      <c r="CM320">
        <f>COUNT(Table1[[#This Row],[Rating]])</f>
        <v>0</v>
      </c>
      <c r="CN320">
        <f>COUNTBLANK(Table1[[#This Row],[Rating]])</f>
        <v>1</v>
      </c>
      <c r="CP320" t="s">
        <v>138</v>
      </c>
      <c r="CR320" t="s">
        <v>173</v>
      </c>
      <c r="CS320" t="s">
        <v>158</v>
      </c>
      <c r="CU320" s="3">
        <v>19995</v>
      </c>
      <c r="CV320" s="3">
        <f>ROUND(Table1[[#This Row],[Sales_Amount]],0)</f>
        <v>19995</v>
      </c>
      <c r="CW320" s="3"/>
      <c r="CX320" s="3"/>
      <c r="CY320" s="3" t="str">
        <f>IF(AND(Table1[[#This Row],[Sales_Amount]]&gt;=10000,Table1[[#This Row],[Profit]]&gt;0),"Good Order")</f>
        <v>Good Order</v>
      </c>
      <c r="CZ320" s="3" t="str">
        <f>IF(Table1[[#This Row],[Sales_Amount]]&gt;=10000,"High","Normal")</f>
        <v>High</v>
      </c>
      <c r="DA320" s="3">
        <v>7495</v>
      </c>
      <c r="DB320" s="3">
        <f>ROUND(Table1[[#This Row],[Profit]],0)</f>
        <v>7495</v>
      </c>
      <c r="DC320" s="3">
        <f>ABS(Table1[[#This Row],[Profit]])</f>
        <v>7495</v>
      </c>
      <c r="DD320" s="3"/>
      <c r="DE320" s="3"/>
      <c r="DF320" s="3"/>
      <c r="DG320" s="3" t="str">
        <f>IF(Table1[[#This Row],[Profit]]&gt;0,"Profit","Loss")</f>
        <v>Profit</v>
      </c>
      <c r="DH320" s="3" t="str">
        <f>IF(AND(Table1[[#This Row],[Sales_Amount]]&gt;=10000,Table1[[#This Row],[Profit]]&gt;0),"Priority","Normal")</f>
        <v>Priority</v>
      </c>
      <c r="DI320" s="3">
        <f t="shared" ca="1" si="30"/>
        <v>0.41298658061555027</v>
      </c>
      <c r="DJ320" s="3">
        <f t="shared" ca="1" si="31"/>
        <v>28</v>
      </c>
      <c r="DK320" s="3"/>
      <c r="DL320" s="3"/>
      <c r="DM320" s="3"/>
      <c r="DN320" s="3"/>
      <c r="DO320" s="3"/>
      <c r="DP320" s="3"/>
    </row>
    <row r="321" spans="1:120">
      <c r="A321" t="s">
        <v>1421</v>
      </c>
      <c r="B321" t="str">
        <f>REPLACE(Table1[[#This Row],[Order_ID]],1,3,"YOO")</f>
        <v>YOO10320</v>
      </c>
      <c r="C321" t="str">
        <f>MID(Table1[[#This Row],[Order_ID]],4,4)</f>
        <v>1032</v>
      </c>
      <c r="D321" t="str">
        <f>LEFT(Table1[[#This Row],[Order_ID]],4)</f>
        <v>ORD1</v>
      </c>
      <c r="E321" t="str">
        <f>RIGHT(Table1[[#This Row],[Order_ID]],5)</f>
        <v>10320</v>
      </c>
      <c r="F321" t="s">
        <v>5</v>
      </c>
      <c r="G321">
        <v>10320</v>
      </c>
      <c r="H321" t="s">
        <v>1422</v>
      </c>
      <c r="I321" s="2">
        <f>EDATE(Table1[[#This Row],[Order_Date]],3)</f>
        <v>45798</v>
      </c>
      <c r="J321" s="2">
        <f>EDATE(Table1[[#This Row],[Order_Date]],6)</f>
        <v>45890</v>
      </c>
      <c r="K321">
        <f ca="1">YEAR(Table1[[#This Row],[Today]])</f>
        <v>2026</v>
      </c>
      <c r="L321">
        <v>320</v>
      </c>
      <c r="M321">
        <f ca="1">DAY(Table1[[#This Row],[Today]])</f>
        <v>11</v>
      </c>
      <c r="N321" s="19">
        <f t="shared" ca="1" si="34"/>
        <v>46245.589795370368</v>
      </c>
      <c r="O321" s="2">
        <f t="shared" ca="1" si="29"/>
        <v>46245</v>
      </c>
      <c r="P321" s="17">
        <f ca="1">Table1[[#This Row],[Today]]-Table1[[#This Row],[Order_Date]]</f>
        <v>536</v>
      </c>
      <c r="Q321" s="2">
        <v>45977</v>
      </c>
      <c r="R321" s="2">
        <v>45709</v>
      </c>
      <c r="S321" s="6">
        <f t="shared" si="32"/>
        <v>2025</v>
      </c>
      <c r="T321" s="7" t="str">
        <f t="shared" si="33"/>
        <v>February</v>
      </c>
      <c r="U321" s="2">
        <f>WORKDAY(Table1[[#This Row],[Order_Date]],5)</f>
        <v>45716</v>
      </c>
      <c r="V321" s="7" t="str">
        <f>CONCATENATE(Table1[[#This Row],[Customer_ID]],Table1[[#This Row],[Customer_Name]])</f>
        <v>C1061Aman Singh</v>
      </c>
      <c r="W321" t="s">
        <v>395</v>
      </c>
      <c r="X321" t="s">
        <v>123</v>
      </c>
      <c r="Y321">
        <f>COUNTA(Table1[[#This Row],[Customer_Name]])</f>
        <v>1</v>
      </c>
      <c r="Z321" t="str">
        <f>SUBSTITUTE(Table1[[#This Row],[Customer_Name]]," ","_")</f>
        <v>Aman_Singh</v>
      </c>
      <c r="AA321" s="10">
        <f>IFERROR(SEARCH("a",Table1[[#This Row],[Customer_Name]]),"N/A")</f>
        <v>1</v>
      </c>
      <c r="AB321">
        <f>SEARCH(" ",Table1[[#This Row],[Customer_Name]])</f>
        <v>5</v>
      </c>
      <c r="AC321" s="11">
        <f>IFERROR(FIND("a",Table1[[#This Row],[Customer_Name]]),"N/A")</f>
        <v>3</v>
      </c>
      <c r="AD321">
        <f>FIND(" ",Table1[[#This Row],[Customer_Name]])</f>
        <v>5</v>
      </c>
      <c r="AE321" t="str">
        <f>TRIM(Table1[[#This Row],[Customer_Name]])</f>
        <v>Aman Singh</v>
      </c>
      <c r="AF321">
        <f>LEN(Table1[[#This Row],[Trimmed]])</f>
        <v>10</v>
      </c>
      <c r="AG321">
        <f>MAX(Table1[Length])</f>
        <v>15</v>
      </c>
      <c r="AH321" t="str">
        <f>PROPER(Table1[[#This Row],[Customer_Name]])</f>
        <v>Aman Singh</v>
      </c>
      <c r="AI321" t="str">
        <f>LOWER(Table1[[#This Row],[Customer_Name]])</f>
        <v>aman singh</v>
      </c>
      <c r="AJ321" t="str">
        <f>UPPER(Table1[[#This Row],[Customer_Name]])</f>
        <v>AMAN SINGH</v>
      </c>
      <c r="AK321" t="str">
        <f>CONCATENATE(Table1[[#This Row],[Customer_ID]],Table1[[#This Row],[Customer_Name]])</f>
        <v>C1061Aman Singh</v>
      </c>
      <c r="AL321" t="s">
        <v>124</v>
      </c>
      <c r="AM321" t="s">
        <v>125</v>
      </c>
      <c r="AN321" t="s">
        <v>126</v>
      </c>
      <c r="AO321" t="s">
        <v>124</v>
      </c>
      <c r="AP321" t="s">
        <v>125</v>
      </c>
      <c r="AQ321" t="s">
        <v>379</v>
      </c>
      <c r="AR321" t="str">
        <f>TRIM(Table1[[#This Row],[City]])</f>
        <v>Indore</v>
      </c>
      <c r="AS321" t="str">
        <f>PROPER(Table1[[#This Row],[City]])</f>
        <v>Indore</v>
      </c>
      <c r="AT321" t="s">
        <v>345</v>
      </c>
      <c r="AU321" t="str">
        <f>CONCATENATE(Table1[[#This Row],[City]],Table1[[#This Row],[State]])</f>
        <v>IndoreMadhya Pradesh</v>
      </c>
      <c r="AV321" t="s">
        <v>346</v>
      </c>
      <c r="AW321" t="s">
        <v>221</v>
      </c>
      <c r="AX321" t="str">
        <f>REPLACE(Table1[[#This Row],[Product_ID]],1,1,"s")</f>
        <v>s106</v>
      </c>
      <c r="AY321" t="s">
        <v>1423</v>
      </c>
      <c r="AZ321">
        <f>SEARCH("-",Table1[[#This Row],[Product ID]])</f>
        <v>2</v>
      </c>
      <c r="BA321">
        <f>FIND("-",Table1[[#This Row],[Product ID]])</f>
        <v>2</v>
      </c>
      <c r="BB321" t="str">
        <f>MID(Table1[[#This Row],[Product_ID]],2,3)</f>
        <v>106</v>
      </c>
      <c r="BC321" t="str">
        <f>RIGHT(Table1[[#This Row],[Product_ID]],3)</f>
        <v>106</v>
      </c>
      <c r="BD321" t="str">
        <f>LEFT(Table1[[#This Row],[Product_ID]],3)</f>
        <v>P10</v>
      </c>
      <c r="BE321" t="str">
        <f>_xlfn.XLOOKUP(Table1[[#This Row],[Product_ID]],AW:AW,BF:BF,,0)</f>
        <v>Running Shoes</v>
      </c>
      <c r="BF321" t="s">
        <v>223</v>
      </c>
      <c r="BG321">
        <f>LEN(Table1[[#This Row],[Product_Name]])</f>
        <v>13</v>
      </c>
      <c r="BH321" t="s">
        <v>224</v>
      </c>
      <c r="BI321">
        <f t="shared" si="35"/>
        <v>75</v>
      </c>
      <c r="BJ321" t="str">
        <f>SUBSTITUTE(Table1[[#This Row],[Category]],"Electronics","ELECTRONICS")</f>
        <v>Fashion</v>
      </c>
      <c r="BN321" t="s">
        <v>225</v>
      </c>
      <c r="BS321" s="14">
        <v>5</v>
      </c>
      <c r="BT321" s="3">
        <v>3499</v>
      </c>
      <c r="BU321" s="4">
        <v>10</v>
      </c>
      <c r="BV321" s="4" t="str">
        <f>IF(AND(Table1[[#This Row],[Quantity]]&gt;=3,Table1[[#This Row],[Discount_%]]&gt;=15%),"Bulk Discount","no")</f>
        <v>Bulk Discount</v>
      </c>
      <c r="BW321" s="4" t="str">
        <f>IF(AND(Table1[[#This Row],[Quantity]]&gt;3,Table1[[#This Row],[Discount_%]]&gt;15%),"Bulk Customer","Normal")</f>
        <v>Bulk Customer</v>
      </c>
      <c r="BX321" t="s">
        <v>330</v>
      </c>
      <c r="BY321" t="s">
        <v>156</v>
      </c>
      <c r="CC321" t="str">
        <f>IF(OR(Table1[[#This Row],[Order_Status]]="Returned",Table1[[#This Row],[Order_Status]]="Cancelled"),"Attention Required","Not")</f>
        <v>Attention Required</v>
      </c>
      <c r="CD321" t="str">
        <f>IF(OR(Table1[[#This Row],[Order_Status]]="Returned",Table1[[#This Row],[Order_Status]]="Cancelled"),"Review","no")</f>
        <v>Review</v>
      </c>
      <c r="CE321" t="str">
        <f>SUBSTITUTE(Table1[[#This Row],[Order_Status]],"Delivered","Completed")</f>
        <v>Cancelled</v>
      </c>
      <c r="CF321" s="2">
        <v>45716</v>
      </c>
      <c r="CG321" s="17">
        <f>NETWORKDAYS(Table1[[#This Row],[Order_Date]],Table1[[#This Row],[Delivery_Date]])</f>
        <v>6</v>
      </c>
      <c r="CH321" s="17">
        <f>Table1[[#This Row],[Delivery_Date]]-Table1[[#This Row],[Order_Date]]</f>
        <v>7</v>
      </c>
      <c r="CI321" t="s">
        <v>137</v>
      </c>
      <c r="CJ321" t="str">
        <f>IF(Table1[[#This Row],[Rating]]&gt;=4,"Good","Needs Improvement")</f>
        <v>Good</v>
      </c>
      <c r="CK321" t="str">
        <f>IF(OR(Table1[[#This Row],[Rating]]&lt;=2,Table1[[#This Row],[Profit]]&lt;0),"Review","NO")</f>
        <v>NO</v>
      </c>
      <c r="CL321" t="str" cm="1">
        <f t="array" ref="CL321">_xlfn.IFS(Table1[[#This Row],[Rating]]&gt;2,"Poor",Table1[[#This Row],[Rating]]=3,"Average",Table1[[#This Row],[Rating]]=4,"Good",CP321=5,"Excellent")</f>
        <v>Poor</v>
      </c>
      <c r="CM321">
        <f>COUNT(Table1[[#This Row],[Rating]])</f>
        <v>1</v>
      </c>
      <c r="CN321">
        <f>COUNTBLANK(Table1[[#This Row],[Rating]])</f>
        <v>0</v>
      </c>
      <c r="CP321" t="s">
        <v>138</v>
      </c>
      <c r="CQ321" s="14">
        <v>5</v>
      </c>
      <c r="CR321" t="s">
        <v>204</v>
      </c>
      <c r="CS321" t="s">
        <v>267</v>
      </c>
      <c r="CU321" s="3">
        <v>15745.5</v>
      </c>
      <c r="CV321" s="3">
        <f>ROUND(Table1[[#This Row],[Sales_Amount]],0)</f>
        <v>15746</v>
      </c>
      <c r="CW321" s="3"/>
      <c r="CX321" s="3"/>
      <c r="CY321" s="3" t="str">
        <f>IF(AND(Table1[[#This Row],[Sales_Amount]]&gt;=10000,Table1[[#This Row],[Profit]]&gt;0),"Good Order")</f>
        <v>Good Order</v>
      </c>
      <c r="CZ321" s="3" t="str">
        <f>IF(Table1[[#This Row],[Sales_Amount]]&gt;=10000,"High","Normal")</f>
        <v>High</v>
      </c>
      <c r="DA321" s="3">
        <v>6245.5</v>
      </c>
      <c r="DB321" s="3">
        <f>ROUND(Table1[[#This Row],[Profit]],0)</f>
        <v>6246</v>
      </c>
      <c r="DC321" s="3">
        <f>ABS(Table1[[#This Row],[Profit]])</f>
        <v>6245.5</v>
      </c>
      <c r="DD321" s="3"/>
      <c r="DE321" s="3"/>
      <c r="DF321" s="3"/>
      <c r="DG321" s="3" t="str">
        <f>IF(Table1[[#This Row],[Profit]]&gt;0,"Profit","Loss")</f>
        <v>Profit</v>
      </c>
      <c r="DH321" s="3" t="str">
        <f>IF(AND(Table1[[#This Row],[Sales_Amount]]&gt;=10000,Table1[[#This Row],[Profit]]&gt;0),"Priority","Normal")</f>
        <v>Priority</v>
      </c>
      <c r="DI321" s="3">
        <f t="shared" ca="1" si="30"/>
        <v>0.80873034612756411</v>
      </c>
      <c r="DJ321" s="3">
        <f t="shared" ca="1" si="31"/>
        <v>47</v>
      </c>
      <c r="DK321" s="3"/>
      <c r="DL321" s="3"/>
      <c r="DM321" s="3"/>
      <c r="DN321" s="3"/>
      <c r="DO321" s="3"/>
      <c r="DP321" s="3"/>
    </row>
    <row r="322" spans="1:120">
      <c r="A322" t="s">
        <v>1424</v>
      </c>
      <c r="B322" t="str">
        <f>REPLACE(Table1[[#This Row],[Order_ID]],1,3,"YOO")</f>
        <v>YOO10321</v>
      </c>
      <c r="C322" t="str">
        <f>MID(Table1[[#This Row],[Order_ID]],4,4)</f>
        <v>1032</v>
      </c>
      <c r="D322" t="str">
        <f>LEFT(Table1[[#This Row],[Order_ID]],4)</f>
        <v>ORD1</v>
      </c>
      <c r="E322" t="str">
        <f>RIGHT(Table1[[#This Row],[Order_ID]],5)</f>
        <v>10321</v>
      </c>
      <c r="F322" t="s">
        <v>5</v>
      </c>
      <c r="G322">
        <v>10321</v>
      </c>
      <c r="H322" t="s">
        <v>1425</v>
      </c>
      <c r="I322" s="2">
        <f>EDATE(Table1[[#This Row],[Order_Date]],3)</f>
        <v>46206</v>
      </c>
      <c r="J322" s="2">
        <f>EDATE(Table1[[#This Row],[Order_Date]],6)</f>
        <v>46298</v>
      </c>
      <c r="K322">
        <f ca="1">YEAR(Table1[[#This Row],[Today]])</f>
        <v>2026</v>
      </c>
      <c r="L322">
        <v>321</v>
      </c>
      <c r="M322">
        <f ca="1">DAY(Table1[[#This Row],[Today]])</f>
        <v>11</v>
      </c>
      <c r="N322" s="19">
        <f t="shared" ca="1" si="34"/>
        <v>46245.589795370368</v>
      </c>
      <c r="O322" s="2">
        <f t="shared" ref="O322:O356" ca="1" si="36">TODAY()</f>
        <v>46245</v>
      </c>
      <c r="P322" s="17">
        <f ca="1">Table1[[#This Row],[Today]]-Table1[[#This Row],[Order_Date]]</f>
        <v>130</v>
      </c>
      <c r="Q322" s="2">
        <v>45978</v>
      </c>
      <c r="R322" s="2">
        <v>46115</v>
      </c>
      <c r="S322" s="6">
        <f t="shared" si="32"/>
        <v>2026</v>
      </c>
      <c r="T322" s="7" t="str">
        <f t="shared" si="33"/>
        <v>April</v>
      </c>
      <c r="U322" s="2">
        <f>WORKDAY(Table1[[#This Row],[Order_Date]],5)</f>
        <v>46122</v>
      </c>
      <c r="V322" s="7" t="str">
        <f>CONCATENATE(Table1[[#This Row],[Customer_ID]],Table1[[#This Row],[Customer_Name]])</f>
        <v xml:space="preserve">C1104  isha kapoor  </v>
      </c>
      <c r="W322" t="s">
        <v>525</v>
      </c>
      <c r="X322" t="s">
        <v>1426</v>
      </c>
      <c r="Y322">
        <f>COUNTA(Table1[[#This Row],[Customer_Name]])</f>
        <v>1</v>
      </c>
      <c r="Z322" t="str">
        <f>SUBSTITUTE(Table1[[#This Row],[Customer_Name]]," ","_")</f>
        <v>__isha_kapoor__</v>
      </c>
      <c r="AA322" s="10">
        <f>IFERROR(SEARCH("a",Table1[[#This Row],[Customer_Name]]),"N/A")</f>
        <v>6</v>
      </c>
      <c r="AB322">
        <f>SEARCH(" ",Table1[[#This Row],[Customer_Name]])</f>
        <v>1</v>
      </c>
      <c r="AC322" s="11">
        <f>IFERROR(FIND("a",Table1[[#This Row],[Customer_Name]]),"N/A")</f>
        <v>6</v>
      </c>
      <c r="AD322">
        <f>FIND(" ",Table1[[#This Row],[Customer_Name]])</f>
        <v>1</v>
      </c>
      <c r="AE322" t="str">
        <f>TRIM(Table1[[#This Row],[Customer_Name]])</f>
        <v>isha kapoor</v>
      </c>
      <c r="AF322">
        <f>LEN(Table1[[#This Row],[Trimmed]])</f>
        <v>11</v>
      </c>
      <c r="AG322">
        <f>MAX(Table1[Length])</f>
        <v>15</v>
      </c>
      <c r="AH322" t="str">
        <f>PROPER(Table1[[#This Row],[Customer_Name]])</f>
        <v xml:space="preserve">  Isha Kapoor  </v>
      </c>
      <c r="AI322" t="str">
        <f>LOWER(Table1[[#This Row],[Customer_Name]])</f>
        <v xml:space="preserve">  isha kapoor  </v>
      </c>
      <c r="AJ322" t="str">
        <f>UPPER(Table1[[#This Row],[Customer_Name]])</f>
        <v xml:space="preserve">  ISHA KAPOOR  </v>
      </c>
      <c r="AK322" t="str">
        <f>CONCATENATE(Table1[[#This Row],[Customer_ID]],Table1[[#This Row],[Customer_Name]])</f>
        <v xml:space="preserve">C1104  isha kapoor  </v>
      </c>
      <c r="AL322" t="s">
        <v>1427</v>
      </c>
      <c r="AM322" t="s">
        <v>1428</v>
      </c>
      <c r="AN322" t="s">
        <v>414</v>
      </c>
      <c r="AO322" t="s">
        <v>1427</v>
      </c>
      <c r="AP322" t="s">
        <v>1428</v>
      </c>
      <c r="AQ322" t="s">
        <v>284</v>
      </c>
      <c r="AR322" t="str">
        <f>TRIM(Table1[[#This Row],[City]])</f>
        <v>Hyderabad</v>
      </c>
      <c r="AS322" t="str">
        <f>PROPER(Table1[[#This Row],[City]])</f>
        <v>Hyderabad</v>
      </c>
      <c r="AT322" t="s">
        <v>285</v>
      </c>
      <c r="AU322" t="str">
        <f>CONCATENATE(Table1[[#This Row],[City]],Table1[[#This Row],[State]])</f>
        <v>HyderabadTelangana</v>
      </c>
      <c r="AV322" t="s">
        <v>168</v>
      </c>
      <c r="AW322" t="s">
        <v>151</v>
      </c>
      <c r="AX322" t="str">
        <f>REPLACE(Table1[[#This Row],[Product_ID]],1,1,"s")</f>
        <v>s102</v>
      </c>
      <c r="AY322" t="s">
        <v>1429</v>
      </c>
      <c r="AZ322">
        <f>SEARCH("-",Table1[[#This Row],[Product ID]])</f>
        <v>2</v>
      </c>
      <c r="BA322">
        <f>FIND("-",Table1[[#This Row],[Product ID]])</f>
        <v>2</v>
      </c>
      <c r="BB322" t="str">
        <f>MID(Table1[[#This Row],[Product_ID]],2,3)</f>
        <v>102</v>
      </c>
      <c r="BC322" t="str">
        <f>RIGHT(Table1[[#This Row],[Product_ID]],3)</f>
        <v>102</v>
      </c>
      <c r="BD322" t="str">
        <f>LEFT(Table1[[#This Row],[Product_ID]],3)</f>
        <v>P10</v>
      </c>
      <c r="BE322" t="str">
        <f>_xlfn.XLOOKUP(Table1[[#This Row],[Product_ID]],AW:AW,BF:BF,,0)</f>
        <v>Mechanical Keyboard</v>
      </c>
      <c r="BF322" t="s">
        <v>153</v>
      </c>
      <c r="BG322">
        <f>LEN(Table1[[#This Row],[Product_Name]])</f>
        <v>19</v>
      </c>
      <c r="BH322" t="s">
        <v>154</v>
      </c>
      <c r="BI322">
        <f t="shared" si="35"/>
        <v>75</v>
      </c>
      <c r="BJ322" t="str">
        <f>SUBSTITUTE(Table1[[#This Row],[Category]],"Electronics","ELECTRONICS")</f>
        <v>ELECTRONICS</v>
      </c>
      <c r="BN322" t="s">
        <v>155</v>
      </c>
      <c r="BS322" s="14">
        <v>3</v>
      </c>
      <c r="BT322" s="3">
        <v>2499</v>
      </c>
      <c r="BU322" s="4">
        <v>0</v>
      </c>
      <c r="BV322" s="4" t="str">
        <f>IF(AND(Table1[[#This Row],[Quantity]]&gt;=3,Table1[[#This Row],[Discount_%]]&gt;=15%),"Bulk Discount","no")</f>
        <v>no</v>
      </c>
      <c r="BW322" s="4" t="str">
        <f>IF(AND(Table1[[#This Row],[Quantity]]&gt;3,Table1[[#This Row],[Discount_%]]&gt;15%),"Bulk Customer","Normal")</f>
        <v>Normal</v>
      </c>
      <c r="BX322" t="s">
        <v>172</v>
      </c>
      <c r="BY322" t="s">
        <v>136</v>
      </c>
      <c r="CC322" t="str">
        <f>IF(OR(Table1[[#This Row],[Order_Status]]="Returned",Table1[[#This Row],[Order_Status]]="Cancelled"),"Attention Required","Not")</f>
        <v>Not</v>
      </c>
      <c r="CD322" t="str">
        <f>IF(OR(Table1[[#This Row],[Order_Status]]="Returned",Table1[[#This Row],[Order_Status]]="Cancelled"),"Review","no")</f>
        <v>no</v>
      </c>
      <c r="CE322" t="str">
        <f>SUBSTITUTE(Table1[[#This Row],[Order_Status]],"Delivered","Completed")</f>
        <v>Completed</v>
      </c>
      <c r="CF322" s="2">
        <v>46116</v>
      </c>
      <c r="CG322" s="17">
        <f>NETWORKDAYS(Table1[[#This Row],[Order_Date]],Table1[[#This Row],[Delivery_Date]])</f>
        <v>1</v>
      </c>
      <c r="CH322" s="17">
        <f>Table1[[#This Row],[Delivery_Date]]-Table1[[#This Row],[Order_Date]]</f>
        <v>1</v>
      </c>
      <c r="CI322" t="s">
        <v>137</v>
      </c>
      <c r="CJ322" t="str">
        <f>IF(Table1[[#This Row],[Rating]]&gt;=4,"Good","Needs Improvement")</f>
        <v>Needs Improvement</v>
      </c>
      <c r="CK322" t="str">
        <f>IF(OR(Table1[[#This Row],[Rating]]&lt;=2,Table1[[#This Row],[Profit]]&lt;0),"Review","NO")</f>
        <v>Review</v>
      </c>
      <c r="CL322" t="e" cm="1">
        <f t="array" ref="CL322">_xlfn.IFS(Table1[[#This Row],[Rating]]&gt;2,"Poor",Table1[[#This Row],[Rating]]=3,"Average",Table1[[#This Row],[Rating]]=4,"Good",CP322=5,"Excellent")</f>
        <v>#N/A</v>
      </c>
      <c r="CM322">
        <f>COUNT(Table1[[#This Row],[Rating]])</f>
        <v>1</v>
      </c>
      <c r="CN322">
        <f>COUNTBLANK(Table1[[#This Row],[Rating]])</f>
        <v>0</v>
      </c>
      <c r="CP322" t="s">
        <v>266</v>
      </c>
      <c r="CQ322" s="14">
        <v>2</v>
      </c>
      <c r="CR322" t="s">
        <v>204</v>
      </c>
      <c r="CS322" t="s">
        <v>140</v>
      </c>
      <c r="CU322" s="3">
        <v>7497</v>
      </c>
      <c r="CV322" s="3">
        <f>ROUND(Table1[[#This Row],[Sales_Amount]],0)</f>
        <v>7497</v>
      </c>
      <c r="CW322" s="3"/>
      <c r="CX322" s="3"/>
      <c r="CY322" s="3" t="b">
        <f>IF(AND(Table1[[#This Row],[Sales_Amount]]&gt;=10000,Table1[[#This Row],[Profit]]&gt;0),"Good Order")</f>
        <v>0</v>
      </c>
      <c r="CZ322" s="3" t="str">
        <f>IF(Table1[[#This Row],[Sales_Amount]]&gt;=10000,"High","Normal")</f>
        <v>Normal</v>
      </c>
      <c r="DA322" s="3">
        <v>3147</v>
      </c>
      <c r="DB322" s="3">
        <f>ROUND(Table1[[#This Row],[Profit]],0)</f>
        <v>3147</v>
      </c>
      <c r="DC322" s="3">
        <f>ABS(Table1[[#This Row],[Profit]])</f>
        <v>3147</v>
      </c>
      <c r="DD322" s="3"/>
      <c r="DE322" s="3"/>
      <c r="DF322" s="3"/>
      <c r="DG322" s="3" t="str">
        <f>IF(Table1[[#This Row],[Profit]]&gt;0,"Profit","Loss")</f>
        <v>Profit</v>
      </c>
      <c r="DH322" s="3" t="str">
        <f>IF(AND(Table1[[#This Row],[Sales_Amount]]&gt;=10000,Table1[[#This Row],[Profit]]&gt;0),"Priority","Normal")</f>
        <v>Normal</v>
      </c>
      <c r="DI322" s="3">
        <f t="shared" ref="DI322:DI356" ca="1" si="37">RAND()</f>
        <v>0.58233875601436536</v>
      </c>
      <c r="DJ322" s="3">
        <f t="shared" ref="DJ322:DJ356" ca="1" si="38">RANDBETWEEN(1,100)</f>
        <v>92</v>
      </c>
      <c r="DK322" s="3"/>
      <c r="DL322" s="3"/>
      <c r="DM322" s="3"/>
      <c r="DN322" s="3"/>
      <c r="DO322" s="3"/>
      <c r="DP322" s="3"/>
    </row>
    <row r="323" spans="1:120">
      <c r="A323" t="s">
        <v>1430</v>
      </c>
      <c r="B323" t="str">
        <f>REPLACE(Table1[[#This Row],[Order_ID]],1,3,"YOO")</f>
        <v>YOO10322</v>
      </c>
      <c r="C323" t="str">
        <f>MID(Table1[[#This Row],[Order_ID]],4,4)</f>
        <v>1032</v>
      </c>
      <c r="D323" t="str">
        <f>LEFT(Table1[[#This Row],[Order_ID]],4)</f>
        <v>ORD1</v>
      </c>
      <c r="E323" t="str">
        <f>RIGHT(Table1[[#This Row],[Order_ID]],5)</f>
        <v>10322</v>
      </c>
      <c r="F323" t="s">
        <v>5</v>
      </c>
      <c r="G323">
        <v>10322</v>
      </c>
      <c r="H323" t="s">
        <v>1431</v>
      </c>
      <c r="I323" s="2">
        <f>EDATE(Table1[[#This Row],[Order_Date]],3)</f>
        <v>46061</v>
      </c>
      <c r="J323" s="2">
        <f>EDATE(Table1[[#This Row],[Order_Date]],6)</f>
        <v>46150</v>
      </c>
      <c r="K323">
        <f ca="1">YEAR(Table1[[#This Row],[Today]])</f>
        <v>2026</v>
      </c>
      <c r="L323">
        <v>322</v>
      </c>
      <c r="M323">
        <f ca="1">DAY(Table1[[#This Row],[Today]])</f>
        <v>11</v>
      </c>
      <c r="N323" s="19">
        <f t="shared" ca="1" si="34"/>
        <v>46245.589795138891</v>
      </c>
      <c r="O323" s="2">
        <f t="shared" ca="1" si="36"/>
        <v>46245</v>
      </c>
      <c r="P323" s="17">
        <f ca="1">Table1[[#This Row],[Today]]-Table1[[#This Row],[Order_Date]]</f>
        <v>276</v>
      </c>
      <c r="Q323" s="2">
        <v>45979</v>
      </c>
      <c r="R323" s="2">
        <v>45969</v>
      </c>
      <c r="S323" s="6">
        <f t="shared" ref="S323:S356" si="39">YEAR(R323)</f>
        <v>2025</v>
      </c>
      <c r="T323" s="7" t="str">
        <f t="shared" ref="T323:T356" si="40">TEXT(R323,"mmmm")</f>
        <v>November</v>
      </c>
      <c r="U323" s="2">
        <f>WORKDAY(Table1[[#This Row],[Order_Date]],5)</f>
        <v>45975</v>
      </c>
      <c r="V323" s="7" t="str">
        <f>CONCATENATE(Table1[[#This Row],[Customer_ID]],Table1[[#This Row],[Customer_Name]])</f>
        <v>C1094Priya Verma</v>
      </c>
      <c r="W323" t="s">
        <v>1432</v>
      </c>
      <c r="X323" t="s">
        <v>335</v>
      </c>
      <c r="Y323">
        <f>COUNTA(Table1[[#This Row],[Customer_Name]])</f>
        <v>1</v>
      </c>
      <c r="Z323" t="str">
        <f>SUBSTITUTE(Table1[[#This Row],[Customer_Name]]," ","_")</f>
        <v>Priya_Verma</v>
      </c>
      <c r="AA323" s="10">
        <f>IFERROR(SEARCH("a",Table1[[#This Row],[Customer_Name]]),"N/A")</f>
        <v>5</v>
      </c>
      <c r="AB323">
        <f>SEARCH(" ",Table1[[#This Row],[Customer_Name]])</f>
        <v>6</v>
      </c>
      <c r="AC323" s="11">
        <f>IFERROR(FIND("a",Table1[[#This Row],[Customer_Name]]),"N/A")</f>
        <v>5</v>
      </c>
      <c r="AD323">
        <f>FIND(" ",Table1[[#This Row],[Customer_Name]])</f>
        <v>6</v>
      </c>
      <c r="AE323" t="str">
        <f>TRIM(Table1[[#This Row],[Customer_Name]])</f>
        <v>Priya Verma</v>
      </c>
      <c r="AF323">
        <f>LEN(Table1[[#This Row],[Trimmed]])</f>
        <v>11</v>
      </c>
      <c r="AG323">
        <f>MAX(Table1[Length])</f>
        <v>15</v>
      </c>
      <c r="AH323" t="str">
        <f>PROPER(Table1[[#This Row],[Customer_Name]])</f>
        <v>Priya Verma</v>
      </c>
      <c r="AI323" t="str">
        <f>LOWER(Table1[[#This Row],[Customer_Name]])</f>
        <v>priya verma</v>
      </c>
      <c r="AJ323" t="str">
        <f>UPPER(Table1[[#This Row],[Customer_Name]])</f>
        <v>PRIYA VERMA</v>
      </c>
      <c r="AK323" t="str">
        <f>CONCATENATE(Table1[[#This Row],[Customer_ID]],Table1[[#This Row],[Customer_Name]])</f>
        <v>C1094Priya Verma</v>
      </c>
      <c r="AL323" t="s">
        <v>174</v>
      </c>
      <c r="AM323" t="s">
        <v>336</v>
      </c>
      <c r="AN323" t="s">
        <v>337</v>
      </c>
      <c r="AO323" t="s">
        <v>174</v>
      </c>
      <c r="AP323" t="s">
        <v>336</v>
      </c>
      <c r="AQ323" t="s">
        <v>127</v>
      </c>
      <c r="AR323" t="str">
        <f>TRIM(Table1[[#This Row],[City]])</f>
        <v>Pune</v>
      </c>
      <c r="AS323" t="str">
        <f>PROPER(Table1[[#This Row],[City]])</f>
        <v>Pune</v>
      </c>
      <c r="AT323" t="s">
        <v>128</v>
      </c>
      <c r="AU323" t="str">
        <f>CONCATENATE(Table1[[#This Row],[City]],Table1[[#This Row],[State]])</f>
        <v>PuneMaharashtra</v>
      </c>
      <c r="AV323" t="s">
        <v>129</v>
      </c>
      <c r="AW323" t="s">
        <v>261</v>
      </c>
      <c r="AX323" t="str">
        <f>REPLACE(Table1[[#This Row],[Product_ID]],1,1,"s")</f>
        <v>s114</v>
      </c>
      <c r="AY323" t="s">
        <v>1433</v>
      </c>
      <c r="AZ323">
        <f>SEARCH("-",Table1[[#This Row],[Product ID]])</f>
        <v>2</v>
      </c>
      <c r="BA323">
        <f>FIND("-",Table1[[#This Row],[Product ID]])</f>
        <v>2</v>
      </c>
      <c r="BB323" t="str">
        <f>MID(Table1[[#This Row],[Product_ID]],2,3)</f>
        <v>114</v>
      </c>
      <c r="BC323" t="str">
        <f>RIGHT(Table1[[#This Row],[Product_ID]],3)</f>
        <v>114</v>
      </c>
      <c r="BD323" t="str">
        <f>LEFT(Table1[[#This Row],[Product_ID]],3)</f>
        <v>P11</v>
      </c>
      <c r="BE323" t="str">
        <f>_xlfn.XLOOKUP(Table1[[#This Row],[Product_ID]],AW:AW,BF:BF,,0)</f>
        <v>Yoga Mat</v>
      </c>
      <c r="BF323" t="s">
        <v>263</v>
      </c>
      <c r="BG323">
        <f>LEN(Table1[[#This Row],[Product_Name]])</f>
        <v>8</v>
      </c>
      <c r="BH323" t="s">
        <v>264</v>
      </c>
      <c r="BI323">
        <f t="shared" si="35"/>
        <v>75</v>
      </c>
      <c r="BJ323" t="str">
        <f>SUBSTITUTE(Table1[[#This Row],[Category]],"Electronics","ELECTRONICS")</f>
        <v>Sports</v>
      </c>
      <c r="BN323" t="s">
        <v>265</v>
      </c>
      <c r="BS323" s="14">
        <v>5</v>
      </c>
      <c r="BT323" s="3">
        <v>999</v>
      </c>
      <c r="BU323" s="4">
        <v>10</v>
      </c>
      <c r="BV323" s="4" t="str">
        <f>IF(AND(Table1[[#This Row],[Quantity]]&gt;=3,Table1[[#This Row],[Discount_%]]&gt;=15%),"Bulk Discount","no")</f>
        <v>Bulk Discount</v>
      </c>
      <c r="BW323" s="4" t="str">
        <f>IF(AND(Table1[[#This Row],[Quantity]]&gt;3,Table1[[#This Row],[Discount_%]]&gt;15%),"Bulk Customer","Normal")</f>
        <v>Bulk Customer</v>
      </c>
      <c r="BX323" t="s">
        <v>187</v>
      </c>
      <c r="BY323" t="s">
        <v>374</v>
      </c>
      <c r="CC323" t="str">
        <f>IF(OR(Table1[[#This Row],[Order_Status]]="Returned",Table1[[#This Row],[Order_Status]]="Cancelled"),"Attention Required","Not")</f>
        <v>Attention Required</v>
      </c>
      <c r="CD323" t="str">
        <f>IF(OR(Table1[[#This Row],[Order_Status]]="Returned",Table1[[#This Row],[Order_Status]]="Cancelled"),"Review","no")</f>
        <v>Review</v>
      </c>
      <c r="CE323" t="str">
        <f>SUBSTITUTE(Table1[[#This Row],[Order_Status]],"Delivered","Completed")</f>
        <v>Returned</v>
      </c>
      <c r="CF323" s="2">
        <v>45977</v>
      </c>
      <c r="CG323" s="17">
        <f>NETWORKDAYS(Table1[[#This Row],[Order_Date]],Table1[[#This Row],[Delivery_Date]])</f>
        <v>5</v>
      </c>
      <c r="CH323" s="17">
        <f>Table1[[#This Row],[Delivery_Date]]-Table1[[#This Row],[Order_Date]]</f>
        <v>8</v>
      </c>
      <c r="CI323" t="s">
        <v>375</v>
      </c>
      <c r="CJ323" t="str">
        <f>IF(Table1[[#This Row],[Rating]]&gt;=4,"Good","Needs Improvement")</f>
        <v>Good</v>
      </c>
      <c r="CK323" t="str">
        <f>IF(OR(Table1[[#This Row],[Rating]]&lt;=2,Table1[[#This Row],[Profit]]&lt;0),"Review","NO")</f>
        <v>NO</v>
      </c>
      <c r="CL323" t="str" cm="1">
        <f t="array" ref="CL323">_xlfn.IFS(Table1[[#This Row],[Rating]]&gt;2,"Poor",Table1[[#This Row],[Rating]]=3,"Average",Table1[[#This Row],[Rating]]=4,"Good",CP323=5,"Excellent")</f>
        <v>Poor</v>
      </c>
      <c r="CM323">
        <f>COUNT(Table1[[#This Row],[Rating]])</f>
        <v>1</v>
      </c>
      <c r="CN323">
        <f>COUNTBLANK(Table1[[#This Row],[Rating]])</f>
        <v>0</v>
      </c>
      <c r="CP323" t="s">
        <v>138</v>
      </c>
      <c r="CQ323" s="14">
        <v>5</v>
      </c>
      <c r="CR323" t="s">
        <v>173</v>
      </c>
      <c r="CS323" t="s">
        <v>174</v>
      </c>
      <c r="CU323" s="3">
        <v>4495.5</v>
      </c>
      <c r="CV323" s="3">
        <f>ROUND(Table1[[#This Row],[Sales_Amount]],0)</f>
        <v>4496</v>
      </c>
      <c r="CW323" s="3"/>
      <c r="CX323" s="3"/>
      <c r="CY323" s="3" t="b">
        <f>IF(AND(Table1[[#This Row],[Sales_Amount]]&gt;=10000,Table1[[#This Row],[Profit]]&gt;0),"Good Order")</f>
        <v>0</v>
      </c>
      <c r="CZ323" s="3" t="str">
        <f>IF(Table1[[#This Row],[Sales_Amount]]&gt;=10000,"High","Normal")</f>
        <v>Normal</v>
      </c>
      <c r="DA323" s="3">
        <v>2245.5</v>
      </c>
      <c r="DB323" s="3">
        <f>ROUND(Table1[[#This Row],[Profit]],0)</f>
        <v>2246</v>
      </c>
      <c r="DC323" s="3">
        <f>ABS(Table1[[#This Row],[Profit]])</f>
        <v>2245.5</v>
      </c>
      <c r="DD323" s="3"/>
      <c r="DE323" s="3"/>
      <c r="DF323" s="3"/>
      <c r="DG323" s="3" t="str">
        <f>IF(Table1[[#This Row],[Profit]]&gt;0,"Profit","Loss")</f>
        <v>Profit</v>
      </c>
      <c r="DH323" s="3" t="str">
        <f>IF(AND(Table1[[#This Row],[Sales_Amount]]&gt;=10000,Table1[[#This Row],[Profit]]&gt;0),"Priority","Normal")</f>
        <v>Normal</v>
      </c>
      <c r="DI323" s="3">
        <f t="shared" ca="1" si="37"/>
        <v>0.80093578288240952</v>
      </c>
      <c r="DJ323" s="3">
        <f t="shared" ca="1" si="38"/>
        <v>82</v>
      </c>
      <c r="DK323" s="3"/>
      <c r="DL323" s="3"/>
      <c r="DM323" s="3"/>
      <c r="DN323" s="3"/>
      <c r="DO323" s="3"/>
      <c r="DP323" s="3"/>
    </row>
    <row r="324" spans="1:120">
      <c r="A324" t="s">
        <v>1434</v>
      </c>
      <c r="B324" t="str">
        <f>REPLACE(Table1[[#This Row],[Order_ID]],1,3,"YOO")</f>
        <v>YOO10323</v>
      </c>
      <c r="C324" t="str">
        <f>MID(Table1[[#This Row],[Order_ID]],4,4)</f>
        <v>1032</v>
      </c>
      <c r="D324" t="str">
        <f>LEFT(Table1[[#This Row],[Order_ID]],4)</f>
        <v>ORD1</v>
      </c>
      <c r="E324" t="str">
        <f>RIGHT(Table1[[#This Row],[Order_ID]],5)</f>
        <v>10323</v>
      </c>
      <c r="F324" t="s">
        <v>5</v>
      </c>
      <c r="G324">
        <v>10323</v>
      </c>
      <c r="H324" t="s">
        <v>1435</v>
      </c>
      <c r="I324" s="2">
        <f>EDATE(Table1[[#This Row],[Order_Date]],3)</f>
        <v>46233</v>
      </c>
      <c r="J324" s="2">
        <f>EDATE(Table1[[#This Row],[Order_Date]],6)</f>
        <v>46325</v>
      </c>
      <c r="K324">
        <f ca="1">YEAR(Table1[[#This Row],[Today]])</f>
        <v>2026</v>
      </c>
      <c r="L324">
        <v>323</v>
      </c>
      <c r="M324">
        <f ca="1">DAY(Table1[[#This Row],[Today]])</f>
        <v>11</v>
      </c>
      <c r="N324" s="19">
        <f t="shared" ref="N324:N356" ca="1" si="41">NOW()</f>
        <v>46245.589795370368</v>
      </c>
      <c r="O324" s="2">
        <f t="shared" ca="1" si="36"/>
        <v>46245</v>
      </c>
      <c r="P324" s="17">
        <f ca="1">Table1[[#This Row],[Today]]-Table1[[#This Row],[Order_Date]]</f>
        <v>103</v>
      </c>
      <c r="Q324" s="2">
        <v>45980</v>
      </c>
      <c r="R324" s="2">
        <v>46142</v>
      </c>
      <c r="S324" s="6">
        <f t="shared" si="39"/>
        <v>2026</v>
      </c>
      <c r="T324" s="7" t="str">
        <f t="shared" si="40"/>
        <v>April</v>
      </c>
      <c r="U324" s="2">
        <f>WORKDAY(Table1[[#This Row],[Order_Date]],5)</f>
        <v>46149</v>
      </c>
      <c r="V324" s="7" t="str">
        <f>CONCATENATE(Table1[[#This Row],[Customer_ID]],Table1[[#This Row],[Customer_Name]])</f>
        <v>C1001Arjun Rao</v>
      </c>
      <c r="W324" t="s">
        <v>249</v>
      </c>
      <c r="X324" t="s">
        <v>355</v>
      </c>
      <c r="Y324">
        <f>COUNTA(Table1[[#This Row],[Customer_Name]])</f>
        <v>1</v>
      </c>
      <c r="Z324" t="str">
        <f>SUBSTITUTE(Table1[[#This Row],[Customer_Name]]," ","_")</f>
        <v>Arjun_Rao</v>
      </c>
      <c r="AA324" s="10">
        <f>IFERROR(SEARCH("a",Table1[[#This Row],[Customer_Name]]),"N/A")</f>
        <v>1</v>
      </c>
      <c r="AB324">
        <f>SEARCH(" ",Table1[[#This Row],[Customer_Name]])</f>
        <v>6</v>
      </c>
      <c r="AC324" s="11">
        <f>IFERROR(FIND("a",Table1[[#This Row],[Customer_Name]]),"N/A")</f>
        <v>8</v>
      </c>
      <c r="AD324">
        <f>FIND(" ",Table1[[#This Row],[Customer_Name]])</f>
        <v>6</v>
      </c>
      <c r="AE324" t="str">
        <f>TRIM(Table1[[#This Row],[Customer_Name]])</f>
        <v>Arjun Rao</v>
      </c>
      <c r="AF324">
        <f>LEN(Table1[[#This Row],[Trimmed]])</f>
        <v>9</v>
      </c>
      <c r="AG324">
        <f>MAX(Table1[Length])</f>
        <v>15</v>
      </c>
      <c r="AH324" t="str">
        <f>PROPER(Table1[[#This Row],[Customer_Name]])</f>
        <v>Arjun Rao</v>
      </c>
      <c r="AI324" t="str">
        <f>LOWER(Table1[[#This Row],[Customer_Name]])</f>
        <v>arjun rao</v>
      </c>
      <c r="AJ324" t="str">
        <f>UPPER(Table1[[#This Row],[Customer_Name]])</f>
        <v>ARJUN RAO</v>
      </c>
      <c r="AK324" t="str">
        <f>CONCATENATE(Table1[[#This Row],[Customer_ID]],Table1[[#This Row],[Customer_Name]])</f>
        <v>C1001Arjun Rao</v>
      </c>
      <c r="AL324" t="s">
        <v>356</v>
      </c>
      <c r="AM324" t="s">
        <v>357</v>
      </c>
      <c r="AN324" t="s">
        <v>358</v>
      </c>
      <c r="AO324" t="s">
        <v>356</v>
      </c>
      <c r="AP324" t="s">
        <v>357</v>
      </c>
      <c r="AQ324" t="s">
        <v>233</v>
      </c>
      <c r="AR324" t="str">
        <f>TRIM(Table1[[#This Row],[City]])</f>
        <v>Kolkata</v>
      </c>
      <c r="AS324" t="str">
        <f>PROPER(Table1[[#This Row],[City]])</f>
        <v>Kolkata</v>
      </c>
      <c r="AT324" t="s">
        <v>234</v>
      </c>
      <c r="AU324" t="str">
        <f>CONCATENATE(Table1[[#This Row],[City]],Table1[[#This Row],[State]])</f>
        <v>KolkataWest Bengal</v>
      </c>
      <c r="AV324" t="s">
        <v>235</v>
      </c>
      <c r="AW324" t="s">
        <v>250</v>
      </c>
      <c r="AX324" t="str">
        <f>REPLACE(Table1[[#This Row],[Product_ID]],1,1,"s")</f>
        <v>s113</v>
      </c>
      <c r="AY324" t="s">
        <v>1436</v>
      </c>
      <c r="AZ324">
        <f>SEARCH("-",Table1[[#This Row],[Product ID]])</f>
        <v>2</v>
      </c>
      <c r="BA324">
        <f>FIND("-",Table1[[#This Row],[Product ID]])</f>
        <v>2</v>
      </c>
      <c r="BB324" t="str">
        <f>MID(Table1[[#This Row],[Product_ID]],2,3)</f>
        <v>113</v>
      </c>
      <c r="BC324" t="str">
        <f>RIGHT(Table1[[#This Row],[Product_ID]],3)</f>
        <v>113</v>
      </c>
      <c r="BD324" t="str">
        <f>LEFT(Table1[[#This Row],[Product_ID]],3)</f>
        <v>P11</v>
      </c>
      <c r="BE324" t="str">
        <f>_xlfn.XLOOKUP(Table1[[#This Row],[Product_ID]],AW:AW,BF:BF,,0)</f>
        <v>Desk Lamp</v>
      </c>
      <c r="BF324" t="s">
        <v>252</v>
      </c>
      <c r="BG324">
        <f>LEN(Table1[[#This Row],[Product_Name]])</f>
        <v>9</v>
      </c>
      <c r="BH324" t="s">
        <v>133</v>
      </c>
      <c r="BI324">
        <f t="shared" si="35"/>
        <v>75</v>
      </c>
      <c r="BJ324" t="str">
        <f>SUBSTITUTE(Table1[[#This Row],[Category]],"Electronics","ELECTRONICS")</f>
        <v>Home</v>
      </c>
      <c r="BN324" t="s">
        <v>253</v>
      </c>
      <c r="BS324" s="14">
        <v>3</v>
      </c>
      <c r="BT324" s="3">
        <v>1299</v>
      </c>
      <c r="BU324" s="4">
        <v>25</v>
      </c>
      <c r="BV324" s="4" t="str">
        <f>IF(AND(Table1[[#This Row],[Quantity]]&gt;=3,Table1[[#This Row],[Discount_%]]&gt;=15%),"Bulk Discount","no")</f>
        <v>Bulk Discount</v>
      </c>
      <c r="BW324" s="4" t="str">
        <f>IF(AND(Table1[[#This Row],[Quantity]]&gt;3,Table1[[#This Row],[Discount_%]]&gt;15%),"Bulk Customer","Normal")</f>
        <v>Normal</v>
      </c>
      <c r="BX324" t="s">
        <v>192</v>
      </c>
      <c r="BY324" t="s">
        <v>136</v>
      </c>
      <c r="CC324" t="str">
        <f>IF(OR(Table1[[#This Row],[Order_Status]]="Returned",Table1[[#This Row],[Order_Status]]="Cancelled"),"Attention Required","Not")</f>
        <v>Not</v>
      </c>
      <c r="CD324" t="str">
        <f>IF(OR(Table1[[#This Row],[Order_Status]]="Returned",Table1[[#This Row],[Order_Status]]="Cancelled"),"Review","no")</f>
        <v>no</v>
      </c>
      <c r="CE324" t="str">
        <f>SUBSTITUTE(Table1[[#This Row],[Order_Status]],"Delivered","Completed")</f>
        <v>Completed</v>
      </c>
      <c r="CF324" s="2">
        <v>46144</v>
      </c>
      <c r="CG324" s="17">
        <f>NETWORKDAYS(Table1[[#This Row],[Order_Date]],Table1[[#This Row],[Delivery_Date]])</f>
        <v>2</v>
      </c>
      <c r="CH324" s="17">
        <f>Table1[[#This Row],[Delivery_Date]]-Table1[[#This Row],[Order_Date]]</f>
        <v>2</v>
      </c>
      <c r="CI324" t="s">
        <v>137</v>
      </c>
      <c r="CJ324" t="str">
        <f>IF(Table1[[#This Row],[Rating]]&gt;=4,"Good","Needs Improvement")</f>
        <v>Good</v>
      </c>
      <c r="CK324" t="str">
        <f>IF(OR(Table1[[#This Row],[Rating]]&lt;=2,Table1[[#This Row],[Profit]]&lt;0),"Review","NO")</f>
        <v>NO</v>
      </c>
      <c r="CL324" t="str" cm="1">
        <f t="array" ref="CL324">_xlfn.IFS(Table1[[#This Row],[Rating]]&gt;2,"Poor",Table1[[#This Row],[Rating]]=3,"Average",Table1[[#This Row],[Rating]]=4,"Good",CP324=5,"Excellent")</f>
        <v>Poor</v>
      </c>
      <c r="CM324">
        <f>COUNT(Table1[[#This Row],[Rating]])</f>
        <v>1</v>
      </c>
      <c r="CN324">
        <f>COUNTBLANK(Table1[[#This Row],[Rating]])</f>
        <v>0</v>
      </c>
      <c r="CQ324" s="14">
        <v>4</v>
      </c>
      <c r="CR324" t="s">
        <v>173</v>
      </c>
      <c r="CS324" t="s">
        <v>174</v>
      </c>
      <c r="CU324" s="3">
        <v>2922.75</v>
      </c>
      <c r="CV324" s="3">
        <f>ROUND(Table1[[#This Row],[Sales_Amount]],0)</f>
        <v>2923</v>
      </c>
      <c r="CW324" s="3"/>
      <c r="CX324" s="3"/>
      <c r="CY324" s="3" t="b">
        <f>IF(AND(Table1[[#This Row],[Sales_Amount]]&gt;=10000,Table1[[#This Row],[Profit]]&gt;0),"Good Order")</f>
        <v>0</v>
      </c>
      <c r="CZ324" s="3" t="str">
        <f>IF(Table1[[#This Row],[Sales_Amount]]&gt;=10000,"High","Normal")</f>
        <v>Normal</v>
      </c>
      <c r="DA324" s="3">
        <v>972.75</v>
      </c>
      <c r="DB324" s="3">
        <f>ROUND(Table1[[#This Row],[Profit]],0)</f>
        <v>973</v>
      </c>
      <c r="DC324" s="3">
        <f>ABS(Table1[[#This Row],[Profit]])</f>
        <v>972.75</v>
      </c>
      <c r="DD324" s="3"/>
      <c r="DE324" s="3"/>
      <c r="DF324" s="3"/>
      <c r="DG324" s="3" t="str">
        <f>IF(Table1[[#This Row],[Profit]]&gt;0,"Profit","Loss")</f>
        <v>Profit</v>
      </c>
      <c r="DH324" s="3" t="str">
        <f>IF(AND(Table1[[#This Row],[Sales_Amount]]&gt;=10000,Table1[[#This Row],[Profit]]&gt;0),"Priority","Normal")</f>
        <v>Normal</v>
      </c>
      <c r="DI324" s="3">
        <f t="shared" ca="1" si="37"/>
        <v>0.58518229684796763</v>
      </c>
      <c r="DJ324" s="3">
        <f t="shared" ca="1" si="38"/>
        <v>22</v>
      </c>
      <c r="DK324" s="3"/>
      <c r="DL324" s="3"/>
      <c r="DM324" s="3"/>
      <c r="DN324" s="3"/>
      <c r="DO324" s="3"/>
      <c r="DP324" s="3"/>
    </row>
    <row r="325" spans="1:120">
      <c r="A325" t="s">
        <v>1437</v>
      </c>
      <c r="B325" t="str">
        <f>REPLACE(Table1[[#This Row],[Order_ID]],1,3,"YOO")</f>
        <v>YOO10324</v>
      </c>
      <c r="C325" t="str">
        <f>MID(Table1[[#This Row],[Order_ID]],4,4)</f>
        <v>1032</v>
      </c>
      <c r="D325" t="str">
        <f>LEFT(Table1[[#This Row],[Order_ID]],4)</f>
        <v>ORD1</v>
      </c>
      <c r="E325" t="str">
        <f>RIGHT(Table1[[#This Row],[Order_ID]],5)</f>
        <v>10324</v>
      </c>
      <c r="F325" t="s">
        <v>5</v>
      </c>
      <c r="G325">
        <v>10324</v>
      </c>
      <c r="H325" t="s">
        <v>1438</v>
      </c>
      <c r="I325" s="2">
        <f>EDATE(Table1[[#This Row],[Order_Date]],3)</f>
        <v>45857</v>
      </c>
      <c r="J325" s="2">
        <f>EDATE(Table1[[#This Row],[Order_Date]],6)</f>
        <v>45949</v>
      </c>
      <c r="K325">
        <f ca="1">YEAR(Table1[[#This Row],[Today]])</f>
        <v>2026</v>
      </c>
      <c r="L325">
        <v>324</v>
      </c>
      <c r="M325">
        <f ca="1">DAY(Table1[[#This Row],[Today]])</f>
        <v>11</v>
      </c>
      <c r="N325" s="19">
        <f t="shared" ca="1" si="41"/>
        <v>46245.589795370368</v>
      </c>
      <c r="O325" s="2">
        <f t="shared" ca="1" si="36"/>
        <v>46245</v>
      </c>
      <c r="P325" s="17">
        <f ca="1">Table1[[#This Row],[Today]]-Table1[[#This Row],[Order_Date]]</f>
        <v>479</v>
      </c>
      <c r="Q325" s="2">
        <v>45981</v>
      </c>
      <c r="R325" s="2">
        <v>45766</v>
      </c>
      <c r="S325" s="6">
        <f t="shared" si="39"/>
        <v>2025</v>
      </c>
      <c r="T325" s="7" t="str">
        <f t="shared" si="40"/>
        <v>April</v>
      </c>
      <c r="U325" s="2">
        <f>WORKDAY(Table1[[#This Row],[Order_Date]],5)</f>
        <v>45772</v>
      </c>
      <c r="V325" s="7" t="str">
        <f>CONCATENATE(Table1[[#This Row],[Customer_ID]],Table1[[#This Row],[Customer_Name]])</f>
        <v xml:space="preserve">C1028  vikas yadav  </v>
      </c>
      <c r="W325" t="s">
        <v>309</v>
      </c>
      <c r="X325" t="s">
        <v>1439</v>
      </c>
      <c r="Y325">
        <f>COUNTA(Table1[[#This Row],[Customer_Name]])</f>
        <v>1</v>
      </c>
      <c r="Z325" t="str">
        <f>SUBSTITUTE(Table1[[#This Row],[Customer_Name]]," ","_")</f>
        <v>__vikas_yadav__</v>
      </c>
      <c r="AA325" s="10">
        <f>IFERROR(SEARCH("a",Table1[[#This Row],[Customer_Name]]),"N/A")</f>
        <v>6</v>
      </c>
      <c r="AB325">
        <f>SEARCH(" ",Table1[[#This Row],[Customer_Name]])</f>
        <v>1</v>
      </c>
      <c r="AC325" s="11">
        <f>IFERROR(FIND("a",Table1[[#This Row],[Customer_Name]]),"N/A")</f>
        <v>6</v>
      </c>
      <c r="AD325">
        <f>FIND(" ",Table1[[#This Row],[Customer_Name]])</f>
        <v>1</v>
      </c>
      <c r="AE325" t="str">
        <f>TRIM(Table1[[#This Row],[Customer_Name]])</f>
        <v>vikas yadav</v>
      </c>
      <c r="AF325">
        <f>LEN(Table1[[#This Row],[Trimmed]])</f>
        <v>11</v>
      </c>
      <c r="AG325">
        <f>MAX(Table1[Length])</f>
        <v>15</v>
      </c>
      <c r="AH325" t="str">
        <f>PROPER(Table1[[#This Row],[Customer_Name]])</f>
        <v xml:space="preserve">  Vikas Yadav  </v>
      </c>
      <c r="AI325" t="str">
        <f>LOWER(Table1[[#This Row],[Customer_Name]])</f>
        <v xml:space="preserve">  vikas yadav  </v>
      </c>
      <c r="AJ325" t="str">
        <f>UPPER(Table1[[#This Row],[Customer_Name]])</f>
        <v xml:space="preserve">  VIKAS YADAV  </v>
      </c>
      <c r="AK325" t="str">
        <f>CONCATENATE(Table1[[#This Row],[Customer_ID]],Table1[[#This Row],[Customer_Name]])</f>
        <v xml:space="preserve">C1028  vikas yadav  </v>
      </c>
      <c r="AL325" t="s">
        <v>1440</v>
      </c>
      <c r="AM325" t="s">
        <v>1441</v>
      </c>
      <c r="AN325" t="s">
        <v>211</v>
      </c>
      <c r="AO325" t="s">
        <v>1440</v>
      </c>
      <c r="AP325" t="s">
        <v>1441</v>
      </c>
      <c r="AQ325" t="s">
        <v>344</v>
      </c>
      <c r="AR325" t="str">
        <f>TRIM(Table1[[#This Row],[City]])</f>
        <v>Bhopal</v>
      </c>
      <c r="AS325" t="str">
        <f>PROPER(Table1[[#This Row],[City]])</f>
        <v>Bhopal</v>
      </c>
      <c r="AT325" t="s">
        <v>345</v>
      </c>
      <c r="AU325" t="str">
        <f>CONCATENATE(Table1[[#This Row],[City]],Table1[[#This Row],[State]])</f>
        <v>BhopalMadhya Pradesh</v>
      </c>
      <c r="AV325" t="s">
        <v>346</v>
      </c>
      <c r="AW325" t="s">
        <v>477</v>
      </c>
      <c r="AX325" t="str">
        <f>REPLACE(Table1[[#This Row],[Product_ID]],1,1,"s")</f>
        <v>s109</v>
      </c>
      <c r="AY325" t="s">
        <v>1442</v>
      </c>
      <c r="AZ325">
        <f>SEARCH("-",Table1[[#This Row],[Product ID]])</f>
        <v>2</v>
      </c>
      <c r="BA325">
        <f>FIND("-",Table1[[#This Row],[Product ID]])</f>
        <v>2</v>
      </c>
      <c r="BB325" t="str">
        <f>MID(Table1[[#This Row],[Product_ID]],2,3)</f>
        <v>109</v>
      </c>
      <c r="BC325" t="str">
        <f>RIGHT(Table1[[#This Row],[Product_ID]],3)</f>
        <v>109</v>
      </c>
      <c r="BD325" t="str">
        <f>LEFT(Table1[[#This Row],[Product_ID]],3)</f>
        <v>P10</v>
      </c>
      <c r="BE325" t="str">
        <f>_xlfn.XLOOKUP(Table1[[#This Row],[Product_ID]],AW:AW,BF:BF,,0)</f>
        <v>Backpack</v>
      </c>
      <c r="BF325" t="s">
        <v>479</v>
      </c>
      <c r="BG325">
        <f>LEN(Table1[[#This Row],[Product_Name]])</f>
        <v>8</v>
      </c>
      <c r="BH325" t="s">
        <v>224</v>
      </c>
      <c r="BI325">
        <f t="shared" ref="BI325:BI356" si="42">COUNTIFS(BH:BH,"Electronics",CQ:CQ,"&gt;=4")</f>
        <v>75</v>
      </c>
      <c r="BJ325" t="str">
        <f>SUBSTITUTE(Table1[[#This Row],[Category]],"Electronics","ELECTRONICS")</f>
        <v>Fashion</v>
      </c>
      <c r="BN325" t="s">
        <v>480</v>
      </c>
      <c r="BS325" s="14">
        <v>1</v>
      </c>
      <c r="BT325" s="3">
        <v>2299</v>
      </c>
      <c r="BU325" s="4">
        <v>5</v>
      </c>
      <c r="BV325" s="4" t="str">
        <f>IF(AND(Table1[[#This Row],[Quantity]]&gt;=3,Table1[[#This Row],[Discount_%]]&gt;=15%),"Bulk Discount","no")</f>
        <v>no</v>
      </c>
      <c r="BW325" s="4" t="str">
        <f>IF(AND(Table1[[#This Row],[Quantity]]&gt;3,Table1[[#This Row],[Discount_%]]&gt;15%),"Bulk Customer","Normal")</f>
        <v>Normal</v>
      </c>
      <c r="BX325" t="s">
        <v>135</v>
      </c>
      <c r="BY325" t="s">
        <v>136</v>
      </c>
      <c r="CC325" t="str">
        <f>IF(OR(Table1[[#This Row],[Order_Status]]="Returned",Table1[[#This Row],[Order_Status]]="Cancelled"),"Attention Required","Not")</f>
        <v>Not</v>
      </c>
      <c r="CD325" t="str">
        <f>IF(OR(Table1[[#This Row],[Order_Status]]="Returned",Table1[[#This Row],[Order_Status]]="Cancelled"),"Review","no")</f>
        <v>no</v>
      </c>
      <c r="CE325" t="str">
        <f>SUBSTITUTE(Table1[[#This Row],[Order_Status]],"Delivered","Completed")</f>
        <v>Completed</v>
      </c>
      <c r="CF325" s="2">
        <v>45769</v>
      </c>
      <c r="CG325" s="17">
        <f>NETWORKDAYS(Table1[[#This Row],[Order_Date]],Table1[[#This Row],[Delivery_Date]])</f>
        <v>2</v>
      </c>
      <c r="CH325" s="17">
        <f>Table1[[#This Row],[Delivery_Date]]-Table1[[#This Row],[Order_Date]]</f>
        <v>3</v>
      </c>
      <c r="CI325" t="s">
        <v>137</v>
      </c>
      <c r="CJ325" t="str">
        <f>IF(Table1[[#This Row],[Rating]]&gt;=4,"Good","Needs Improvement")</f>
        <v>Good</v>
      </c>
      <c r="CK325" t="str">
        <f>IF(OR(Table1[[#This Row],[Rating]]&lt;=2,Table1[[#This Row],[Profit]]&lt;0),"Review","NO")</f>
        <v>NO</v>
      </c>
      <c r="CL325" t="str" cm="1">
        <f t="array" ref="CL325">_xlfn.IFS(Table1[[#This Row],[Rating]]&gt;2,"Poor",Table1[[#This Row],[Rating]]=3,"Average",Table1[[#This Row],[Rating]]=4,"Good",CP325=5,"Excellent")</f>
        <v>Poor</v>
      </c>
      <c r="CM325">
        <f>COUNT(Table1[[#This Row],[Rating]])</f>
        <v>1</v>
      </c>
      <c r="CN325">
        <f>COUNTBLANK(Table1[[#This Row],[Rating]])</f>
        <v>0</v>
      </c>
      <c r="CP325" t="s">
        <v>194</v>
      </c>
      <c r="CQ325" s="14">
        <v>5</v>
      </c>
      <c r="CR325" t="s">
        <v>139</v>
      </c>
      <c r="CS325" t="s">
        <v>140</v>
      </c>
      <c r="CU325" s="3">
        <v>2184.0500000000002</v>
      </c>
      <c r="CV325" s="3">
        <f>ROUND(Table1[[#This Row],[Sales_Amount]],0)</f>
        <v>2184</v>
      </c>
      <c r="CW325" s="3"/>
      <c r="CX325" s="3"/>
      <c r="CY325" s="3" t="b">
        <f>IF(AND(Table1[[#This Row],[Sales_Amount]]&gt;=10000,Table1[[#This Row],[Profit]]&gt;0),"Good Order")</f>
        <v>0</v>
      </c>
      <c r="CZ325" s="3" t="str">
        <f>IF(Table1[[#This Row],[Sales_Amount]]&gt;=10000,"High","Normal")</f>
        <v>Normal</v>
      </c>
      <c r="DA325" s="3">
        <v>934.05</v>
      </c>
      <c r="DB325" s="3">
        <f>ROUND(Table1[[#This Row],[Profit]],0)</f>
        <v>934</v>
      </c>
      <c r="DC325" s="3">
        <f>ABS(Table1[[#This Row],[Profit]])</f>
        <v>934.05</v>
      </c>
      <c r="DD325" s="3"/>
      <c r="DE325" s="3"/>
      <c r="DF325" s="3"/>
      <c r="DG325" s="3" t="str">
        <f>IF(Table1[[#This Row],[Profit]]&gt;0,"Profit","Loss")</f>
        <v>Profit</v>
      </c>
      <c r="DH325" s="3" t="str">
        <f>IF(AND(Table1[[#This Row],[Sales_Amount]]&gt;=10000,Table1[[#This Row],[Profit]]&gt;0),"Priority","Normal")</f>
        <v>Normal</v>
      </c>
      <c r="DI325" s="3">
        <f t="shared" ca="1" si="37"/>
        <v>0.17937445358210424</v>
      </c>
      <c r="DJ325" s="3">
        <f t="shared" ca="1" si="38"/>
        <v>79</v>
      </c>
      <c r="DK325" s="3"/>
      <c r="DL325" s="3"/>
      <c r="DM325" s="3"/>
      <c r="DN325" s="3"/>
      <c r="DO325" s="3"/>
      <c r="DP325" s="3"/>
    </row>
    <row r="326" spans="1:120">
      <c r="A326" t="s">
        <v>1443</v>
      </c>
      <c r="B326" t="str">
        <f>REPLACE(Table1[[#This Row],[Order_ID]],1,3,"YOO")</f>
        <v>YOO10325</v>
      </c>
      <c r="C326" t="str">
        <f>MID(Table1[[#This Row],[Order_ID]],4,4)</f>
        <v>1032</v>
      </c>
      <c r="D326" t="str">
        <f>LEFT(Table1[[#This Row],[Order_ID]],4)</f>
        <v>ORD1</v>
      </c>
      <c r="E326" t="str">
        <f>RIGHT(Table1[[#This Row],[Order_ID]],5)</f>
        <v>10325</v>
      </c>
      <c r="F326" t="s">
        <v>5</v>
      </c>
      <c r="G326">
        <v>10325</v>
      </c>
      <c r="H326" t="s">
        <v>1444</v>
      </c>
      <c r="I326" s="2">
        <f>EDATE(Table1[[#This Row],[Order_Date]],3)</f>
        <v>45970</v>
      </c>
      <c r="J326" s="2">
        <f>EDATE(Table1[[#This Row],[Order_Date]],6)</f>
        <v>46062</v>
      </c>
      <c r="K326">
        <f ca="1">YEAR(Table1[[#This Row],[Today]])</f>
        <v>2026</v>
      </c>
      <c r="L326">
        <v>325</v>
      </c>
      <c r="M326">
        <f ca="1">DAY(Table1[[#This Row],[Today]])</f>
        <v>11</v>
      </c>
      <c r="N326" s="19">
        <f t="shared" ca="1" si="41"/>
        <v>46245.589795138891</v>
      </c>
      <c r="O326" s="2">
        <f t="shared" ca="1" si="36"/>
        <v>46245</v>
      </c>
      <c r="P326" s="17">
        <f ca="1">Table1[[#This Row],[Today]]-Table1[[#This Row],[Order_Date]]</f>
        <v>367</v>
      </c>
      <c r="Q326" s="2">
        <v>45982</v>
      </c>
      <c r="R326" s="2">
        <v>45878</v>
      </c>
      <c r="S326" s="6">
        <f t="shared" si="39"/>
        <v>2025</v>
      </c>
      <c r="T326" s="7" t="str">
        <f t="shared" si="40"/>
        <v>August</v>
      </c>
      <c r="U326" s="2">
        <f>WORKDAY(Table1[[#This Row],[Order_Date]],5)</f>
        <v>45884</v>
      </c>
      <c r="V326" s="7" t="str">
        <f>CONCATENATE(Table1[[#This Row],[Customer_ID]],Table1[[#This Row],[Customer_Name]])</f>
        <v>C1107Priya Verma</v>
      </c>
      <c r="W326" t="s">
        <v>1445</v>
      </c>
      <c r="X326" t="s">
        <v>335</v>
      </c>
      <c r="Y326">
        <f>COUNTA(Table1[[#This Row],[Customer_Name]])</f>
        <v>1</v>
      </c>
      <c r="Z326" t="str">
        <f>SUBSTITUTE(Table1[[#This Row],[Customer_Name]]," ","_")</f>
        <v>Priya_Verma</v>
      </c>
      <c r="AA326" s="10">
        <f>IFERROR(SEARCH("a",Table1[[#This Row],[Customer_Name]]),"N/A")</f>
        <v>5</v>
      </c>
      <c r="AB326">
        <f>SEARCH(" ",Table1[[#This Row],[Customer_Name]])</f>
        <v>6</v>
      </c>
      <c r="AC326" s="11">
        <f>IFERROR(FIND("a",Table1[[#This Row],[Customer_Name]]),"N/A")</f>
        <v>5</v>
      </c>
      <c r="AD326">
        <f>FIND(" ",Table1[[#This Row],[Customer_Name]])</f>
        <v>6</v>
      </c>
      <c r="AE326" t="str">
        <f>TRIM(Table1[[#This Row],[Customer_Name]])</f>
        <v>Priya Verma</v>
      </c>
      <c r="AF326">
        <f>LEN(Table1[[#This Row],[Trimmed]])</f>
        <v>11</v>
      </c>
      <c r="AG326">
        <f>MAX(Table1[Length])</f>
        <v>15</v>
      </c>
      <c r="AH326" t="str">
        <f>PROPER(Table1[[#This Row],[Customer_Name]])</f>
        <v>Priya Verma</v>
      </c>
      <c r="AI326" t="str">
        <f>LOWER(Table1[[#This Row],[Customer_Name]])</f>
        <v>priya verma</v>
      </c>
      <c r="AJ326" t="str">
        <f>UPPER(Table1[[#This Row],[Customer_Name]])</f>
        <v>PRIYA VERMA</v>
      </c>
      <c r="AK326" t="str">
        <f>CONCATENATE(Table1[[#This Row],[Customer_ID]],Table1[[#This Row],[Customer_Name]])</f>
        <v>C1107Priya Verma</v>
      </c>
      <c r="AL326" t="s">
        <v>174</v>
      </c>
      <c r="AM326" t="s">
        <v>336</v>
      </c>
      <c r="AN326" t="s">
        <v>337</v>
      </c>
      <c r="AO326" t="s">
        <v>174</v>
      </c>
      <c r="AP326" t="s">
        <v>336</v>
      </c>
      <c r="AQ326" t="s">
        <v>166</v>
      </c>
      <c r="AR326" t="str">
        <f>TRIM(Table1[[#This Row],[City]])</f>
        <v>Bengaluru</v>
      </c>
      <c r="AS326" t="str">
        <f>PROPER(Table1[[#This Row],[City]])</f>
        <v>Bengaluru</v>
      </c>
      <c r="AT326" t="s">
        <v>167</v>
      </c>
      <c r="AU326" t="str">
        <f>CONCATENATE(Table1[[#This Row],[City]],Table1[[#This Row],[State]])</f>
        <v>BengaluruKarnataka</v>
      </c>
      <c r="AV326" t="s">
        <v>168</v>
      </c>
      <c r="AW326" t="s">
        <v>338</v>
      </c>
      <c r="AX326" t="str">
        <f>REPLACE(Table1[[#This Row],[Product_ID]],1,1,"s")</f>
        <v>s115</v>
      </c>
      <c r="AY326" t="s">
        <v>1446</v>
      </c>
      <c r="AZ326">
        <f>SEARCH("-",Table1[[#This Row],[Product ID]])</f>
        <v>2</v>
      </c>
      <c r="BA326">
        <f>FIND("-",Table1[[#This Row],[Product ID]])</f>
        <v>2</v>
      </c>
      <c r="BB326" t="str">
        <f>MID(Table1[[#This Row],[Product_ID]],2,3)</f>
        <v>115</v>
      </c>
      <c r="BC326" t="str">
        <f>RIGHT(Table1[[#This Row],[Product_ID]],3)</f>
        <v>115</v>
      </c>
      <c r="BD326" t="str">
        <f>LEFT(Table1[[#This Row],[Product_ID]],3)</f>
        <v>P11</v>
      </c>
      <c r="BE326" t="str">
        <f>_xlfn.XLOOKUP(Table1[[#This Row],[Product_ID]],AW:AW,BF:BF,,0)</f>
        <v>Dumbbell Set</v>
      </c>
      <c r="BF326" t="s">
        <v>340</v>
      </c>
      <c r="BG326">
        <f>LEN(Table1[[#This Row],[Product_Name]])</f>
        <v>12</v>
      </c>
      <c r="BH326" t="s">
        <v>264</v>
      </c>
      <c r="BI326">
        <f t="shared" si="42"/>
        <v>75</v>
      </c>
      <c r="BJ326" t="str">
        <f>SUBSTITUTE(Table1[[#This Row],[Category]],"Electronics","ELECTRONICS")</f>
        <v>Sports</v>
      </c>
      <c r="BN326" t="s">
        <v>265</v>
      </c>
      <c r="BS326" s="14">
        <v>4</v>
      </c>
      <c r="BT326" s="3">
        <v>2499</v>
      </c>
      <c r="BU326" s="4">
        <v>10</v>
      </c>
      <c r="BV326" s="4" t="str">
        <f>IF(AND(Table1[[#This Row],[Quantity]]&gt;=3,Table1[[#This Row],[Discount_%]]&gt;=15%),"Bulk Discount","no")</f>
        <v>Bulk Discount</v>
      </c>
      <c r="BW326" s="4" t="str">
        <f>IF(AND(Table1[[#This Row],[Quantity]]&gt;3,Table1[[#This Row],[Discount_%]]&gt;15%),"Bulk Customer","Normal")</f>
        <v>Bulk Customer</v>
      </c>
      <c r="BX326" t="s">
        <v>135</v>
      </c>
      <c r="BY326" t="s">
        <v>374</v>
      </c>
      <c r="CC326" t="str">
        <f>IF(OR(Table1[[#This Row],[Order_Status]]="Returned",Table1[[#This Row],[Order_Status]]="Cancelled"),"Attention Required","Not")</f>
        <v>Attention Required</v>
      </c>
      <c r="CD326" t="str">
        <f>IF(OR(Table1[[#This Row],[Order_Status]]="Returned",Table1[[#This Row],[Order_Status]]="Cancelled"),"Review","no")</f>
        <v>Review</v>
      </c>
      <c r="CE326" t="str">
        <f>SUBSTITUTE(Table1[[#This Row],[Order_Status]],"Delivered","Completed")</f>
        <v>Returned</v>
      </c>
      <c r="CF326" s="2">
        <v>45884</v>
      </c>
      <c r="CG326" s="17">
        <f>NETWORKDAYS(Table1[[#This Row],[Order_Date]],Table1[[#This Row],[Delivery_Date]])</f>
        <v>5</v>
      </c>
      <c r="CH326" s="17">
        <f>Table1[[#This Row],[Delivery_Date]]-Table1[[#This Row],[Order_Date]]</f>
        <v>6</v>
      </c>
      <c r="CI326" t="s">
        <v>375</v>
      </c>
      <c r="CJ326" t="str">
        <f>IF(Table1[[#This Row],[Rating]]&gt;=4,"Good","Needs Improvement")</f>
        <v>Needs Improvement</v>
      </c>
      <c r="CK326" t="str">
        <f>IF(OR(Table1[[#This Row],[Rating]]&lt;=2,Table1[[#This Row],[Profit]]&lt;0),"Review","NO")</f>
        <v>Review</v>
      </c>
      <c r="CL326" t="e" cm="1">
        <f t="array" ref="CL326">_xlfn.IFS(Table1[[#This Row],[Rating]]&gt;2,"Poor",Table1[[#This Row],[Rating]]=3,"Average",Table1[[#This Row],[Rating]]=4,"Good",CP326=5,"Excellent")</f>
        <v>#N/A</v>
      </c>
      <c r="CM326">
        <f>COUNT(Table1[[#This Row],[Rating]])</f>
        <v>1</v>
      </c>
      <c r="CN326">
        <f>COUNTBLANK(Table1[[#This Row],[Rating]])</f>
        <v>0</v>
      </c>
      <c r="CP326" t="s">
        <v>331</v>
      </c>
      <c r="CQ326" s="14">
        <v>2</v>
      </c>
      <c r="CR326" t="s">
        <v>173</v>
      </c>
      <c r="CS326" t="s">
        <v>267</v>
      </c>
      <c r="CU326" s="3">
        <v>8996.4</v>
      </c>
      <c r="CV326" s="3">
        <f>ROUND(Table1[[#This Row],[Sales_Amount]],0)</f>
        <v>8996</v>
      </c>
      <c r="CW326" s="3"/>
      <c r="CX326" s="3"/>
      <c r="CY326" s="3" t="b">
        <f>IF(AND(Table1[[#This Row],[Sales_Amount]]&gt;=10000,Table1[[#This Row],[Profit]]&gt;0),"Good Order")</f>
        <v>0</v>
      </c>
      <c r="CZ326" s="3" t="str">
        <f>IF(Table1[[#This Row],[Sales_Amount]]&gt;=10000,"High","Normal")</f>
        <v>Normal</v>
      </c>
      <c r="DA326" s="3">
        <v>3196.4</v>
      </c>
      <c r="DB326" s="3">
        <f>ROUND(Table1[[#This Row],[Profit]],0)</f>
        <v>3196</v>
      </c>
      <c r="DC326" s="3">
        <f>ABS(Table1[[#This Row],[Profit]])</f>
        <v>3196.4</v>
      </c>
      <c r="DD326" s="3"/>
      <c r="DE326" s="3"/>
      <c r="DF326" s="3"/>
      <c r="DG326" s="3" t="str">
        <f>IF(Table1[[#This Row],[Profit]]&gt;0,"Profit","Loss")</f>
        <v>Profit</v>
      </c>
      <c r="DH326" s="3" t="str">
        <f>IF(AND(Table1[[#This Row],[Sales_Amount]]&gt;=10000,Table1[[#This Row],[Profit]]&gt;0),"Priority","Normal")</f>
        <v>Normal</v>
      </c>
      <c r="DI326" s="3">
        <f t="shared" ca="1" si="37"/>
        <v>0.46583786958238871</v>
      </c>
      <c r="DJ326" s="3">
        <f t="shared" ca="1" si="38"/>
        <v>91</v>
      </c>
      <c r="DK326" s="3"/>
      <c r="DL326" s="3"/>
      <c r="DM326" s="3"/>
      <c r="DN326" s="3"/>
      <c r="DO326" s="3"/>
      <c r="DP326" s="3"/>
    </row>
    <row r="327" spans="1:120">
      <c r="A327" t="s">
        <v>1447</v>
      </c>
      <c r="B327" t="str">
        <f>REPLACE(Table1[[#This Row],[Order_ID]],1,3,"YOO")</f>
        <v>YOO10326</v>
      </c>
      <c r="C327" t="str">
        <f>MID(Table1[[#This Row],[Order_ID]],4,4)</f>
        <v>1032</v>
      </c>
      <c r="D327" t="str">
        <f>LEFT(Table1[[#This Row],[Order_ID]],4)</f>
        <v>ORD1</v>
      </c>
      <c r="E327" t="str">
        <f>RIGHT(Table1[[#This Row],[Order_ID]],5)</f>
        <v>10326</v>
      </c>
      <c r="F327" t="s">
        <v>5</v>
      </c>
      <c r="G327">
        <v>10326</v>
      </c>
      <c r="H327" t="s">
        <v>1448</v>
      </c>
      <c r="I327" s="2">
        <f>EDATE(Table1[[#This Row],[Order_Date]],3)</f>
        <v>46266</v>
      </c>
      <c r="J327" s="2">
        <f>EDATE(Table1[[#This Row],[Order_Date]],6)</f>
        <v>46357</v>
      </c>
      <c r="K327">
        <f ca="1">YEAR(Table1[[#This Row],[Today]])</f>
        <v>2026</v>
      </c>
      <c r="L327">
        <v>326</v>
      </c>
      <c r="M327">
        <f ca="1">DAY(Table1[[#This Row],[Today]])</f>
        <v>11</v>
      </c>
      <c r="N327" s="19">
        <f t="shared" ca="1" si="41"/>
        <v>46245.589795370368</v>
      </c>
      <c r="O327" s="2">
        <f t="shared" ca="1" si="36"/>
        <v>46245</v>
      </c>
      <c r="P327" s="17">
        <f ca="1">Table1[[#This Row],[Today]]-Table1[[#This Row],[Order_Date]]</f>
        <v>71</v>
      </c>
      <c r="Q327" s="2">
        <v>45983</v>
      </c>
      <c r="R327" s="2">
        <v>46174</v>
      </c>
      <c r="S327" s="6">
        <f t="shared" si="39"/>
        <v>2026</v>
      </c>
      <c r="T327" s="7" t="str">
        <f t="shared" si="40"/>
        <v>June</v>
      </c>
      <c r="U327" s="2">
        <f>WORKDAY(Table1[[#This Row],[Order_Date]],5)</f>
        <v>46181</v>
      </c>
      <c r="V327" s="7" t="str">
        <f>CONCATENATE(Table1[[#This Row],[Customer_ID]],Table1[[#This Row],[Customer_Name]])</f>
        <v>C1150Kavya Shah</v>
      </c>
      <c r="W327" t="s">
        <v>888</v>
      </c>
      <c r="X327" t="s">
        <v>271</v>
      </c>
      <c r="Y327">
        <f>COUNTA(Table1[[#This Row],[Customer_Name]])</f>
        <v>1</v>
      </c>
      <c r="Z327" t="str">
        <f>SUBSTITUTE(Table1[[#This Row],[Customer_Name]]," ","_")</f>
        <v>Kavya_Shah</v>
      </c>
      <c r="AA327" s="10">
        <f>IFERROR(SEARCH("a",Table1[[#This Row],[Customer_Name]]),"N/A")</f>
        <v>2</v>
      </c>
      <c r="AB327">
        <f>SEARCH(" ",Table1[[#This Row],[Customer_Name]])</f>
        <v>6</v>
      </c>
      <c r="AC327" s="11">
        <f>IFERROR(FIND("a",Table1[[#This Row],[Customer_Name]]),"N/A")</f>
        <v>2</v>
      </c>
      <c r="AD327">
        <f>FIND(" ",Table1[[#This Row],[Customer_Name]])</f>
        <v>6</v>
      </c>
      <c r="AE327" t="str">
        <f>TRIM(Table1[[#This Row],[Customer_Name]])</f>
        <v>Kavya Shah</v>
      </c>
      <c r="AF327">
        <f>LEN(Table1[[#This Row],[Trimmed]])</f>
        <v>10</v>
      </c>
      <c r="AG327">
        <f>MAX(Table1[Length])</f>
        <v>15</v>
      </c>
      <c r="AH327" t="str">
        <f>PROPER(Table1[[#This Row],[Customer_Name]])</f>
        <v>Kavya Shah</v>
      </c>
      <c r="AI327" t="str">
        <f>LOWER(Table1[[#This Row],[Customer_Name]])</f>
        <v>kavya shah</v>
      </c>
      <c r="AJ327" t="str">
        <f>UPPER(Table1[[#This Row],[Customer_Name]])</f>
        <v>KAVYA SHAH</v>
      </c>
      <c r="AK327" t="str">
        <f>CONCATENATE(Table1[[#This Row],[Customer_ID]],Table1[[#This Row],[Customer_Name]])</f>
        <v>C1150Kavya Shah</v>
      </c>
      <c r="AL327" t="s">
        <v>272</v>
      </c>
      <c r="AM327" t="s">
        <v>273</v>
      </c>
      <c r="AN327" t="s">
        <v>274</v>
      </c>
      <c r="AO327" t="s">
        <v>272</v>
      </c>
      <c r="AP327" t="s">
        <v>273</v>
      </c>
      <c r="AQ327" t="s">
        <v>233</v>
      </c>
      <c r="AR327" t="str">
        <f>TRIM(Table1[[#This Row],[City]])</f>
        <v>Kolkata</v>
      </c>
      <c r="AS327" t="str">
        <f>PROPER(Table1[[#This Row],[City]])</f>
        <v>Kolkata</v>
      </c>
      <c r="AT327" t="s">
        <v>234</v>
      </c>
      <c r="AU327" t="str">
        <f>CONCATENATE(Table1[[#This Row],[City]],Table1[[#This Row],[State]])</f>
        <v>KolkataWest Bengal</v>
      </c>
      <c r="AV327" t="s">
        <v>235</v>
      </c>
      <c r="AW327" t="s">
        <v>130</v>
      </c>
      <c r="AX327" t="str">
        <f>REPLACE(Table1[[#This Row],[Product_ID]],1,1,"s")</f>
        <v>s111</v>
      </c>
      <c r="AY327" t="s">
        <v>1449</v>
      </c>
      <c r="AZ327">
        <f>SEARCH("-",Table1[[#This Row],[Product ID]])</f>
        <v>2</v>
      </c>
      <c r="BA327">
        <f>FIND("-",Table1[[#This Row],[Product ID]])</f>
        <v>2</v>
      </c>
      <c r="BB327" t="str">
        <f>MID(Table1[[#This Row],[Product_ID]],2,3)</f>
        <v>111</v>
      </c>
      <c r="BC327" t="str">
        <f>RIGHT(Table1[[#This Row],[Product_ID]],3)</f>
        <v>111</v>
      </c>
      <c r="BD327" t="str">
        <f>LEFT(Table1[[#This Row],[Product_ID]],3)</f>
        <v>P11</v>
      </c>
      <c r="BE327" t="str">
        <f>_xlfn.XLOOKUP(Table1[[#This Row],[Product_ID]],AW:AW,BF:BF,,0)</f>
        <v>Coffee Maker</v>
      </c>
      <c r="BF327" t="s">
        <v>132</v>
      </c>
      <c r="BG327">
        <f>LEN(Table1[[#This Row],[Product_Name]])</f>
        <v>12</v>
      </c>
      <c r="BH327" t="s">
        <v>133</v>
      </c>
      <c r="BI327">
        <f t="shared" si="42"/>
        <v>75</v>
      </c>
      <c r="BJ327" t="str">
        <f>SUBSTITUTE(Table1[[#This Row],[Category]],"Electronics","ELECTRONICS")</f>
        <v>Home</v>
      </c>
      <c r="BN327" t="s">
        <v>134</v>
      </c>
      <c r="BS327" s="14">
        <v>2</v>
      </c>
      <c r="BT327" s="3">
        <v>3999</v>
      </c>
      <c r="BU327" s="4">
        <v>25</v>
      </c>
      <c r="BV327" s="4" t="str">
        <f>IF(AND(Table1[[#This Row],[Quantity]]&gt;=3,Table1[[#This Row],[Discount_%]]&gt;=15%),"Bulk Discount","no")</f>
        <v>no</v>
      </c>
      <c r="BW327" s="4" t="str">
        <f>IF(AND(Table1[[#This Row],[Quantity]]&gt;3,Table1[[#This Row],[Discount_%]]&gt;15%),"Bulk Customer","Normal")</f>
        <v>Normal</v>
      </c>
      <c r="BX327" t="s">
        <v>135</v>
      </c>
      <c r="BY327" t="s">
        <v>136</v>
      </c>
      <c r="CC327" t="str">
        <f>IF(OR(Table1[[#This Row],[Order_Status]]="Returned",Table1[[#This Row],[Order_Status]]="Cancelled"),"Attention Required","Not")</f>
        <v>Not</v>
      </c>
      <c r="CD327" t="str">
        <f>IF(OR(Table1[[#This Row],[Order_Status]]="Returned",Table1[[#This Row],[Order_Status]]="Cancelled"),"Review","no")</f>
        <v>no</v>
      </c>
      <c r="CE327" t="str">
        <f>SUBSTITUTE(Table1[[#This Row],[Order_Status]],"Delivered","Completed")</f>
        <v>Completed</v>
      </c>
      <c r="CF327" s="2">
        <v>46175</v>
      </c>
      <c r="CG327" s="17">
        <f>NETWORKDAYS(Table1[[#This Row],[Order_Date]],Table1[[#This Row],[Delivery_Date]])</f>
        <v>2</v>
      </c>
      <c r="CH327" s="17">
        <f>Table1[[#This Row],[Delivery_Date]]-Table1[[#This Row],[Order_Date]]</f>
        <v>1</v>
      </c>
      <c r="CI327" t="s">
        <v>137</v>
      </c>
      <c r="CJ327" t="str">
        <f>IF(Table1[[#This Row],[Rating]]&gt;=4,"Good","Needs Improvement")</f>
        <v>Good</v>
      </c>
      <c r="CK327" t="str">
        <f>IF(OR(Table1[[#This Row],[Rating]]&lt;=2,Table1[[#This Row],[Profit]]&lt;0),"Review","NO")</f>
        <v>NO</v>
      </c>
      <c r="CL327" t="str" cm="1">
        <f t="array" ref="CL327">_xlfn.IFS(Table1[[#This Row],[Rating]]&gt;2,"Poor",Table1[[#This Row],[Rating]]=3,"Average",Table1[[#This Row],[Rating]]=4,"Good",CP327=5,"Excellent")</f>
        <v>Poor</v>
      </c>
      <c r="CM327">
        <f>COUNT(Table1[[#This Row],[Rating]])</f>
        <v>1</v>
      </c>
      <c r="CN327">
        <f>COUNTBLANK(Table1[[#This Row],[Rating]])</f>
        <v>0</v>
      </c>
      <c r="CP327" t="s">
        <v>194</v>
      </c>
      <c r="CQ327" s="14">
        <v>5</v>
      </c>
      <c r="CR327" t="s">
        <v>204</v>
      </c>
      <c r="CS327" t="s">
        <v>174</v>
      </c>
      <c r="CU327" s="3">
        <v>5998.5</v>
      </c>
      <c r="CV327" s="3">
        <f>ROUND(Table1[[#This Row],[Sales_Amount]],0)</f>
        <v>5999</v>
      </c>
      <c r="CW327" s="3"/>
      <c r="CX327" s="3"/>
      <c r="CY327" s="3" t="b">
        <f>IF(AND(Table1[[#This Row],[Sales_Amount]]&gt;=10000,Table1[[#This Row],[Profit]]&gt;0),"Good Order")</f>
        <v>0</v>
      </c>
      <c r="CZ327" s="3" t="str">
        <f>IF(Table1[[#This Row],[Sales_Amount]]&gt;=10000,"High","Normal")</f>
        <v>Normal</v>
      </c>
      <c r="DA327" s="3">
        <v>998.5</v>
      </c>
      <c r="DB327" s="3">
        <f>ROUND(Table1[[#This Row],[Profit]],0)</f>
        <v>999</v>
      </c>
      <c r="DC327" s="3">
        <f>ABS(Table1[[#This Row],[Profit]])</f>
        <v>998.5</v>
      </c>
      <c r="DD327" s="3"/>
      <c r="DE327" s="3"/>
      <c r="DF327" s="3"/>
      <c r="DG327" s="3" t="str">
        <f>IF(Table1[[#This Row],[Profit]]&gt;0,"Profit","Loss")</f>
        <v>Profit</v>
      </c>
      <c r="DH327" s="3" t="str">
        <f>IF(AND(Table1[[#This Row],[Sales_Amount]]&gt;=10000,Table1[[#This Row],[Profit]]&gt;0),"Priority","Normal")</f>
        <v>Normal</v>
      </c>
      <c r="DI327" s="3">
        <f t="shared" ca="1" si="37"/>
        <v>0.70792696472728267</v>
      </c>
      <c r="DJ327" s="3">
        <f t="shared" ca="1" si="38"/>
        <v>49</v>
      </c>
      <c r="DK327" s="3"/>
      <c r="DL327" s="3"/>
      <c r="DM327" s="3"/>
      <c r="DN327" s="3"/>
      <c r="DO327" s="3"/>
      <c r="DP327" s="3"/>
    </row>
    <row r="328" spans="1:120">
      <c r="A328" t="s">
        <v>1450</v>
      </c>
      <c r="B328" t="str">
        <f>REPLACE(Table1[[#This Row],[Order_ID]],1,3,"YOO")</f>
        <v>YOO10327</v>
      </c>
      <c r="C328" t="str">
        <f>MID(Table1[[#This Row],[Order_ID]],4,4)</f>
        <v>1032</v>
      </c>
      <c r="D328" t="str">
        <f>LEFT(Table1[[#This Row],[Order_ID]],4)</f>
        <v>ORD1</v>
      </c>
      <c r="E328" t="str">
        <f>RIGHT(Table1[[#This Row],[Order_ID]],5)</f>
        <v>10327</v>
      </c>
      <c r="F328" t="s">
        <v>5</v>
      </c>
      <c r="G328">
        <v>10327</v>
      </c>
      <c r="H328" t="s">
        <v>1451</v>
      </c>
      <c r="I328" s="2">
        <f>EDATE(Table1[[#This Row],[Order_Date]],3)</f>
        <v>45881</v>
      </c>
      <c r="J328" s="2">
        <f>EDATE(Table1[[#This Row],[Order_Date]],6)</f>
        <v>45973</v>
      </c>
      <c r="K328">
        <f ca="1">YEAR(Table1[[#This Row],[Today]])</f>
        <v>2026</v>
      </c>
      <c r="L328">
        <v>327</v>
      </c>
      <c r="M328">
        <f ca="1">DAY(Table1[[#This Row],[Today]])</f>
        <v>11</v>
      </c>
      <c r="N328" s="19">
        <f t="shared" ca="1" si="41"/>
        <v>46245.589795370368</v>
      </c>
      <c r="O328" s="2">
        <f t="shared" ca="1" si="36"/>
        <v>46245</v>
      </c>
      <c r="P328" s="17">
        <f ca="1">Table1[[#This Row],[Today]]-Table1[[#This Row],[Order_Date]]</f>
        <v>456</v>
      </c>
      <c r="Q328" s="2">
        <v>45984</v>
      </c>
      <c r="R328" s="2">
        <v>45789</v>
      </c>
      <c r="S328" s="6">
        <f t="shared" si="39"/>
        <v>2025</v>
      </c>
      <c r="T328" s="7" t="str">
        <f t="shared" si="40"/>
        <v>May</v>
      </c>
      <c r="U328" s="2">
        <f>WORKDAY(Table1[[#This Row],[Order_Date]],5)</f>
        <v>45796</v>
      </c>
      <c r="V328" s="7" t="str">
        <f>CONCATENATE(Table1[[#This Row],[Customer_ID]],Table1[[#This Row],[Customer_Name]])</f>
        <v>C1108Meera Nair</v>
      </c>
      <c r="W328" t="s">
        <v>350</v>
      </c>
      <c r="X328" t="s">
        <v>429</v>
      </c>
      <c r="Y328">
        <f>COUNTA(Table1[[#This Row],[Customer_Name]])</f>
        <v>1</v>
      </c>
      <c r="Z328" t="str">
        <f>SUBSTITUTE(Table1[[#This Row],[Customer_Name]]," ","_")</f>
        <v>Meera_Nair</v>
      </c>
      <c r="AA328" s="10">
        <f>IFERROR(SEARCH("a",Table1[[#This Row],[Customer_Name]]),"N/A")</f>
        <v>5</v>
      </c>
      <c r="AB328">
        <f>SEARCH(" ",Table1[[#This Row],[Customer_Name]])</f>
        <v>6</v>
      </c>
      <c r="AC328" s="11">
        <f>IFERROR(FIND("a",Table1[[#This Row],[Customer_Name]]),"N/A")</f>
        <v>5</v>
      </c>
      <c r="AD328">
        <f>FIND(" ",Table1[[#This Row],[Customer_Name]])</f>
        <v>6</v>
      </c>
      <c r="AE328" t="str">
        <f>TRIM(Table1[[#This Row],[Customer_Name]])</f>
        <v>Meera Nair</v>
      </c>
      <c r="AF328">
        <f>LEN(Table1[[#This Row],[Trimmed]])</f>
        <v>10</v>
      </c>
      <c r="AG328">
        <f>MAX(Table1[Length])</f>
        <v>15</v>
      </c>
      <c r="AH328" t="str">
        <f>PROPER(Table1[[#This Row],[Customer_Name]])</f>
        <v>Meera Nair</v>
      </c>
      <c r="AI328" t="str">
        <f>LOWER(Table1[[#This Row],[Customer_Name]])</f>
        <v>meera nair</v>
      </c>
      <c r="AJ328" t="str">
        <f>UPPER(Table1[[#This Row],[Customer_Name]])</f>
        <v>MEERA NAIR</v>
      </c>
      <c r="AK328" t="str">
        <f>CONCATENATE(Table1[[#This Row],[Customer_ID]],Table1[[#This Row],[Customer_Name]])</f>
        <v>C1108Meera Nair</v>
      </c>
      <c r="AL328" t="s">
        <v>430</v>
      </c>
      <c r="AM328" t="s">
        <v>431</v>
      </c>
      <c r="AN328" t="s">
        <v>432</v>
      </c>
      <c r="AO328" t="s">
        <v>430</v>
      </c>
      <c r="AP328" t="s">
        <v>431</v>
      </c>
      <c r="AQ328" t="s">
        <v>423</v>
      </c>
      <c r="AR328" t="str">
        <f>TRIM(Table1[[#This Row],[City]])</f>
        <v>Ahmedabad</v>
      </c>
      <c r="AS328" t="str">
        <f>PROPER(Table1[[#This Row],[City]])</f>
        <v>Ahmedabad</v>
      </c>
      <c r="AT328" t="s">
        <v>424</v>
      </c>
      <c r="AU328" t="str">
        <f>CONCATENATE(Table1[[#This Row],[City]],Table1[[#This Row],[State]])</f>
        <v>AhmedabadGujarat</v>
      </c>
      <c r="AV328" t="s">
        <v>129</v>
      </c>
      <c r="AW328" t="s">
        <v>319</v>
      </c>
      <c r="AX328" t="str">
        <f>REPLACE(Table1[[#This Row],[Product_ID]],1,1,"s")</f>
        <v>s103</v>
      </c>
      <c r="AY328" t="s">
        <v>1452</v>
      </c>
      <c r="AZ328">
        <f>SEARCH("-",Table1[[#This Row],[Product ID]])</f>
        <v>2</v>
      </c>
      <c r="BA328">
        <f>FIND("-",Table1[[#This Row],[Product ID]])</f>
        <v>2</v>
      </c>
      <c r="BB328" t="str">
        <f>MID(Table1[[#This Row],[Product_ID]],2,3)</f>
        <v>103</v>
      </c>
      <c r="BC328" t="str">
        <f>RIGHT(Table1[[#This Row],[Product_ID]],3)</f>
        <v>103</v>
      </c>
      <c r="BD328" t="str">
        <f>LEFT(Table1[[#This Row],[Product_ID]],3)</f>
        <v>P10</v>
      </c>
      <c r="BE328" t="str">
        <f>_xlfn.XLOOKUP(Table1[[#This Row],[Product_ID]],AW:AW,BF:BF,,0)</f>
        <v>Laptop Stand</v>
      </c>
      <c r="BF328" t="s">
        <v>321</v>
      </c>
      <c r="BG328">
        <f>LEN(Table1[[#This Row],[Product_Name]])</f>
        <v>12</v>
      </c>
      <c r="BH328" t="s">
        <v>154</v>
      </c>
      <c r="BI328">
        <f t="shared" si="42"/>
        <v>75</v>
      </c>
      <c r="BJ328" t="str">
        <f>SUBSTITUTE(Table1[[#This Row],[Category]],"Electronics","ELECTRONICS")</f>
        <v>ELECTRONICS</v>
      </c>
      <c r="BN328" t="s">
        <v>155</v>
      </c>
      <c r="BS328" s="14">
        <v>1</v>
      </c>
      <c r="BT328" s="3">
        <v>1599</v>
      </c>
      <c r="BU328" s="4">
        <v>20</v>
      </c>
      <c r="BV328" s="4" t="str">
        <f>IF(AND(Table1[[#This Row],[Quantity]]&gt;=3,Table1[[#This Row],[Discount_%]]&gt;=15%),"Bulk Discount","no")</f>
        <v>no</v>
      </c>
      <c r="BW328" s="4" t="str">
        <f>IF(AND(Table1[[#This Row],[Quantity]]&gt;3,Table1[[#This Row],[Discount_%]]&gt;15%),"Bulk Customer","Normal")</f>
        <v>Normal</v>
      </c>
      <c r="BX328" t="s">
        <v>187</v>
      </c>
      <c r="BY328" t="s">
        <v>374</v>
      </c>
      <c r="CC328" t="str">
        <f>IF(OR(Table1[[#This Row],[Order_Status]]="Returned",Table1[[#This Row],[Order_Status]]="Cancelled"),"Attention Required","Not")</f>
        <v>Attention Required</v>
      </c>
      <c r="CD328" t="str">
        <f>IF(OR(Table1[[#This Row],[Order_Status]]="Returned",Table1[[#This Row],[Order_Status]]="Cancelled"),"Review","no")</f>
        <v>Review</v>
      </c>
      <c r="CE328" t="str">
        <f>SUBSTITUTE(Table1[[#This Row],[Order_Status]],"Delivered","Completed")</f>
        <v>Returned</v>
      </c>
      <c r="CF328" s="2">
        <v>45795</v>
      </c>
      <c r="CG328" s="17">
        <f>NETWORKDAYS(Table1[[#This Row],[Order_Date]],Table1[[#This Row],[Delivery_Date]])</f>
        <v>5</v>
      </c>
      <c r="CH328" s="17">
        <f>Table1[[#This Row],[Delivery_Date]]-Table1[[#This Row],[Order_Date]]</f>
        <v>6</v>
      </c>
      <c r="CI328" t="s">
        <v>375</v>
      </c>
      <c r="CJ328" t="str">
        <f>IF(Table1[[#This Row],[Rating]]&gt;=4,"Good","Needs Improvement")</f>
        <v>Good</v>
      </c>
      <c r="CK328" t="str">
        <f>IF(OR(Table1[[#This Row],[Rating]]&lt;=2,Table1[[#This Row],[Profit]]&lt;0),"Review","NO")</f>
        <v>NO</v>
      </c>
      <c r="CL328" t="str" cm="1">
        <f t="array" ref="CL328">_xlfn.IFS(Table1[[#This Row],[Rating]]&gt;2,"Poor",Table1[[#This Row],[Rating]]=3,"Average",Table1[[#This Row],[Rating]]=4,"Good",CP328=5,"Excellent")</f>
        <v>Poor</v>
      </c>
      <c r="CM328">
        <f>COUNT(Table1[[#This Row],[Rating]])</f>
        <v>1</v>
      </c>
      <c r="CN328">
        <f>COUNTBLANK(Table1[[#This Row],[Rating]])</f>
        <v>0</v>
      </c>
      <c r="CP328" t="s">
        <v>157</v>
      </c>
      <c r="CQ328" s="14">
        <v>5</v>
      </c>
      <c r="CR328" t="s">
        <v>173</v>
      </c>
      <c r="CS328" t="s">
        <v>195</v>
      </c>
      <c r="CU328" s="3">
        <v>1279.2</v>
      </c>
      <c r="CV328" s="3">
        <f>ROUND(Table1[[#This Row],[Sales_Amount]],0)</f>
        <v>1279</v>
      </c>
      <c r="CW328" s="3"/>
      <c r="CX328" s="3"/>
      <c r="CY328" s="3" t="b">
        <f>IF(AND(Table1[[#This Row],[Sales_Amount]]&gt;=10000,Table1[[#This Row],[Profit]]&gt;0),"Good Order")</f>
        <v>0</v>
      </c>
      <c r="CZ328" s="3" t="str">
        <f>IF(Table1[[#This Row],[Sales_Amount]]&gt;=10000,"High","Normal")</f>
        <v>Normal</v>
      </c>
      <c r="DA328" s="3">
        <v>379.2</v>
      </c>
      <c r="DB328" s="3">
        <f>ROUND(Table1[[#This Row],[Profit]],0)</f>
        <v>379</v>
      </c>
      <c r="DC328" s="3">
        <f>ABS(Table1[[#This Row],[Profit]])</f>
        <v>379.2</v>
      </c>
      <c r="DD328" s="3"/>
      <c r="DE328" s="3"/>
      <c r="DF328" s="3"/>
      <c r="DG328" s="3" t="str">
        <f>IF(Table1[[#This Row],[Profit]]&gt;0,"Profit","Loss")</f>
        <v>Profit</v>
      </c>
      <c r="DH328" s="3" t="str">
        <f>IF(AND(Table1[[#This Row],[Sales_Amount]]&gt;=10000,Table1[[#This Row],[Profit]]&gt;0),"Priority","Normal")</f>
        <v>Normal</v>
      </c>
      <c r="DI328" s="3">
        <f t="shared" ca="1" si="37"/>
        <v>0.89653316212060585</v>
      </c>
      <c r="DJ328" s="3">
        <f t="shared" ca="1" si="38"/>
        <v>85</v>
      </c>
      <c r="DK328" s="3"/>
      <c r="DL328" s="3"/>
      <c r="DM328" s="3"/>
      <c r="DN328" s="3"/>
      <c r="DO328" s="3"/>
      <c r="DP328" s="3"/>
    </row>
    <row r="329" spans="1:120">
      <c r="A329" t="s">
        <v>1453</v>
      </c>
      <c r="B329" t="str">
        <f>REPLACE(Table1[[#This Row],[Order_ID]],1,3,"YOO")</f>
        <v>YOO10328</v>
      </c>
      <c r="C329" t="str">
        <f>MID(Table1[[#This Row],[Order_ID]],4,4)</f>
        <v>1032</v>
      </c>
      <c r="D329" t="str">
        <f>LEFT(Table1[[#This Row],[Order_ID]],4)</f>
        <v>ORD1</v>
      </c>
      <c r="E329" t="str">
        <f>RIGHT(Table1[[#This Row],[Order_ID]],5)</f>
        <v>10328</v>
      </c>
      <c r="F329" t="s">
        <v>5</v>
      </c>
      <c r="G329">
        <v>10328</v>
      </c>
      <c r="H329" t="s">
        <v>1454</v>
      </c>
      <c r="I329" s="2">
        <f>EDATE(Table1[[#This Row],[Order_Date]],3)</f>
        <v>45886</v>
      </c>
      <c r="J329" s="2">
        <f>EDATE(Table1[[#This Row],[Order_Date]],6)</f>
        <v>45978</v>
      </c>
      <c r="K329">
        <f ca="1">YEAR(Table1[[#This Row],[Today]])</f>
        <v>2026</v>
      </c>
      <c r="L329">
        <v>328</v>
      </c>
      <c r="M329">
        <f ca="1">DAY(Table1[[#This Row],[Today]])</f>
        <v>11</v>
      </c>
      <c r="N329" s="19">
        <f t="shared" ca="1" si="41"/>
        <v>46245.589795138891</v>
      </c>
      <c r="O329" s="2">
        <f t="shared" ca="1" si="36"/>
        <v>46245</v>
      </c>
      <c r="P329" s="17">
        <f ca="1">Table1[[#This Row],[Today]]-Table1[[#This Row],[Order_Date]]</f>
        <v>451</v>
      </c>
      <c r="Q329" s="2">
        <v>45985</v>
      </c>
      <c r="R329" s="2">
        <v>45794</v>
      </c>
      <c r="S329" s="6">
        <f t="shared" si="39"/>
        <v>2025</v>
      </c>
      <c r="T329" s="7" t="str">
        <f t="shared" si="40"/>
        <v>May</v>
      </c>
      <c r="U329" s="2">
        <f>WORKDAY(Table1[[#This Row],[Order_Date]],5)</f>
        <v>45800</v>
      </c>
      <c r="V329" s="7" t="str">
        <f>CONCATENATE(Table1[[#This Row],[Customer_ID]],Table1[[#This Row],[Customer_Name]])</f>
        <v>C1142Karan Patel</v>
      </c>
      <c r="W329" t="s">
        <v>241</v>
      </c>
      <c r="X329" t="s">
        <v>280</v>
      </c>
      <c r="Y329">
        <f>COUNTA(Table1[[#This Row],[Customer_Name]])</f>
        <v>1</v>
      </c>
      <c r="Z329" t="str">
        <f>SUBSTITUTE(Table1[[#This Row],[Customer_Name]]," ","_")</f>
        <v>Karan_Patel</v>
      </c>
      <c r="AA329" s="10">
        <f>IFERROR(SEARCH("a",Table1[[#This Row],[Customer_Name]]),"N/A")</f>
        <v>2</v>
      </c>
      <c r="AB329">
        <f>SEARCH(" ",Table1[[#This Row],[Customer_Name]])</f>
        <v>6</v>
      </c>
      <c r="AC329" s="11">
        <f>IFERROR(FIND("a",Table1[[#This Row],[Customer_Name]]),"N/A")</f>
        <v>2</v>
      </c>
      <c r="AD329">
        <f>FIND(" ",Table1[[#This Row],[Customer_Name]])</f>
        <v>6</v>
      </c>
      <c r="AE329" t="str">
        <f>TRIM(Table1[[#This Row],[Customer_Name]])</f>
        <v>Karan Patel</v>
      </c>
      <c r="AF329">
        <f>LEN(Table1[[#This Row],[Trimmed]])</f>
        <v>11</v>
      </c>
      <c r="AG329">
        <f>MAX(Table1[Length])</f>
        <v>15</v>
      </c>
      <c r="AH329" t="str">
        <f>PROPER(Table1[[#This Row],[Customer_Name]])</f>
        <v>Karan Patel</v>
      </c>
      <c r="AI329" t="str">
        <f>LOWER(Table1[[#This Row],[Customer_Name]])</f>
        <v>karan patel</v>
      </c>
      <c r="AJ329" t="str">
        <f>UPPER(Table1[[#This Row],[Customer_Name]])</f>
        <v>KARAN PATEL</v>
      </c>
      <c r="AK329" t="str">
        <f>CONCATENATE(Table1[[#This Row],[Customer_ID]],Table1[[#This Row],[Customer_Name]])</f>
        <v>C1142Karan Patel</v>
      </c>
      <c r="AL329" t="s">
        <v>281</v>
      </c>
      <c r="AM329" t="s">
        <v>282</v>
      </c>
      <c r="AN329" t="s">
        <v>283</v>
      </c>
      <c r="AO329" t="s">
        <v>281</v>
      </c>
      <c r="AP329" t="s">
        <v>282</v>
      </c>
      <c r="AQ329" t="s">
        <v>284</v>
      </c>
      <c r="AR329" t="str">
        <f>TRIM(Table1[[#This Row],[City]])</f>
        <v>Hyderabad</v>
      </c>
      <c r="AS329" t="str">
        <f>PROPER(Table1[[#This Row],[City]])</f>
        <v>Hyderabad</v>
      </c>
      <c r="AT329" t="s">
        <v>285</v>
      </c>
      <c r="AU329" t="str">
        <f>CONCATENATE(Table1[[#This Row],[City]],Table1[[#This Row],[State]])</f>
        <v>HyderabadTelangana</v>
      </c>
      <c r="AV329" t="s">
        <v>168</v>
      </c>
      <c r="AW329" t="s">
        <v>183</v>
      </c>
      <c r="AX329" t="str">
        <f>REPLACE(Table1[[#This Row],[Product_ID]],1,1,"s")</f>
        <v>s105</v>
      </c>
      <c r="AY329" t="s">
        <v>1455</v>
      </c>
      <c r="AZ329">
        <f>SEARCH("-",Table1[[#This Row],[Product ID]])</f>
        <v>2</v>
      </c>
      <c r="BA329">
        <f>FIND("-",Table1[[#This Row],[Product ID]])</f>
        <v>2</v>
      </c>
      <c r="BB329" t="str">
        <f>MID(Table1[[#This Row],[Product_ID]],2,3)</f>
        <v>105</v>
      </c>
      <c r="BC329" t="str">
        <f>RIGHT(Table1[[#This Row],[Product_ID]],3)</f>
        <v>105</v>
      </c>
      <c r="BD329" t="str">
        <f>LEFT(Table1[[#This Row],[Product_ID]],3)</f>
        <v>P10</v>
      </c>
      <c r="BE329" t="str">
        <f>_xlfn.XLOOKUP(Table1[[#This Row],[Product_ID]],AW:AW,BF:BF,,0)</f>
        <v>Bluetooth Speaker</v>
      </c>
      <c r="BF329" t="s">
        <v>185</v>
      </c>
      <c r="BG329">
        <f>LEN(Table1[[#This Row],[Product_Name]])</f>
        <v>17</v>
      </c>
      <c r="BH329" t="s">
        <v>154</v>
      </c>
      <c r="BI329">
        <f t="shared" si="42"/>
        <v>75</v>
      </c>
      <c r="BJ329" t="str">
        <f>SUBSTITUTE(Table1[[#This Row],[Category]],"Electronics","ELECTRONICS")</f>
        <v>ELECTRONICS</v>
      </c>
      <c r="BN329" t="s">
        <v>186</v>
      </c>
      <c r="BS329" s="14">
        <v>2</v>
      </c>
      <c r="BT329" s="3">
        <v>2999</v>
      </c>
      <c r="BU329" s="4">
        <v>20</v>
      </c>
      <c r="BV329" s="4" t="str">
        <f>IF(AND(Table1[[#This Row],[Quantity]]&gt;=3,Table1[[#This Row],[Discount_%]]&gt;=15%),"Bulk Discount","no")</f>
        <v>no</v>
      </c>
      <c r="BW329" s="4" t="str">
        <f>IF(AND(Table1[[#This Row],[Quantity]]&gt;3,Table1[[#This Row],[Discount_%]]&gt;15%),"Bulk Customer","Normal")</f>
        <v>Normal</v>
      </c>
      <c r="BX329" t="s">
        <v>187</v>
      </c>
      <c r="BY329" t="s">
        <v>156</v>
      </c>
      <c r="CC329" t="str">
        <f>IF(OR(Table1[[#This Row],[Order_Status]]="Returned",Table1[[#This Row],[Order_Status]]="Cancelled"),"Attention Required","Not")</f>
        <v>Attention Required</v>
      </c>
      <c r="CD329" t="str">
        <f>IF(OR(Table1[[#This Row],[Order_Status]]="Returned",Table1[[#This Row],[Order_Status]]="Cancelled"),"Review","no")</f>
        <v>Review</v>
      </c>
      <c r="CE329" t="str">
        <f>SUBSTITUTE(Table1[[#This Row],[Order_Status]],"Delivered","Completed")</f>
        <v>Cancelled</v>
      </c>
      <c r="CF329" s="2">
        <v>45799</v>
      </c>
      <c r="CG329" s="17">
        <f>NETWORKDAYS(Table1[[#This Row],[Order_Date]],Table1[[#This Row],[Delivery_Date]])</f>
        <v>4</v>
      </c>
      <c r="CH329" s="17">
        <f>Table1[[#This Row],[Delivery_Date]]-Table1[[#This Row],[Order_Date]]</f>
        <v>5</v>
      </c>
      <c r="CI329" t="s">
        <v>137</v>
      </c>
      <c r="CJ329" t="str">
        <f>IF(Table1[[#This Row],[Rating]]&gt;=4,"Good","Needs Improvement")</f>
        <v>Good</v>
      </c>
      <c r="CK329" t="str">
        <f>IF(OR(Table1[[#This Row],[Rating]]&lt;=2,Table1[[#This Row],[Profit]]&lt;0),"Review","NO")</f>
        <v>NO</v>
      </c>
      <c r="CL329" t="str" cm="1">
        <f t="array" ref="CL329">_xlfn.IFS(Table1[[#This Row],[Rating]]&gt;2,"Poor",Table1[[#This Row],[Rating]]=3,"Average",Table1[[#This Row],[Rating]]=4,"Good",CP329=5,"Excellent")</f>
        <v>Poor</v>
      </c>
      <c r="CM329">
        <f>COUNT(Table1[[#This Row],[Rating]])</f>
        <v>1</v>
      </c>
      <c r="CN329">
        <f>COUNTBLANK(Table1[[#This Row],[Rating]])</f>
        <v>0</v>
      </c>
      <c r="CP329" t="s">
        <v>194</v>
      </c>
      <c r="CQ329" s="14">
        <v>5</v>
      </c>
      <c r="CR329" t="s">
        <v>204</v>
      </c>
      <c r="CS329" t="s">
        <v>213</v>
      </c>
      <c r="CU329" s="3">
        <v>4798.3999999999996</v>
      </c>
      <c r="CV329" s="3">
        <f>ROUND(Table1[[#This Row],[Sales_Amount]],0)</f>
        <v>4798</v>
      </c>
      <c r="CW329" s="3"/>
      <c r="CX329" s="3"/>
      <c r="CY329" s="3" t="b">
        <f>IF(AND(Table1[[#This Row],[Sales_Amount]]&gt;=10000,Table1[[#This Row],[Profit]]&gt;0),"Good Order")</f>
        <v>0</v>
      </c>
      <c r="CZ329" s="3" t="str">
        <f>IF(Table1[[#This Row],[Sales_Amount]]&gt;=10000,"High","Normal")</f>
        <v>Normal</v>
      </c>
      <c r="DA329" s="3">
        <v>1298.4000000000001</v>
      </c>
      <c r="DB329" s="3">
        <f>ROUND(Table1[[#This Row],[Profit]],0)</f>
        <v>1298</v>
      </c>
      <c r="DC329" s="3">
        <f>ABS(Table1[[#This Row],[Profit]])</f>
        <v>1298.4000000000001</v>
      </c>
      <c r="DD329" s="3"/>
      <c r="DE329" s="3"/>
      <c r="DF329" s="3"/>
      <c r="DG329" s="3" t="str">
        <f>IF(Table1[[#This Row],[Profit]]&gt;0,"Profit","Loss")</f>
        <v>Profit</v>
      </c>
      <c r="DH329" s="3" t="str">
        <f>IF(AND(Table1[[#This Row],[Sales_Amount]]&gt;=10000,Table1[[#This Row],[Profit]]&gt;0),"Priority","Normal")</f>
        <v>Normal</v>
      </c>
      <c r="DI329" s="3">
        <f t="shared" ca="1" si="37"/>
        <v>0.69123087231922853</v>
      </c>
      <c r="DJ329" s="3">
        <f t="shared" ca="1" si="38"/>
        <v>74</v>
      </c>
      <c r="DK329" s="3"/>
      <c r="DL329" s="3"/>
      <c r="DM329" s="3"/>
      <c r="DN329" s="3"/>
      <c r="DO329" s="3"/>
      <c r="DP329" s="3"/>
    </row>
    <row r="330" spans="1:120">
      <c r="A330" t="s">
        <v>1456</v>
      </c>
      <c r="B330" t="str">
        <f>REPLACE(Table1[[#This Row],[Order_ID]],1,3,"YOO")</f>
        <v>YOO10329</v>
      </c>
      <c r="C330" t="str">
        <f>MID(Table1[[#This Row],[Order_ID]],4,4)</f>
        <v>1032</v>
      </c>
      <c r="D330" t="str">
        <f>LEFT(Table1[[#This Row],[Order_ID]],4)</f>
        <v>ORD1</v>
      </c>
      <c r="E330" t="str">
        <f>RIGHT(Table1[[#This Row],[Order_ID]],5)</f>
        <v>10329</v>
      </c>
      <c r="F330" t="s">
        <v>5</v>
      </c>
      <c r="G330">
        <v>10329</v>
      </c>
      <c r="H330" t="s">
        <v>1457</v>
      </c>
      <c r="I330" s="2">
        <f>EDATE(Table1[[#This Row],[Order_Date]],3)</f>
        <v>46101</v>
      </c>
      <c r="J330" s="2">
        <f>EDATE(Table1[[#This Row],[Order_Date]],6)</f>
        <v>46193</v>
      </c>
      <c r="K330">
        <f ca="1">YEAR(Table1[[#This Row],[Today]])</f>
        <v>2026</v>
      </c>
      <c r="L330">
        <v>329</v>
      </c>
      <c r="M330">
        <f ca="1">DAY(Table1[[#This Row],[Today]])</f>
        <v>11</v>
      </c>
      <c r="N330" s="19">
        <f t="shared" ca="1" si="41"/>
        <v>46245.589795370368</v>
      </c>
      <c r="O330" s="2">
        <f t="shared" ca="1" si="36"/>
        <v>46245</v>
      </c>
      <c r="P330" s="17">
        <f ca="1">Table1[[#This Row],[Today]]-Table1[[#This Row],[Order_Date]]</f>
        <v>234</v>
      </c>
      <c r="Q330" s="2">
        <v>45986</v>
      </c>
      <c r="R330" s="2">
        <v>46011</v>
      </c>
      <c r="S330" s="6">
        <f t="shared" si="39"/>
        <v>2025</v>
      </c>
      <c r="T330" s="7" t="str">
        <f t="shared" si="40"/>
        <v>December</v>
      </c>
      <c r="U330" s="2">
        <f>WORKDAY(Table1[[#This Row],[Order_Date]],5)</f>
        <v>46017</v>
      </c>
      <c r="V330" s="7" t="str">
        <f>CONCATENATE(Table1[[#This Row],[Customer_ID]],Table1[[#This Row],[Customer_Name]])</f>
        <v>C1091Riya Agarwal</v>
      </c>
      <c r="W330" t="s">
        <v>1458</v>
      </c>
      <c r="X330" t="s">
        <v>217</v>
      </c>
      <c r="Y330">
        <f>COUNTA(Table1[[#This Row],[Customer_Name]])</f>
        <v>1</v>
      </c>
      <c r="Z330" t="str">
        <f>SUBSTITUTE(Table1[[#This Row],[Customer_Name]]," ","_")</f>
        <v>Riya_Agarwal</v>
      </c>
      <c r="AA330" s="10">
        <f>IFERROR(SEARCH("a",Table1[[#This Row],[Customer_Name]]),"N/A")</f>
        <v>4</v>
      </c>
      <c r="AB330">
        <f>SEARCH(" ",Table1[[#This Row],[Customer_Name]])</f>
        <v>5</v>
      </c>
      <c r="AC330" s="11">
        <f>IFERROR(FIND("a",Table1[[#This Row],[Customer_Name]]),"N/A")</f>
        <v>4</v>
      </c>
      <c r="AD330">
        <f>FIND(" ",Table1[[#This Row],[Customer_Name]])</f>
        <v>5</v>
      </c>
      <c r="AE330" t="str">
        <f>TRIM(Table1[[#This Row],[Customer_Name]])</f>
        <v>Riya Agarwal</v>
      </c>
      <c r="AF330">
        <f>LEN(Table1[[#This Row],[Trimmed]])</f>
        <v>12</v>
      </c>
      <c r="AG330">
        <f>MAX(Table1[Length])</f>
        <v>15</v>
      </c>
      <c r="AH330" t="str">
        <f>PROPER(Table1[[#This Row],[Customer_Name]])</f>
        <v>Riya Agarwal</v>
      </c>
      <c r="AI330" t="str">
        <f>LOWER(Table1[[#This Row],[Customer_Name]])</f>
        <v>riya agarwal</v>
      </c>
      <c r="AJ330" t="str">
        <f>UPPER(Table1[[#This Row],[Customer_Name]])</f>
        <v>RIYA AGARWAL</v>
      </c>
      <c r="AK330" t="str">
        <f>CONCATENATE(Table1[[#This Row],[Customer_ID]],Table1[[#This Row],[Customer_Name]])</f>
        <v>C1091Riya Agarwal</v>
      </c>
      <c r="AL330" t="s">
        <v>218</v>
      </c>
      <c r="AM330" t="s">
        <v>219</v>
      </c>
      <c r="AN330" t="s">
        <v>220</v>
      </c>
      <c r="AO330" t="s">
        <v>218</v>
      </c>
      <c r="AP330" t="s">
        <v>219</v>
      </c>
      <c r="AQ330" t="s">
        <v>199</v>
      </c>
      <c r="AR330" t="str">
        <f>TRIM(Table1[[#This Row],[City]])</f>
        <v>Lucknow</v>
      </c>
      <c r="AS330" t="str">
        <f>PROPER(Table1[[#This Row],[City]])</f>
        <v>Lucknow</v>
      </c>
      <c r="AT330" t="s">
        <v>200</v>
      </c>
      <c r="AU330" t="str">
        <f>CONCATENATE(Table1[[#This Row],[City]],Table1[[#This Row],[State]])</f>
        <v>LucknowUttar Pradesh</v>
      </c>
      <c r="AV330" t="s">
        <v>150</v>
      </c>
      <c r="AW330" t="s">
        <v>183</v>
      </c>
      <c r="AX330" t="str">
        <f>REPLACE(Table1[[#This Row],[Product_ID]],1,1,"s")</f>
        <v>s105</v>
      </c>
      <c r="AY330" t="s">
        <v>1459</v>
      </c>
      <c r="AZ330">
        <f>SEARCH("-",Table1[[#This Row],[Product ID]])</f>
        <v>2</v>
      </c>
      <c r="BA330">
        <f>FIND("-",Table1[[#This Row],[Product ID]])</f>
        <v>2</v>
      </c>
      <c r="BB330" t="str">
        <f>MID(Table1[[#This Row],[Product_ID]],2,3)</f>
        <v>105</v>
      </c>
      <c r="BC330" t="str">
        <f>RIGHT(Table1[[#This Row],[Product_ID]],3)</f>
        <v>105</v>
      </c>
      <c r="BD330" t="str">
        <f>LEFT(Table1[[#This Row],[Product_ID]],3)</f>
        <v>P10</v>
      </c>
      <c r="BE330" t="str">
        <f>_xlfn.XLOOKUP(Table1[[#This Row],[Product_ID]],AW:AW,BF:BF,,0)</f>
        <v>Bluetooth Speaker</v>
      </c>
      <c r="BF330" t="s">
        <v>185</v>
      </c>
      <c r="BG330">
        <f>LEN(Table1[[#This Row],[Product_Name]])</f>
        <v>17</v>
      </c>
      <c r="BH330" t="s">
        <v>154</v>
      </c>
      <c r="BI330">
        <f t="shared" si="42"/>
        <v>75</v>
      </c>
      <c r="BJ330" t="str">
        <f>SUBSTITUTE(Table1[[#This Row],[Category]],"Electronics","ELECTRONICS")</f>
        <v>ELECTRONICS</v>
      </c>
      <c r="BN330" t="s">
        <v>186</v>
      </c>
      <c r="BS330" s="14">
        <v>2</v>
      </c>
      <c r="BT330" s="3">
        <v>2999</v>
      </c>
      <c r="BU330" s="4">
        <v>5</v>
      </c>
      <c r="BV330" s="4" t="str">
        <f>IF(AND(Table1[[#This Row],[Quantity]]&gt;=3,Table1[[#This Row],[Discount_%]]&gt;=15%),"Bulk Discount","no")</f>
        <v>no</v>
      </c>
      <c r="BW330" s="4" t="str">
        <f>IF(AND(Table1[[#This Row],[Quantity]]&gt;3,Table1[[#This Row],[Discount_%]]&gt;15%),"Bulk Customer","Normal")</f>
        <v>Normal</v>
      </c>
      <c r="BX330" t="s">
        <v>330</v>
      </c>
      <c r="BY330" t="s">
        <v>156</v>
      </c>
      <c r="CC330" t="str">
        <f>IF(OR(Table1[[#This Row],[Order_Status]]="Returned",Table1[[#This Row],[Order_Status]]="Cancelled"),"Attention Required","Not")</f>
        <v>Attention Required</v>
      </c>
      <c r="CD330" t="str">
        <f>IF(OR(Table1[[#This Row],[Order_Status]]="Returned",Table1[[#This Row],[Order_Status]]="Cancelled"),"Review","no")</f>
        <v>Review</v>
      </c>
      <c r="CE330" t="str">
        <f>SUBSTITUTE(Table1[[#This Row],[Order_Status]],"Delivered","Completed")</f>
        <v>Cancelled</v>
      </c>
      <c r="CF330" s="2">
        <v>46017</v>
      </c>
      <c r="CG330" s="17">
        <f>NETWORKDAYS(Table1[[#This Row],[Order_Date]],Table1[[#This Row],[Delivery_Date]])</f>
        <v>5</v>
      </c>
      <c r="CH330" s="17">
        <f>Table1[[#This Row],[Delivery_Date]]-Table1[[#This Row],[Order_Date]]</f>
        <v>6</v>
      </c>
      <c r="CI330" t="s">
        <v>137</v>
      </c>
      <c r="CJ330" t="str">
        <f>IF(Table1[[#This Row],[Rating]]&gt;=4,"Good","Needs Improvement")</f>
        <v>Needs Improvement</v>
      </c>
      <c r="CK330" t="str">
        <f>IF(OR(Table1[[#This Row],[Rating]]&lt;=2,Table1[[#This Row],[Profit]]&lt;0),"Review","NO")</f>
        <v>Review</v>
      </c>
      <c r="CL330" t="e" cm="1">
        <f t="array" ref="CL330">_xlfn.IFS(Table1[[#This Row],[Rating]]&gt;2,"Poor",Table1[[#This Row],[Rating]]=3,"Average",Table1[[#This Row],[Rating]]=4,"Good",CP330=5,"Excellent")</f>
        <v>#N/A</v>
      </c>
      <c r="CM330">
        <f>COUNT(Table1[[#This Row],[Rating]])</f>
        <v>1</v>
      </c>
      <c r="CN330">
        <f>COUNTBLANK(Table1[[#This Row],[Rating]])</f>
        <v>0</v>
      </c>
      <c r="CP330" t="s">
        <v>266</v>
      </c>
      <c r="CQ330" s="14">
        <v>2</v>
      </c>
      <c r="CR330" t="s">
        <v>204</v>
      </c>
      <c r="CS330" t="s">
        <v>213</v>
      </c>
      <c r="CU330" s="3">
        <v>5698.1</v>
      </c>
      <c r="CV330" s="3">
        <f>ROUND(Table1[[#This Row],[Sales_Amount]],0)</f>
        <v>5698</v>
      </c>
      <c r="CW330" s="3"/>
      <c r="CX330" s="3"/>
      <c r="CY330" s="3" t="b">
        <f>IF(AND(Table1[[#This Row],[Sales_Amount]]&gt;=10000,Table1[[#This Row],[Profit]]&gt;0),"Good Order")</f>
        <v>0</v>
      </c>
      <c r="CZ330" s="3" t="str">
        <f>IF(Table1[[#This Row],[Sales_Amount]]&gt;=10000,"High","Normal")</f>
        <v>Normal</v>
      </c>
      <c r="DA330" s="3">
        <v>2198.1</v>
      </c>
      <c r="DB330" s="3">
        <f>ROUND(Table1[[#This Row],[Profit]],0)</f>
        <v>2198</v>
      </c>
      <c r="DC330" s="3">
        <f>ABS(Table1[[#This Row],[Profit]])</f>
        <v>2198.1</v>
      </c>
      <c r="DD330" s="3"/>
      <c r="DE330" s="3"/>
      <c r="DF330" s="3"/>
      <c r="DG330" s="3" t="str">
        <f>IF(Table1[[#This Row],[Profit]]&gt;0,"Profit","Loss")</f>
        <v>Profit</v>
      </c>
      <c r="DH330" s="3" t="str">
        <f>IF(AND(Table1[[#This Row],[Sales_Amount]]&gt;=10000,Table1[[#This Row],[Profit]]&gt;0),"Priority","Normal")</f>
        <v>Normal</v>
      </c>
      <c r="DI330" s="3">
        <f t="shared" ca="1" si="37"/>
        <v>0.45564097802985848</v>
      </c>
      <c r="DJ330" s="3">
        <f t="shared" ca="1" si="38"/>
        <v>99</v>
      </c>
      <c r="DK330" s="3"/>
      <c r="DL330" s="3"/>
      <c r="DM330" s="3"/>
      <c r="DN330" s="3"/>
      <c r="DO330" s="3"/>
      <c r="DP330" s="3"/>
    </row>
    <row r="331" spans="1:120">
      <c r="A331" t="s">
        <v>1460</v>
      </c>
      <c r="B331" t="str">
        <f>REPLACE(Table1[[#This Row],[Order_ID]],1,3,"YOO")</f>
        <v>YOO10330</v>
      </c>
      <c r="C331" t="str">
        <f>MID(Table1[[#This Row],[Order_ID]],4,4)</f>
        <v>1033</v>
      </c>
      <c r="D331" t="str">
        <f>LEFT(Table1[[#This Row],[Order_ID]],4)</f>
        <v>ORD1</v>
      </c>
      <c r="E331" t="str">
        <f>RIGHT(Table1[[#This Row],[Order_ID]],5)</f>
        <v>10330</v>
      </c>
      <c r="F331" t="s">
        <v>5</v>
      </c>
      <c r="G331">
        <v>10330</v>
      </c>
      <c r="H331" t="s">
        <v>1461</v>
      </c>
      <c r="I331" s="2">
        <f>EDATE(Table1[[#This Row],[Order_Date]],3)</f>
        <v>46296</v>
      </c>
      <c r="J331" s="2">
        <f>EDATE(Table1[[#This Row],[Order_Date]],6)</f>
        <v>46388</v>
      </c>
      <c r="K331">
        <f ca="1">YEAR(Table1[[#This Row],[Today]])</f>
        <v>2026</v>
      </c>
      <c r="L331">
        <v>330</v>
      </c>
      <c r="M331">
        <f ca="1">DAY(Table1[[#This Row],[Today]])</f>
        <v>11</v>
      </c>
      <c r="N331" s="19">
        <f t="shared" ca="1" si="41"/>
        <v>46245.589795370368</v>
      </c>
      <c r="O331" s="2">
        <f t="shared" ca="1" si="36"/>
        <v>46245</v>
      </c>
      <c r="P331" s="17">
        <f ca="1">Table1[[#This Row],[Today]]-Table1[[#This Row],[Order_Date]]</f>
        <v>41</v>
      </c>
      <c r="Q331" s="2">
        <v>45987</v>
      </c>
      <c r="R331" s="2">
        <v>46204</v>
      </c>
      <c r="S331" s="6">
        <f t="shared" si="39"/>
        <v>2026</v>
      </c>
      <c r="T331" s="7" t="str">
        <f t="shared" si="40"/>
        <v>July</v>
      </c>
      <c r="U331" s="2">
        <f>WORKDAY(Table1[[#This Row],[Order_Date]],5)</f>
        <v>46211</v>
      </c>
      <c r="V331" s="7" t="str">
        <f>CONCATENATE(Table1[[#This Row],[Customer_ID]],Table1[[#This Row],[Customer_Name]])</f>
        <v>C1007Mohit Khan</v>
      </c>
      <c r="W331" t="s">
        <v>1045</v>
      </c>
      <c r="X331" t="s">
        <v>162</v>
      </c>
      <c r="Y331">
        <f>COUNTA(Table1[[#This Row],[Customer_Name]])</f>
        <v>1</v>
      </c>
      <c r="Z331" t="str">
        <f>SUBSTITUTE(Table1[[#This Row],[Customer_Name]]," ","_")</f>
        <v>Mohit_Khan</v>
      </c>
      <c r="AA331" s="10">
        <f>IFERROR(SEARCH("a",Table1[[#This Row],[Customer_Name]]),"N/A")</f>
        <v>9</v>
      </c>
      <c r="AB331">
        <f>SEARCH(" ",Table1[[#This Row],[Customer_Name]])</f>
        <v>6</v>
      </c>
      <c r="AC331" s="11">
        <f>IFERROR(FIND("a",Table1[[#This Row],[Customer_Name]]),"N/A")</f>
        <v>9</v>
      </c>
      <c r="AD331">
        <f>FIND(" ",Table1[[#This Row],[Customer_Name]])</f>
        <v>6</v>
      </c>
      <c r="AE331" t="str">
        <f>TRIM(Table1[[#This Row],[Customer_Name]])</f>
        <v>Mohit Khan</v>
      </c>
      <c r="AF331">
        <f>LEN(Table1[[#This Row],[Trimmed]])</f>
        <v>10</v>
      </c>
      <c r="AG331">
        <f>MAX(Table1[Length])</f>
        <v>15</v>
      </c>
      <c r="AH331" t="str">
        <f>PROPER(Table1[[#This Row],[Customer_Name]])</f>
        <v>Mohit Khan</v>
      </c>
      <c r="AI331" t="str">
        <f>LOWER(Table1[[#This Row],[Customer_Name]])</f>
        <v>mohit khan</v>
      </c>
      <c r="AJ331" t="str">
        <f>UPPER(Table1[[#This Row],[Customer_Name]])</f>
        <v>MOHIT KHAN</v>
      </c>
      <c r="AK331" t="str">
        <f>CONCATENATE(Table1[[#This Row],[Customer_ID]],Table1[[#This Row],[Customer_Name]])</f>
        <v>C1007Mohit Khan</v>
      </c>
      <c r="AL331" t="s">
        <v>163</v>
      </c>
      <c r="AM331" t="s">
        <v>164</v>
      </c>
      <c r="AN331" t="s">
        <v>165</v>
      </c>
      <c r="AO331" t="s">
        <v>163</v>
      </c>
      <c r="AP331" t="s">
        <v>164</v>
      </c>
      <c r="AQ331" t="s">
        <v>166</v>
      </c>
      <c r="AR331" t="str">
        <f>TRIM(Table1[[#This Row],[City]])</f>
        <v>Bengaluru</v>
      </c>
      <c r="AS331" t="str">
        <f>PROPER(Table1[[#This Row],[City]])</f>
        <v>Bengaluru</v>
      </c>
      <c r="AT331" t="s">
        <v>167</v>
      </c>
      <c r="AU331" t="str">
        <f>CONCATENATE(Table1[[#This Row],[City]],Table1[[#This Row],[State]])</f>
        <v>BengaluruKarnataka</v>
      </c>
      <c r="AV331" t="s">
        <v>168</v>
      </c>
      <c r="AW331" t="s">
        <v>169</v>
      </c>
      <c r="AX331" t="str">
        <f>REPLACE(Table1[[#This Row],[Product_ID]],1,1,"s")</f>
        <v>s112</v>
      </c>
      <c r="AY331" t="s">
        <v>1462</v>
      </c>
      <c r="AZ331">
        <f>SEARCH("-",Table1[[#This Row],[Product ID]])</f>
        <v>2</v>
      </c>
      <c r="BA331">
        <f>FIND("-",Table1[[#This Row],[Product ID]])</f>
        <v>2</v>
      </c>
      <c r="BB331" t="str">
        <f>MID(Table1[[#This Row],[Product_ID]],2,3)</f>
        <v>112</v>
      </c>
      <c r="BC331" t="str">
        <f>RIGHT(Table1[[#This Row],[Product_ID]],3)</f>
        <v>112</v>
      </c>
      <c r="BD331" t="str">
        <f>LEFT(Table1[[#This Row],[Product_ID]],3)</f>
        <v>P11</v>
      </c>
      <c r="BE331" t="str">
        <f>_xlfn.XLOOKUP(Table1[[#This Row],[Product_ID]],AW:AW,BF:BF,,0)</f>
        <v>Air Fryer</v>
      </c>
      <c r="BF331" t="s">
        <v>171</v>
      </c>
      <c r="BG331">
        <f>LEN(Table1[[#This Row],[Product_Name]])</f>
        <v>9</v>
      </c>
      <c r="BH331" t="s">
        <v>133</v>
      </c>
      <c r="BI331">
        <f t="shared" si="42"/>
        <v>75</v>
      </c>
      <c r="BJ331" t="str">
        <f>SUBSTITUTE(Table1[[#This Row],[Category]],"Electronics","ELECTRONICS")</f>
        <v>Home</v>
      </c>
      <c r="BN331" t="s">
        <v>134</v>
      </c>
      <c r="BS331" s="14">
        <v>3</v>
      </c>
      <c r="BT331" s="3">
        <v>6499</v>
      </c>
      <c r="BU331" s="4">
        <v>20</v>
      </c>
      <c r="BV331" s="4" t="str">
        <f>IF(AND(Table1[[#This Row],[Quantity]]&gt;=3,Table1[[#This Row],[Discount_%]]&gt;=15%),"Bulk Discount","no")</f>
        <v>Bulk Discount</v>
      </c>
      <c r="BW331" s="4" t="str">
        <f>IF(AND(Table1[[#This Row],[Quantity]]&gt;3,Table1[[#This Row],[Discount_%]]&gt;15%),"Bulk Customer","Normal")</f>
        <v>Normal</v>
      </c>
      <c r="BX331" t="s">
        <v>187</v>
      </c>
      <c r="BY331" t="s">
        <v>193</v>
      </c>
      <c r="CC331" t="str">
        <f>IF(OR(Table1[[#This Row],[Order_Status]]="Returned",Table1[[#This Row],[Order_Status]]="Cancelled"),"Attention Required","Not")</f>
        <v>Not</v>
      </c>
      <c r="CD331" t="str">
        <f>IF(OR(Table1[[#This Row],[Order_Status]]="Returned",Table1[[#This Row],[Order_Status]]="Cancelled"),"Review","no")</f>
        <v>no</v>
      </c>
      <c r="CE331" t="str">
        <f>SUBSTITUTE(Table1[[#This Row],[Order_Status]],"Delivered","Completed")</f>
        <v>Shipped</v>
      </c>
      <c r="CF331" s="2">
        <v>46205</v>
      </c>
      <c r="CG331" s="17">
        <f>NETWORKDAYS(Table1[[#This Row],[Order_Date]],Table1[[#This Row],[Delivery_Date]])</f>
        <v>2</v>
      </c>
      <c r="CH331" s="17">
        <f>Table1[[#This Row],[Delivery_Date]]-Table1[[#This Row],[Order_Date]]</f>
        <v>1</v>
      </c>
      <c r="CI331" t="s">
        <v>137</v>
      </c>
      <c r="CJ331" t="str">
        <f>IF(Table1[[#This Row],[Rating]]&gt;=4,"Good","Needs Improvement")</f>
        <v>Needs Improvement</v>
      </c>
      <c r="CK331" t="str">
        <f>IF(OR(Table1[[#This Row],[Rating]]&lt;=2,Table1[[#This Row],[Profit]]&lt;0),"Review","NO")</f>
        <v>Review</v>
      </c>
      <c r="CL331" t="e" cm="1">
        <f t="array" ref="CL331">_xlfn.IFS(Table1[[#This Row],[Rating]]&gt;2,"Poor",Table1[[#This Row],[Rating]]=3,"Average",Table1[[#This Row],[Rating]]=4,"Good",CP331=5,"Excellent")</f>
        <v>#N/A</v>
      </c>
      <c r="CM331">
        <f>COUNT(Table1[[#This Row],[Rating]])</f>
        <v>1</v>
      </c>
      <c r="CN331">
        <f>COUNTBLANK(Table1[[#This Row],[Rating]])</f>
        <v>0</v>
      </c>
      <c r="CP331" t="s">
        <v>331</v>
      </c>
      <c r="CQ331" s="14">
        <v>2</v>
      </c>
      <c r="CR331" t="s">
        <v>204</v>
      </c>
      <c r="CS331" t="s">
        <v>140</v>
      </c>
      <c r="CU331" s="3">
        <v>15597.6</v>
      </c>
      <c r="CV331" s="3">
        <f>ROUND(Table1[[#This Row],[Sales_Amount]],0)</f>
        <v>15598</v>
      </c>
      <c r="CW331" s="3"/>
      <c r="CX331" s="3"/>
      <c r="CY331" s="3" t="str">
        <f>IF(AND(Table1[[#This Row],[Sales_Amount]]&gt;=10000,Table1[[#This Row],[Profit]]&gt;0),"Good Order")</f>
        <v>Good Order</v>
      </c>
      <c r="CZ331" s="3" t="str">
        <f>IF(Table1[[#This Row],[Sales_Amount]]&gt;=10000,"High","Normal")</f>
        <v>High</v>
      </c>
      <c r="DA331" s="3">
        <v>2697.6</v>
      </c>
      <c r="DB331" s="3">
        <f>ROUND(Table1[[#This Row],[Profit]],0)</f>
        <v>2698</v>
      </c>
      <c r="DC331" s="3">
        <f>ABS(Table1[[#This Row],[Profit]])</f>
        <v>2697.6</v>
      </c>
      <c r="DD331" s="3"/>
      <c r="DE331" s="3"/>
      <c r="DF331" s="3"/>
      <c r="DG331" s="3" t="str">
        <f>IF(Table1[[#This Row],[Profit]]&gt;0,"Profit","Loss")</f>
        <v>Profit</v>
      </c>
      <c r="DH331" s="3" t="str">
        <f>IF(AND(Table1[[#This Row],[Sales_Amount]]&gt;=10000,Table1[[#This Row],[Profit]]&gt;0),"Priority","Normal")</f>
        <v>Priority</v>
      </c>
      <c r="DI331" s="3">
        <f t="shared" ca="1" si="37"/>
        <v>0.7134800728589159</v>
      </c>
      <c r="DJ331" s="3">
        <f t="shared" ca="1" si="38"/>
        <v>27</v>
      </c>
      <c r="DK331" s="3"/>
      <c r="DL331" s="3"/>
      <c r="DM331" s="3"/>
      <c r="DN331" s="3"/>
      <c r="DO331" s="3"/>
      <c r="DP331" s="3"/>
    </row>
    <row r="332" spans="1:120">
      <c r="A332" t="s">
        <v>1463</v>
      </c>
      <c r="B332" t="str">
        <f>REPLACE(Table1[[#This Row],[Order_ID]],1,3,"YOO")</f>
        <v>YOO10331</v>
      </c>
      <c r="C332" t="str">
        <f>MID(Table1[[#This Row],[Order_ID]],4,4)</f>
        <v>1033</v>
      </c>
      <c r="D332" t="str">
        <f>LEFT(Table1[[#This Row],[Order_ID]],4)</f>
        <v>ORD1</v>
      </c>
      <c r="E332" t="str">
        <f>RIGHT(Table1[[#This Row],[Order_ID]],5)</f>
        <v>10331</v>
      </c>
      <c r="F332" t="s">
        <v>5</v>
      </c>
      <c r="G332">
        <v>10331</v>
      </c>
      <c r="H332" t="s">
        <v>1464</v>
      </c>
      <c r="I332" s="2">
        <f>EDATE(Table1[[#This Row],[Order_Date]],3)</f>
        <v>45914</v>
      </c>
      <c r="J332" s="2">
        <f>EDATE(Table1[[#This Row],[Order_Date]],6)</f>
        <v>46005</v>
      </c>
      <c r="K332">
        <f ca="1">YEAR(Table1[[#This Row],[Today]])</f>
        <v>2026</v>
      </c>
      <c r="L332">
        <v>331</v>
      </c>
      <c r="M332">
        <f ca="1">DAY(Table1[[#This Row],[Today]])</f>
        <v>11</v>
      </c>
      <c r="N332" s="19">
        <f t="shared" ca="1" si="41"/>
        <v>46245.589795138891</v>
      </c>
      <c r="O332" s="2">
        <f t="shared" ca="1" si="36"/>
        <v>46245</v>
      </c>
      <c r="P332" s="17">
        <f ca="1">Table1[[#This Row],[Today]]-Table1[[#This Row],[Order_Date]]</f>
        <v>423</v>
      </c>
      <c r="Q332" s="2">
        <v>45988</v>
      </c>
      <c r="R332" s="2">
        <v>45822</v>
      </c>
      <c r="S332" s="6">
        <f t="shared" si="39"/>
        <v>2025</v>
      </c>
      <c r="T332" s="7" t="str">
        <f t="shared" si="40"/>
        <v>June</v>
      </c>
      <c r="U332" s="2">
        <f>WORKDAY(Table1[[#This Row],[Order_Date]],5)</f>
        <v>45828</v>
      </c>
      <c r="V332" s="7" t="str">
        <f>CONCATENATE(Table1[[#This Row],[Customer_ID]],Table1[[#This Row],[Customer_Name]])</f>
        <v xml:space="preserve">C1053  riya agarwal  </v>
      </c>
      <c r="W332" t="s">
        <v>720</v>
      </c>
      <c r="X332" t="s">
        <v>1465</v>
      </c>
      <c r="Y332">
        <f>COUNTA(Table1[[#This Row],[Customer_Name]])</f>
        <v>1</v>
      </c>
      <c r="Z332" t="str">
        <f>SUBSTITUTE(Table1[[#This Row],[Customer_Name]]," ","_")</f>
        <v>__riya_agarwal__</v>
      </c>
      <c r="AA332" s="10">
        <f>IFERROR(SEARCH("a",Table1[[#This Row],[Customer_Name]]),"N/A")</f>
        <v>6</v>
      </c>
      <c r="AB332">
        <f>SEARCH(" ",Table1[[#This Row],[Customer_Name]])</f>
        <v>1</v>
      </c>
      <c r="AC332" s="11">
        <f>IFERROR(FIND("a",Table1[[#This Row],[Customer_Name]]),"N/A")</f>
        <v>6</v>
      </c>
      <c r="AD332">
        <f>FIND(" ",Table1[[#This Row],[Customer_Name]])</f>
        <v>1</v>
      </c>
      <c r="AE332" t="str">
        <f>TRIM(Table1[[#This Row],[Customer_Name]])</f>
        <v>riya agarwal</v>
      </c>
      <c r="AF332">
        <f>LEN(Table1[[#This Row],[Trimmed]])</f>
        <v>12</v>
      </c>
      <c r="AG332">
        <f>MAX(Table1[Length])</f>
        <v>15</v>
      </c>
      <c r="AH332" t="str">
        <f>PROPER(Table1[[#This Row],[Customer_Name]])</f>
        <v xml:space="preserve">  Riya Agarwal  </v>
      </c>
      <c r="AI332" t="str">
        <f>LOWER(Table1[[#This Row],[Customer_Name]])</f>
        <v xml:space="preserve">  riya agarwal  </v>
      </c>
      <c r="AJ332" t="str">
        <f>UPPER(Table1[[#This Row],[Customer_Name]])</f>
        <v xml:space="preserve">  RIYA AGARWAL  </v>
      </c>
      <c r="AK332" t="str">
        <f>CONCATENATE(Table1[[#This Row],[Customer_ID]],Table1[[#This Row],[Customer_Name]])</f>
        <v xml:space="preserve">C1053  riya agarwal  </v>
      </c>
      <c r="AL332" t="s">
        <v>1466</v>
      </c>
      <c r="AM332" t="s">
        <v>1467</v>
      </c>
      <c r="AN332" t="s">
        <v>220</v>
      </c>
      <c r="AO332" t="s">
        <v>1466</v>
      </c>
      <c r="AP332" t="s">
        <v>1467</v>
      </c>
      <c r="AQ332" t="s">
        <v>379</v>
      </c>
      <c r="AR332" t="str">
        <f>TRIM(Table1[[#This Row],[City]])</f>
        <v>Indore</v>
      </c>
      <c r="AS332" t="str">
        <f>PROPER(Table1[[#This Row],[City]])</f>
        <v>Indore</v>
      </c>
      <c r="AT332" t="s">
        <v>345</v>
      </c>
      <c r="AU332" t="str">
        <f>CONCATENATE(Table1[[#This Row],[City]],Table1[[#This Row],[State]])</f>
        <v>IndoreMadhya Pradesh</v>
      </c>
      <c r="AV332" t="s">
        <v>346</v>
      </c>
      <c r="AW332" t="s">
        <v>201</v>
      </c>
      <c r="AX332" t="str">
        <f>REPLACE(Table1[[#This Row],[Product_ID]],1,1,"s")</f>
        <v>s104</v>
      </c>
      <c r="AY332" t="s">
        <v>1468</v>
      </c>
      <c r="AZ332">
        <f>SEARCH("-",Table1[[#This Row],[Product ID]])</f>
        <v>2</v>
      </c>
      <c r="BA332">
        <f>FIND("-",Table1[[#This Row],[Product ID]])</f>
        <v>2</v>
      </c>
      <c r="BB332" t="str">
        <f>MID(Table1[[#This Row],[Product_ID]],2,3)</f>
        <v>104</v>
      </c>
      <c r="BC332" t="str">
        <f>RIGHT(Table1[[#This Row],[Product_ID]],3)</f>
        <v>104</v>
      </c>
      <c r="BD332" t="str">
        <f>LEFT(Table1[[#This Row],[Product_ID]],3)</f>
        <v>P10</v>
      </c>
      <c r="BE332" t="str">
        <f>_xlfn.XLOOKUP(Table1[[#This Row],[Product_ID]],AW:AW,BF:BF,,0)</f>
        <v>USB-C Hub</v>
      </c>
      <c r="BF332" t="s">
        <v>203</v>
      </c>
      <c r="BG332">
        <f>LEN(Table1[[#This Row],[Product_Name]])</f>
        <v>9</v>
      </c>
      <c r="BH332" t="s">
        <v>154</v>
      </c>
      <c r="BI332">
        <f t="shared" si="42"/>
        <v>75</v>
      </c>
      <c r="BJ332" t="str">
        <f>SUBSTITUTE(Table1[[#This Row],[Category]],"Electronics","ELECTRONICS")</f>
        <v>ELECTRONICS</v>
      </c>
      <c r="BN332" t="s">
        <v>155</v>
      </c>
      <c r="BS332" s="14">
        <v>3</v>
      </c>
      <c r="BT332" s="3">
        <v>1899</v>
      </c>
      <c r="BU332" s="4">
        <v>10</v>
      </c>
      <c r="BV332" s="4" t="str">
        <f>IF(AND(Table1[[#This Row],[Quantity]]&gt;=3,Table1[[#This Row],[Discount_%]]&gt;=15%),"Bulk Discount","no")</f>
        <v>Bulk Discount</v>
      </c>
      <c r="BW332" s="4" t="str">
        <f>IF(AND(Table1[[#This Row],[Quantity]]&gt;3,Table1[[#This Row],[Discount_%]]&gt;15%),"Bulk Customer","Normal")</f>
        <v>Normal</v>
      </c>
      <c r="BX332" t="s">
        <v>172</v>
      </c>
      <c r="BY332" t="s">
        <v>136</v>
      </c>
      <c r="CC332" t="str">
        <f>IF(OR(Table1[[#This Row],[Order_Status]]="Returned",Table1[[#This Row],[Order_Status]]="Cancelled"),"Attention Required","Not")</f>
        <v>Not</v>
      </c>
      <c r="CD332" t="str">
        <f>IF(OR(Table1[[#This Row],[Order_Status]]="Returned",Table1[[#This Row],[Order_Status]]="Cancelled"),"Review","no")</f>
        <v>no</v>
      </c>
      <c r="CE332" t="str">
        <f>SUBSTITUTE(Table1[[#This Row],[Order_Status]],"Delivered","Completed")</f>
        <v>Completed</v>
      </c>
      <c r="CF332" s="2">
        <v>45823</v>
      </c>
      <c r="CG332" s="17">
        <f>NETWORKDAYS(Table1[[#This Row],[Order_Date]],Table1[[#This Row],[Delivery_Date]])</f>
        <v>0</v>
      </c>
      <c r="CH332" s="17">
        <f>Table1[[#This Row],[Delivery_Date]]-Table1[[#This Row],[Order_Date]]</f>
        <v>1</v>
      </c>
      <c r="CI332" t="s">
        <v>137</v>
      </c>
      <c r="CJ332" t="str">
        <f>IF(Table1[[#This Row],[Rating]]&gt;=4,"Good","Needs Improvement")</f>
        <v>Good</v>
      </c>
      <c r="CK332" t="str">
        <f>IF(OR(Table1[[#This Row],[Rating]]&lt;=2,Table1[[#This Row],[Profit]]&lt;0),"Review","NO")</f>
        <v>NO</v>
      </c>
      <c r="CL332" t="str" cm="1">
        <f t="array" ref="CL332">_xlfn.IFS(Table1[[#This Row],[Rating]]&gt;2,"Poor",Table1[[#This Row],[Rating]]=3,"Average",Table1[[#This Row],[Rating]]=4,"Good",CP332=5,"Excellent")</f>
        <v>Poor</v>
      </c>
      <c r="CM332">
        <f>COUNT(Table1[[#This Row],[Rating]])</f>
        <v>1</v>
      </c>
      <c r="CN332">
        <f>COUNTBLANK(Table1[[#This Row],[Rating]])</f>
        <v>0</v>
      </c>
      <c r="CP332" t="s">
        <v>157</v>
      </c>
      <c r="CQ332" s="14">
        <v>4</v>
      </c>
      <c r="CR332" t="s">
        <v>173</v>
      </c>
      <c r="CS332" t="s">
        <v>140</v>
      </c>
      <c r="CU332" s="3">
        <v>5127.3</v>
      </c>
      <c r="CV332" s="3">
        <f>ROUND(Table1[[#This Row],[Sales_Amount]],0)</f>
        <v>5127</v>
      </c>
      <c r="CW332" s="3"/>
      <c r="CX332" s="3"/>
      <c r="CY332" s="3" t="b">
        <f>IF(AND(Table1[[#This Row],[Sales_Amount]]&gt;=10000,Table1[[#This Row],[Profit]]&gt;0),"Good Order")</f>
        <v>0</v>
      </c>
      <c r="CZ332" s="3" t="str">
        <f>IF(Table1[[#This Row],[Sales_Amount]]&gt;=10000,"High","Normal")</f>
        <v>Normal</v>
      </c>
      <c r="DA332" s="3">
        <v>1827.3</v>
      </c>
      <c r="DB332" s="3">
        <f>ROUND(Table1[[#This Row],[Profit]],0)</f>
        <v>1827</v>
      </c>
      <c r="DC332" s="3">
        <f>ABS(Table1[[#This Row],[Profit]])</f>
        <v>1827.3</v>
      </c>
      <c r="DD332" s="3"/>
      <c r="DE332" s="3"/>
      <c r="DF332" s="3"/>
      <c r="DG332" s="3" t="str">
        <f>IF(Table1[[#This Row],[Profit]]&gt;0,"Profit","Loss")</f>
        <v>Profit</v>
      </c>
      <c r="DH332" s="3" t="str">
        <f>IF(AND(Table1[[#This Row],[Sales_Amount]]&gt;=10000,Table1[[#This Row],[Profit]]&gt;0),"Priority","Normal")</f>
        <v>Normal</v>
      </c>
      <c r="DI332" s="3">
        <f t="shared" ca="1" si="37"/>
        <v>0.31917004622855161</v>
      </c>
      <c r="DJ332" s="3">
        <f t="shared" ca="1" si="38"/>
        <v>5</v>
      </c>
      <c r="DK332" s="3"/>
      <c r="DL332" s="3"/>
      <c r="DM332" s="3"/>
      <c r="DN332" s="3"/>
      <c r="DO332" s="3"/>
      <c r="DP332" s="3"/>
    </row>
    <row r="333" spans="1:120">
      <c r="A333" t="s">
        <v>1469</v>
      </c>
      <c r="B333" t="str">
        <f>REPLACE(Table1[[#This Row],[Order_ID]],1,3,"YOO")</f>
        <v>YOO10332</v>
      </c>
      <c r="C333" t="str">
        <f>MID(Table1[[#This Row],[Order_ID]],4,4)</f>
        <v>1033</v>
      </c>
      <c r="D333" t="str">
        <f>LEFT(Table1[[#This Row],[Order_ID]],4)</f>
        <v>ORD1</v>
      </c>
      <c r="E333" t="str">
        <f>RIGHT(Table1[[#This Row],[Order_ID]],5)</f>
        <v>10332</v>
      </c>
      <c r="F333" t="s">
        <v>5</v>
      </c>
      <c r="G333">
        <v>10332</v>
      </c>
      <c r="H333" t="s">
        <v>1470</v>
      </c>
      <c r="I333" s="2">
        <f>EDATE(Table1[[#This Row],[Order_Date]],3)</f>
        <v>46325</v>
      </c>
      <c r="J333" s="2">
        <f>EDATE(Table1[[#This Row],[Order_Date]],6)</f>
        <v>46417</v>
      </c>
      <c r="K333">
        <f ca="1">YEAR(Table1[[#This Row],[Today]])</f>
        <v>2026</v>
      </c>
      <c r="L333">
        <v>332</v>
      </c>
      <c r="M333">
        <f ca="1">DAY(Table1[[#This Row],[Today]])</f>
        <v>11</v>
      </c>
      <c r="N333" s="19">
        <f t="shared" ca="1" si="41"/>
        <v>46245.589795370368</v>
      </c>
      <c r="O333" s="2">
        <f t="shared" ca="1" si="36"/>
        <v>46245</v>
      </c>
      <c r="P333" s="17">
        <f ca="1">Table1[[#This Row],[Today]]-Table1[[#This Row],[Order_Date]]</f>
        <v>12</v>
      </c>
      <c r="Q333" s="2">
        <v>45989</v>
      </c>
      <c r="R333" s="2">
        <v>46233</v>
      </c>
      <c r="S333" s="6">
        <f t="shared" si="39"/>
        <v>2026</v>
      </c>
      <c r="T333" s="7" t="str">
        <f t="shared" si="40"/>
        <v>July</v>
      </c>
      <c r="U333" s="2">
        <f>WORKDAY(Table1[[#This Row],[Order_Date]],5)</f>
        <v>46240</v>
      </c>
      <c r="V333" s="7" t="str">
        <f>CONCATENATE(Table1[[#This Row],[Customer_ID]],Table1[[#This Row],[Customer_Name]])</f>
        <v>C1098Mohit Khan</v>
      </c>
      <c r="W333" t="s">
        <v>622</v>
      </c>
      <c r="X333" t="s">
        <v>162</v>
      </c>
      <c r="Y333">
        <f>COUNTA(Table1[[#This Row],[Customer_Name]])</f>
        <v>1</v>
      </c>
      <c r="Z333" t="str">
        <f>SUBSTITUTE(Table1[[#This Row],[Customer_Name]]," ","_")</f>
        <v>Mohit_Khan</v>
      </c>
      <c r="AA333" s="10">
        <f>IFERROR(SEARCH("a",Table1[[#This Row],[Customer_Name]]),"N/A")</f>
        <v>9</v>
      </c>
      <c r="AB333">
        <f>SEARCH(" ",Table1[[#This Row],[Customer_Name]])</f>
        <v>6</v>
      </c>
      <c r="AC333" s="11">
        <f>IFERROR(FIND("a",Table1[[#This Row],[Customer_Name]]),"N/A")</f>
        <v>9</v>
      </c>
      <c r="AD333">
        <f>FIND(" ",Table1[[#This Row],[Customer_Name]])</f>
        <v>6</v>
      </c>
      <c r="AE333" t="str">
        <f>TRIM(Table1[[#This Row],[Customer_Name]])</f>
        <v>Mohit Khan</v>
      </c>
      <c r="AF333">
        <f>LEN(Table1[[#This Row],[Trimmed]])</f>
        <v>10</v>
      </c>
      <c r="AG333">
        <f>MAX(Table1[Length])</f>
        <v>15</v>
      </c>
      <c r="AH333" t="str">
        <f>PROPER(Table1[[#This Row],[Customer_Name]])</f>
        <v>Mohit Khan</v>
      </c>
      <c r="AI333" t="str">
        <f>LOWER(Table1[[#This Row],[Customer_Name]])</f>
        <v>mohit khan</v>
      </c>
      <c r="AJ333" t="str">
        <f>UPPER(Table1[[#This Row],[Customer_Name]])</f>
        <v>MOHIT KHAN</v>
      </c>
      <c r="AK333" t="str">
        <f>CONCATENATE(Table1[[#This Row],[Customer_ID]],Table1[[#This Row],[Customer_Name]])</f>
        <v>C1098Mohit Khan</v>
      </c>
      <c r="AL333" t="s">
        <v>163</v>
      </c>
      <c r="AM333" t="s">
        <v>164</v>
      </c>
      <c r="AN333" t="s">
        <v>165</v>
      </c>
      <c r="AO333" t="s">
        <v>163</v>
      </c>
      <c r="AP333" t="s">
        <v>164</v>
      </c>
      <c r="AQ333" t="s">
        <v>199</v>
      </c>
      <c r="AR333" t="str">
        <f>TRIM(Table1[[#This Row],[City]])</f>
        <v>Lucknow</v>
      </c>
      <c r="AS333" t="str">
        <f>PROPER(Table1[[#This Row],[City]])</f>
        <v>Lucknow</v>
      </c>
      <c r="AT333" t="s">
        <v>200</v>
      </c>
      <c r="AU333" t="str">
        <f>CONCATENATE(Table1[[#This Row],[City]],Table1[[#This Row],[State]])</f>
        <v>LucknowUttar Pradesh</v>
      </c>
      <c r="AV333" t="s">
        <v>150</v>
      </c>
      <c r="AW333" t="s">
        <v>363</v>
      </c>
      <c r="AX333" t="str">
        <f>REPLACE(Table1[[#This Row],[Product_ID]],1,1,"s")</f>
        <v>s110</v>
      </c>
      <c r="AY333" t="s">
        <v>1471</v>
      </c>
      <c r="AZ333">
        <f>SEARCH("-",Table1[[#This Row],[Product ID]])</f>
        <v>2</v>
      </c>
      <c r="BA333">
        <f>FIND("-",Table1[[#This Row],[Product ID]])</f>
        <v>2</v>
      </c>
      <c r="BB333" t="str">
        <f>MID(Table1[[#This Row],[Product_ID]],2,3)</f>
        <v>110</v>
      </c>
      <c r="BC333" t="str">
        <f>RIGHT(Table1[[#This Row],[Product_ID]],3)</f>
        <v>110</v>
      </c>
      <c r="BD333" t="str">
        <f>LEFT(Table1[[#This Row],[Product_ID]],3)</f>
        <v>P11</v>
      </c>
      <c r="BE333" t="str">
        <f>_xlfn.XLOOKUP(Table1[[#This Row],[Product_ID]],AW:AW,BF:BF,,0)</f>
        <v>Smart Watch</v>
      </c>
      <c r="BF333" t="s">
        <v>365</v>
      </c>
      <c r="BG333">
        <f>LEN(Table1[[#This Row],[Product_Name]])</f>
        <v>11</v>
      </c>
      <c r="BH333" t="s">
        <v>154</v>
      </c>
      <c r="BI333">
        <f t="shared" si="42"/>
        <v>75</v>
      </c>
      <c r="BJ333" t="str">
        <f>SUBSTITUTE(Table1[[#This Row],[Category]],"Electronics","ELECTRONICS")</f>
        <v>ELECTRONICS</v>
      </c>
      <c r="BN333" t="s">
        <v>366</v>
      </c>
      <c r="BS333" s="14">
        <v>2</v>
      </c>
      <c r="BT333" s="3">
        <v>4999</v>
      </c>
      <c r="BU333" s="4">
        <v>20</v>
      </c>
      <c r="BV333" s="4" t="str">
        <f>IF(AND(Table1[[#This Row],[Quantity]]&gt;=3,Table1[[#This Row],[Discount_%]]&gt;=15%),"Bulk Discount","no")</f>
        <v>no</v>
      </c>
      <c r="BW333" s="4" t="str">
        <f>IF(AND(Table1[[#This Row],[Quantity]]&gt;3,Table1[[#This Row],[Discount_%]]&gt;15%),"Bulk Customer","Normal")</f>
        <v>Normal</v>
      </c>
      <c r="BX333" t="s">
        <v>330</v>
      </c>
      <c r="BY333" t="s">
        <v>136</v>
      </c>
      <c r="CC333" t="str">
        <f>IF(OR(Table1[[#This Row],[Order_Status]]="Returned",Table1[[#This Row],[Order_Status]]="Cancelled"),"Attention Required","Not")</f>
        <v>Not</v>
      </c>
      <c r="CD333" t="str">
        <f>IF(OR(Table1[[#This Row],[Order_Status]]="Returned",Table1[[#This Row],[Order_Status]]="Cancelled"),"Review","no")</f>
        <v>no</v>
      </c>
      <c r="CE333" t="str">
        <f>SUBSTITUTE(Table1[[#This Row],[Order_Status]],"Delivered","Completed")</f>
        <v>Completed</v>
      </c>
      <c r="CF333" s="2">
        <v>46238</v>
      </c>
      <c r="CG333" s="17">
        <f>NETWORKDAYS(Table1[[#This Row],[Order_Date]],Table1[[#This Row],[Delivery_Date]])</f>
        <v>4</v>
      </c>
      <c r="CH333" s="17">
        <f>Table1[[#This Row],[Delivery_Date]]-Table1[[#This Row],[Order_Date]]</f>
        <v>5</v>
      </c>
      <c r="CI333" t="s">
        <v>137</v>
      </c>
      <c r="CJ333" t="str">
        <f>IF(Table1[[#This Row],[Rating]]&gt;=4,"Good","Needs Improvement")</f>
        <v>Needs Improvement</v>
      </c>
      <c r="CK333" t="str">
        <f>IF(OR(Table1[[#This Row],[Rating]]&lt;=2,Table1[[#This Row],[Profit]]&lt;0),"Review","NO")</f>
        <v>Review</v>
      </c>
      <c r="CL333" t="e" cm="1">
        <f t="array" ref="CL333">_xlfn.IFS(Table1[[#This Row],[Rating]]&gt;2,"Poor",Table1[[#This Row],[Rating]]=3,"Average",Table1[[#This Row],[Rating]]=4,"Good",CP333=5,"Excellent")</f>
        <v>#N/A</v>
      </c>
      <c r="CM333">
        <f>COUNT(Table1[[#This Row],[Rating]])</f>
        <v>1</v>
      </c>
      <c r="CN333">
        <f>COUNTBLANK(Table1[[#This Row],[Rating]])</f>
        <v>0</v>
      </c>
      <c r="CQ333" s="14">
        <v>1</v>
      </c>
      <c r="CR333" t="s">
        <v>173</v>
      </c>
      <c r="CS333" t="s">
        <v>174</v>
      </c>
      <c r="CU333" s="3">
        <v>7998.4</v>
      </c>
      <c r="CV333" s="3">
        <f>ROUND(Table1[[#This Row],[Sales_Amount]],0)</f>
        <v>7998</v>
      </c>
      <c r="CW333" s="3"/>
      <c r="CX333" s="3"/>
      <c r="CY333" s="3" t="b">
        <f>IF(AND(Table1[[#This Row],[Sales_Amount]]&gt;=10000,Table1[[#This Row],[Profit]]&gt;0),"Good Order")</f>
        <v>0</v>
      </c>
      <c r="CZ333" s="3" t="str">
        <f>IF(Table1[[#This Row],[Sales_Amount]]&gt;=10000,"High","Normal")</f>
        <v>Normal</v>
      </c>
      <c r="DA333" s="3">
        <v>1798.4</v>
      </c>
      <c r="DB333" s="3">
        <f>ROUND(Table1[[#This Row],[Profit]],0)</f>
        <v>1798</v>
      </c>
      <c r="DC333" s="3">
        <f>ABS(Table1[[#This Row],[Profit]])</f>
        <v>1798.4</v>
      </c>
      <c r="DD333" s="3"/>
      <c r="DE333" s="3"/>
      <c r="DF333" s="3"/>
      <c r="DG333" s="3" t="str">
        <f>IF(Table1[[#This Row],[Profit]]&gt;0,"Profit","Loss")</f>
        <v>Profit</v>
      </c>
      <c r="DH333" s="3" t="str">
        <f>IF(AND(Table1[[#This Row],[Sales_Amount]]&gt;=10000,Table1[[#This Row],[Profit]]&gt;0),"Priority","Normal")</f>
        <v>Normal</v>
      </c>
      <c r="DI333" s="3">
        <f t="shared" ca="1" si="37"/>
        <v>0.64069600053454578</v>
      </c>
      <c r="DJ333" s="3">
        <f t="shared" ca="1" si="38"/>
        <v>11</v>
      </c>
      <c r="DK333" s="3"/>
      <c r="DL333" s="3"/>
      <c r="DM333" s="3"/>
      <c r="DN333" s="3"/>
      <c r="DO333" s="3"/>
      <c r="DP333" s="3"/>
    </row>
    <row r="334" spans="1:120">
      <c r="A334" t="s">
        <v>1472</v>
      </c>
      <c r="B334" t="str">
        <f>REPLACE(Table1[[#This Row],[Order_ID]],1,3,"YOO")</f>
        <v>YOO10333</v>
      </c>
      <c r="C334" t="str">
        <f>MID(Table1[[#This Row],[Order_ID]],4,4)</f>
        <v>1033</v>
      </c>
      <c r="D334" t="str">
        <f>LEFT(Table1[[#This Row],[Order_ID]],4)</f>
        <v>ORD1</v>
      </c>
      <c r="E334" t="str">
        <f>RIGHT(Table1[[#This Row],[Order_ID]],5)</f>
        <v>10333</v>
      </c>
      <c r="F334" t="s">
        <v>5</v>
      </c>
      <c r="G334">
        <v>10333</v>
      </c>
      <c r="H334" t="s">
        <v>1473</v>
      </c>
      <c r="I334" s="2">
        <f>EDATE(Table1[[#This Row],[Order_Date]],3)</f>
        <v>46006</v>
      </c>
      <c r="J334" s="2">
        <f>EDATE(Table1[[#This Row],[Order_Date]],6)</f>
        <v>46096</v>
      </c>
      <c r="K334">
        <f ca="1">YEAR(Table1[[#This Row],[Today]])</f>
        <v>2026</v>
      </c>
      <c r="L334">
        <v>333</v>
      </c>
      <c r="M334">
        <f ca="1">DAY(Table1[[#This Row],[Today]])</f>
        <v>11</v>
      </c>
      <c r="N334" s="19">
        <f t="shared" ca="1" si="41"/>
        <v>46245.589795370368</v>
      </c>
      <c r="O334" s="2">
        <f t="shared" ca="1" si="36"/>
        <v>46245</v>
      </c>
      <c r="P334" s="17">
        <f ca="1">Table1[[#This Row],[Today]]-Table1[[#This Row],[Order_Date]]</f>
        <v>330</v>
      </c>
      <c r="Q334" s="2">
        <v>45990</v>
      </c>
      <c r="R334" s="2">
        <v>45915</v>
      </c>
      <c r="S334" s="6">
        <f t="shared" si="39"/>
        <v>2025</v>
      </c>
      <c r="T334" s="7" t="str">
        <f t="shared" si="40"/>
        <v>September</v>
      </c>
      <c r="U334" s="2">
        <f>WORKDAY(Table1[[#This Row],[Order_Date]],5)</f>
        <v>45922</v>
      </c>
      <c r="V334" s="7" t="str">
        <f>CONCATENATE(Table1[[#This Row],[Customer_ID]],Table1[[#This Row],[Customer_Name]])</f>
        <v>C1140Meera Nair</v>
      </c>
      <c r="W334" t="s">
        <v>122</v>
      </c>
      <c r="X334" t="s">
        <v>429</v>
      </c>
      <c r="Y334">
        <f>COUNTA(Table1[[#This Row],[Customer_Name]])</f>
        <v>1</v>
      </c>
      <c r="Z334" t="str">
        <f>SUBSTITUTE(Table1[[#This Row],[Customer_Name]]," ","_")</f>
        <v>Meera_Nair</v>
      </c>
      <c r="AA334" s="10">
        <f>IFERROR(SEARCH("a",Table1[[#This Row],[Customer_Name]]),"N/A")</f>
        <v>5</v>
      </c>
      <c r="AB334">
        <f>SEARCH(" ",Table1[[#This Row],[Customer_Name]])</f>
        <v>6</v>
      </c>
      <c r="AC334" s="11">
        <f>IFERROR(FIND("a",Table1[[#This Row],[Customer_Name]]),"N/A")</f>
        <v>5</v>
      </c>
      <c r="AD334">
        <f>FIND(" ",Table1[[#This Row],[Customer_Name]])</f>
        <v>6</v>
      </c>
      <c r="AE334" t="str">
        <f>TRIM(Table1[[#This Row],[Customer_Name]])</f>
        <v>Meera Nair</v>
      </c>
      <c r="AF334">
        <f>LEN(Table1[[#This Row],[Trimmed]])</f>
        <v>10</v>
      </c>
      <c r="AG334">
        <f>MAX(Table1[Length])</f>
        <v>15</v>
      </c>
      <c r="AH334" t="str">
        <f>PROPER(Table1[[#This Row],[Customer_Name]])</f>
        <v>Meera Nair</v>
      </c>
      <c r="AI334" t="str">
        <f>LOWER(Table1[[#This Row],[Customer_Name]])</f>
        <v>meera nair</v>
      </c>
      <c r="AJ334" t="str">
        <f>UPPER(Table1[[#This Row],[Customer_Name]])</f>
        <v>MEERA NAIR</v>
      </c>
      <c r="AK334" t="str">
        <f>CONCATENATE(Table1[[#This Row],[Customer_ID]],Table1[[#This Row],[Customer_Name]])</f>
        <v>C1140Meera Nair</v>
      </c>
      <c r="AL334" t="s">
        <v>430</v>
      </c>
      <c r="AM334" t="s">
        <v>431</v>
      </c>
      <c r="AN334" t="s">
        <v>432</v>
      </c>
      <c r="AO334" t="s">
        <v>430</v>
      </c>
      <c r="AP334" t="s">
        <v>431</v>
      </c>
      <c r="AQ334" t="s">
        <v>182</v>
      </c>
      <c r="AR334" t="str">
        <f>TRIM(Table1[[#This Row],[City]])</f>
        <v>Mumbai</v>
      </c>
      <c r="AS334" t="str">
        <f>PROPER(Table1[[#This Row],[City]])</f>
        <v>Mumbai</v>
      </c>
      <c r="AT334" t="s">
        <v>128</v>
      </c>
      <c r="AU334" t="str">
        <f>CONCATENATE(Table1[[#This Row],[City]],Table1[[#This Row],[State]])</f>
        <v>MumbaiMaharashtra</v>
      </c>
      <c r="AV334" t="s">
        <v>129</v>
      </c>
      <c r="AW334" t="s">
        <v>275</v>
      </c>
      <c r="AX334" t="str">
        <f>REPLACE(Table1[[#This Row],[Product_ID]],1,1,"s")</f>
        <v>s101</v>
      </c>
      <c r="AY334" t="s">
        <v>1474</v>
      </c>
      <c r="AZ334">
        <f>SEARCH("-",Table1[[#This Row],[Product ID]])</f>
        <v>2</v>
      </c>
      <c r="BA334">
        <f>FIND("-",Table1[[#This Row],[Product ID]])</f>
        <v>2</v>
      </c>
      <c r="BB334" t="str">
        <f>MID(Table1[[#This Row],[Product_ID]],2,3)</f>
        <v>101</v>
      </c>
      <c r="BC334" t="str">
        <f>RIGHT(Table1[[#This Row],[Product_ID]],3)</f>
        <v>101</v>
      </c>
      <c r="BD334" t="str">
        <f>LEFT(Table1[[#This Row],[Product_ID]],3)</f>
        <v>P10</v>
      </c>
      <c r="BE334" t="str">
        <f>_xlfn.XLOOKUP(Table1[[#This Row],[Product_ID]],AW:AW,BF:BF,,0)</f>
        <v>Wireless Mouse</v>
      </c>
      <c r="BF334" t="s">
        <v>277</v>
      </c>
      <c r="BG334">
        <f>LEN(Table1[[#This Row],[Product_Name]])</f>
        <v>14</v>
      </c>
      <c r="BH334" t="s">
        <v>154</v>
      </c>
      <c r="BI334">
        <f t="shared" si="42"/>
        <v>75</v>
      </c>
      <c r="BJ334" t="str">
        <f>SUBSTITUTE(Table1[[#This Row],[Category]],"Electronics","ELECTRONICS")</f>
        <v>ELECTRONICS</v>
      </c>
      <c r="BN334" t="s">
        <v>155</v>
      </c>
      <c r="BS334" s="14">
        <v>2</v>
      </c>
      <c r="BT334" s="3">
        <v>799</v>
      </c>
      <c r="BU334" s="4">
        <v>25</v>
      </c>
      <c r="BV334" s="4" t="str">
        <f>IF(AND(Table1[[#This Row],[Quantity]]&gt;=3,Table1[[#This Row],[Discount_%]]&gt;=15%),"Bulk Discount","no")</f>
        <v>no</v>
      </c>
      <c r="BW334" s="4" t="str">
        <f>IF(AND(Table1[[#This Row],[Quantity]]&gt;3,Table1[[#This Row],[Discount_%]]&gt;15%),"Bulk Customer","Normal")</f>
        <v>Normal</v>
      </c>
      <c r="BX334" t="s">
        <v>187</v>
      </c>
      <c r="BY334" t="s">
        <v>193</v>
      </c>
      <c r="CC334" t="str">
        <f>IF(OR(Table1[[#This Row],[Order_Status]]="Returned",Table1[[#This Row],[Order_Status]]="Cancelled"),"Attention Required","Not")</f>
        <v>Not</v>
      </c>
      <c r="CD334" t="str">
        <f>IF(OR(Table1[[#This Row],[Order_Status]]="Returned",Table1[[#This Row],[Order_Status]]="Cancelled"),"Review","no")</f>
        <v>no</v>
      </c>
      <c r="CE334" t="str">
        <f>SUBSTITUTE(Table1[[#This Row],[Order_Status]],"Delivered","Completed")</f>
        <v>Shipped</v>
      </c>
      <c r="CF334" s="2">
        <v>45919</v>
      </c>
      <c r="CG334" s="17">
        <f>NETWORKDAYS(Table1[[#This Row],[Order_Date]],Table1[[#This Row],[Delivery_Date]])</f>
        <v>5</v>
      </c>
      <c r="CH334" s="17">
        <f>Table1[[#This Row],[Delivery_Date]]-Table1[[#This Row],[Order_Date]]</f>
        <v>4</v>
      </c>
      <c r="CI334" t="s">
        <v>137</v>
      </c>
      <c r="CJ334" t="str">
        <f>IF(Table1[[#This Row],[Rating]]&gt;=4,"Good","Needs Improvement")</f>
        <v>Good</v>
      </c>
      <c r="CK334" t="str">
        <f>IF(OR(Table1[[#This Row],[Rating]]&lt;=2,Table1[[#This Row],[Profit]]&lt;0),"Review","NO")</f>
        <v>NO</v>
      </c>
      <c r="CL334" t="str" cm="1">
        <f t="array" ref="CL334">_xlfn.IFS(Table1[[#This Row],[Rating]]&gt;2,"Poor",Table1[[#This Row],[Rating]]=3,"Average",Table1[[#This Row],[Rating]]=4,"Good",CP334=5,"Excellent")</f>
        <v>Poor</v>
      </c>
      <c r="CM334">
        <f>COUNT(Table1[[#This Row],[Rating]])</f>
        <v>1</v>
      </c>
      <c r="CN334">
        <f>COUNTBLANK(Table1[[#This Row],[Rating]])</f>
        <v>0</v>
      </c>
      <c r="CQ334" s="14">
        <v>5</v>
      </c>
      <c r="CR334" t="s">
        <v>139</v>
      </c>
      <c r="CS334" t="s">
        <v>195</v>
      </c>
      <c r="CU334" s="3">
        <v>1198.5</v>
      </c>
      <c r="CV334" s="3">
        <f>ROUND(Table1[[#This Row],[Sales_Amount]],0)</f>
        <v>1199</v>
      </c>
      <c r="CW334" s="3"/>
      <c r="CX334" s="3"/>
      <c r="CY334" s="3" t="b">
        <f>IF(AND(Table1[[#This Row],[Sales_Amount]]&gt;=10000,Table1[[#This Row],[Profit]]&gt;0),"Good Order")</f>
        <v>0</v>
      </c>
      <c r="CZ334" s="3" t="str">
        <f>IF(Table1[[#This Row],[Sales_Amount]]&gt;=10000,"High","Normal")</f>
        <v>Normal</v>
      </c>
      <c r="DA334" s="3">
        <v>358.5</v>
      </c>
      <c r="DB334" s="3">
        <f>ROUND(Table1[[#This Row],[Profit]],0)</f>
        <v>359</v>
      </c>
      <c r="DC334" s="3">
        <f>ABS(Table1[[#This Row],[Profit]])</f>
        <v>358.5</v>
      </c>
      <c r="DD334" s="3"/>
      <c r="DE334" s="3"/>
      <c r="DF334" s="3"/>
      <c r="DG334" s="3" t="str">
        <f>IF(Table1[[#This Row],[Profit]]&gt;0,"Profit","Loss")</f>
        <v>Profit</v>
      </c>
      <c r="DH334" s="3" t="str">
        <f>IF(AND(Table1[[#This Row],[Sales_Amount]]&gt;=10000,Table1[[#This Row],[Profit]]&gt;0),"Priority","Normal")</f>
        <v>Normal</v>
      </c>
      <c r="DI334" s="3">
        <f t="shared" ca="1" si="37"/>
        <v>6.6438641380515473E-2</v>
      </c>
      <c r="DJ334" s="3">
        <f t="shared" ca="1" si="38"/>
        <v>73</v>
      </c>
      <c r="DK334" s="3"/>
      <c r="DL334" s="3"/>
      <c r="DM334" s="3"/>
      <c r="DN334" s="3"/>
      <c r="DO334" s="3"/>
      <c r="DP334" s="3"/>
    </row>
    <row r="335" spans="1:120">
      <c r="A335" t="s">
        <v>1475</v>
      </c>
      <c r="B335" t="str">
        <f>REPLACE(Table1[[#This Row],[Order_ID]],1,3,"YOO")</f>
        <v>YOO10334</v>
      </c>
      <c r="C335" t="str">
        <f>MID(Table1[[#This Row],[Order_ID]],4,4)</f>
        <v>1033</v>
      </c>
      <c r="D335" t="str">
        <f>LEFT(Table1[[#This Row],[Order_ID]],4)</f>
        <v>ORD1</v>
      </c>
      <c r="E335" t="str">
        <f>RIGHT(Table1[[#This Row],[Order_ID]],5)</f>
        <v>10334</v>
      </c>
      <c r="F335" t="s">
        <v>5</v>
      </c>
      <c r="G335">
        <v>10334</v>
      </c>
      <c r="H335" t="s">
        <v>1476</v>
      </c>
      <c r="I335" s="2">
        <f>EDATE(Table1[[#This Row],[Order_Date]],3)</f>
        <v>45826</v>
      </c>
      <c r="J335" s="2">
        <f>EDATE(Table1[[#This Row],[Order_Date]],6)</f>
        <v>45918</v>
      </c>
      <c r="K335">
        <f ca="1">YEAR(Table1[[#This Row],[Today]])</f>
        <v>2026</v>
      </c>
      <c r="L335">
        <v>334</v>
      </c>
      <c r="M335">
        <f ca="1">DAY(Table1[[#This Row],[Today]])</f>
        <v>11</v>
      </c>
      <c r="N335" s="19">
        <f t="shared" ca="1" si="41"/>
        <v>46245.589795138891</v>
      </c>
      <c r="O335" s="2">
        <f t="shared" ca="1" si="36"/>
        <v>46245</v>
      </c>
      <c r="P335" s="17">
        <f ca="1">Table1[[#This Row],[Today]]-Table1[[#This Row],[Order_Date]]</f>
        <v>511</v>
      </c>
      <c r="Q335" s="2">
        <v>45991</v>
      </c>
      <c r="R335" s="2">
        <v>45734</v>
      </c>
      <c r="S335" s="6">
        <f t="shared" si="39"/>
        <v>2025</v>
      </c>
      <c r="T335" s="7" t="str">
        <f t="shared" si="40"/>
        <v>March</v>
      </c>
      <c r="U335" s="2">
        <f>WORKDAY(Table1[[#This Row],[Order_Date]],5)</f>
        <v>45741</v>
      </c>
      <c r="V335" s="7" t="str">
        <f>CONCATENATE(Table1[[#This Row],[Customer_ID]],Table1[[#This Row],[Customer_Name]])</f>
        <v>C1011Isha Kapoor</v>
      </c>
      <c r="W335" t="s">
        <v>491</v>
      </c>
      <c r="X335" t="s">
        <v>411</v>
      </c>
      <c r="Y335">
        <f>COUNTA(Table1[[#This Row],[Customer_Name]])</f>
        <v>1</v>
      </c>
      <c r="Z335" t="str">
        <f>SUBSTITUTE(Table1[[#This Row],[Customer_Name]]," ","_")</f>
        <v>Isha_Kapoor</v>
      </c>
      <c r="AA335" s="10">
        <f>IFERROR(SEARCH("a",Table1[[#This Row],[Customer_Name]]),"N/A")</f>
        <v>4</v>
      </c>
      <c r="AB335">
        <f>SEARCH(" ",Table1[[#This Row],[Customer_Name]])</f>
        <v>5</v>
      </c>
      <c r="AC335" s="11">
        <f>IFERROR(FIND("a",Table1[[#This Row],[Customer_Name]]),"N/A")</f>
        <v>4</v>
      </c>
      <c r="AD335">
        <f>FIND(" ",Table1[[#This Row],[Customer_Name]])</f>
        <v>5</v>
      </c>
      <c r="AE335" t="str">
        <f>TRIM(Table1[[#This Row],[Customer_Name]])</f>
        <v>Isha Kapoor</v>
      </c>
      <c r="AF335">
        <f>LEN(Table1[[#This Row],[Trimmed]])</f>
        <v>11</v>
      </c>
      <c r="AG335">
        <f>MAX(Table1[Length])</f>
        <v>15</v>
      </c>
      <c r="AH335" t="str">
        <f>PROPER(Table1[[#This Row],[Customer_Name]])</f>
        <v>Isha Kapoor</v>
      </c>
      <c r="AI335" t="str">
        <f>LOWER(Table1[[#This Row],[Customer_Name]])</f>
        <v>isha kapoor</v>
      </c>
      <c r="AJ335" t="str">
        <f>UPPER(Table1[[#This Row],[Customer_Name]])</f>
        <v>ISHA KAPOOR</v>
      </c>
      <c r="AK335" t="str">
        <f>CONCATENATE(Table1[[#This Row],[Customer_ID]],Table1[[#This Row],[Customer_Name]])</f>
        <v>C1011Isha Kapoor</v>
      </c>
      <c r="AL335" t="s">
        <v>412</v>
      </c>
      <c r="AM335" t="s">
        <v>413</v>
      </c>
      <c r="AN335" t="s">
        <v>414</v>
      </c>
      <c r="AO335" t="s">
        <v>412</v>
      </c>
      <c r="AP335" t="s">
        <v>413</v>
      </c>
      <c r="AQ335" t="s">
        <v>569</v>
      </c>
      <c r="AR335" t="str">
        <f>TRIM(Table1[[#This Row],[City]])</f>
        <v>Delhi</v>
      </c>
      <c r="AS335" t="str">
        <f>PROPER(Table1[[#This Row],[City]])</f>
        <v>Delhi</v>
      </c>
      <c r="AT335" t="s">
        <v>569</v>
      </c>
      <c r="AU335" t="str">
        <f>CONCATENATE(Table1[[#This Row],[City]],Table1[[#This Row],[State]])</f>
        <v>DelhiDelhi</v>
      </c>
      <c r="AV335" t="s">
        <v>150</v>
      </c>
      <c r="AW335" t="s">
        <v>370</v>
      </c>
      <c r="AX335" t="str">
        <f>REPLACE(Table1[[#This Row],[Product_ID]],1,1,"s")</f>
        <v>s108</v>
      </c>
      <c r="AY335" t="s">
        <v>1477</v>
      </c>
      <c r="AZ335">
        <f>SEARCH("-",Table1[[#This Row],[Product ID]])</f>
        <v>2</v>
      </c>
      <c r="BA335">
        <f>FIND("-",Table1[[#This Row],[Product ID]])</f>
        <v>2</v>
      </c>
      <c r="BB335" t="str">
        <f>MID(Table1[[#This Row],[Product_ID]],2,3)</f>
        <v>108</v>
      </c>
      <c r="BC335" t="str">
        <f>RIGHT(Table1[[#This Row],[Product_ID]],3)</f>
        <v>108</v>
      </c>
      <c r="BD335" t="str">
        <f>LEFT(Table1[[#This Row],[Product_ID]],3)</f>
        <v>P10</v>
      </c>
      <c r="BE335" t="str">
        <f>_xlfn.XLOOKUP(Table1[[#This Row],[Product_ID]],AW:AW,BF:BF,,0)</f>
        <v>Hoodie</v>
      </c>
      <c r="BF335" t="s">
        <v>372</v>
      </c>
      <c r="BG335">
        <f>LEN(Table1[[#This Row],[Product_Name]])</f>
        <v>6</v>
      </c>
      <c r="BH335" t="s">
        <v>224</v>
      </c>
      <c r="BI335">
        <f t="shared" si="42"/>
        <v>75</v>
      </c>
      <c r="BJ335" t="str">
        <f>SUBSTITUTE(Table1[[#This Row],[Category]],"Electronics","ELECTRONICS")</f>
        <v>Fashion</v>
      </c>
      <c r="BN335" t="s">
        <v>373</v>
      </c>
      <c r="BS335" s="14">
        <v>2</v>
      </c>
      <c r="BT335" s="3">
        <v>1999</v>
      </c>
      <c r="BU335" s="4">
        <v>5</v>
      </c>
      <c r="BV335" s="4" t="str">
        <f>IF(AND(Table1[[#This Row],[Quantity]]&gt;=3,Table1[[#This Row],[Discount_%]]&gt;=15%),"Bulk Discount","no")</f>
        <v>no</v>
      </c>
      <c r="BW335" s="4" t="str">
        <f>IF(AND(Table1[[#This Row],[Quantity]]&gt;3,Table1[[#This Row],[Discount_%]]&gt;15%),"Bulk Customer","Normal")</f>
        <v>Normal</v>
      </c>
      <c r="BX335" t="s">
        <v>192</v>
      </c>
      <c r="BY335" t="s">
        <v>374</v>
      </c>
      <c r="CC335" t="str">
        <f>IF(OR(Table1[[#This Row],[Order_Status]]="Returned",Table1[[#This Row],[Order_Status]]="Cancelled"),"Attention Required","Not")</f>
        <v>Attention Required</v>
      </c>
      <c r="CD335" t="str">
        <f>IF(OR(Table1[[#This Row],[Order_Status]]="Returned",Table1[[#This Row],[Order_Status]]="Cancelled"),"Review","no")</f>
        <v>Review</v>
      </c>
      <c r="CE335" t="str">
        <f>SUBSTITUTE(Table1[[#This Row],[Order_Status]],"Delivered","Completed")</f>
        <v>Returned</v>
      </c>
      <c r="CF335" s="2">
        <v>45736</v>
      </c>
      <c r="CG335" s="17">
        <f>NETWORKDAYS(Table1[[#This Row],[Order_Date]],Table1[[#This Row],[Delivery_Date]])</f>
        <v>3</v>
      </c>
      <c r="CH335" s="17">
        <f>Table1[[#This Row],[Delivery_Date]]-Table1[[#This Row],[Order_Date]]</f>
        <v>2</v>
      </c>
      <c r="CI335" t="s">
        <v>375</v>
      </c>
      <c r="CJ335" t="str">
        <f>IF(Table1[[#This Row],[Rating]]&gt;=4,"Good","Needs Improvement")</f>
        <v>Good</v>
      </c>
      <c r="CK335" t="str">
        <f>IF(OR(Table1[[#This Row],[Rating]]&lt;=2,Table1[[#This Row],[Profit]]&lt;0),"Review","NO")</f>
        <v>NO</v>
      </c>
      <c r="CL335" t="str" cm="1">
        <f t="array" ref="CL335">_xlfn.IFS(Table1[[#This Row],[Rating]]&gt;2,"Poor",Table1[[#This Row],[Rating]]=3,"Average",Table1[[#This Row],[Rating]]=4,"Good",CP335=5,"Excellent")</f>
        <v>Poor</v>
      </c>
      <c r="CM335">
        <f>COUNT(Table1[[#This Row],[Rating]])</f>
        <v>1</v>
      </c>
      <c r="CN335">
        <f>COUNTBLANK(Table1[[#This Row],[Rating]])</f>
        <v>0</v>
      </c>
      <c r="CP335" t="s">
        <v>266</v>
      </c>
      <c r="CQ335" s="14">
        <v>5</v>
      </c>
      <c r="CR335" t="s">
        <v>173</v>
      </c>
      <c r="CS335" t="s">
        <v>158</v>
      </c>
      <c r="CU335" s="3">
        <v>3798.1</v>
      </c>
      <c r="CV335" s="3">
        <f>ROUND(Table1[[#This Row],[Sales_Amount]],0)</f>
        <v>3798</v>
      </c>
      <c r="CW335" s="3"/>
      <c r="CX335" s="3"/>
      <c r="CY335" s="3" t="b">
        <f>IF(AND(Table1[[#This Row],[Sales_Amount]]&gt;=10000,Table1[[#This Row],[Profit]]&gt;0),"Good Order")</f>
        <v>0</v>
      </c>
      <c r="CZ335" s="3" t="str">
        <f>IF(Table1[[#This Row],[Sales_Amount]]&gt;=10000,"High","Normal")</f>
        <v>Normal</v>
      </c>
      <c r="DA335" s="3">
        <v>1698.1</v>
      </c>
      <c r="DB335" s="3">
        <f>ROUND(Table1[[#This Row],[Profit]],0)</f>
        <v>1698</v>
      </c>
      <c r="DC335" s="3">
        <f>ABS(Table1[[#This Row],[Profit]])</f>
        <v>1698.1</v>
      </c>
      <c r="DD335" s="3"/>
      <c r="DE335" s="3"/>
      <c r="DF335" s="3"/>
      <c r="DG335" s="3" t="str">
        <f>IF(Table1[[#This Row],[Profit]]&gt;0,"Profit","Loss")</f>
        <v>Profit</v>
      </c>
      <c r="DH335" s="3" t="str">
        <f>IF(AND(Table1[[#This Row],[Sales_Amount]]&gt;=10000,Table1[[#This Row],[Profit]]&gt;0),"Priority","Normal")</f>
        <v>Normal</v>
      </c>
      <c r="DI335" s="3">
        <f t="shared" ca="1" si="37"/>
        <v>4.0062914680931705E-3</v>
      </c>
      <c r="DJ335" s="3">
        <f t="shared" ca="1" si="38"/>
        <v>100</v>
      </c>
      <c r="DK335" s="3"/>
      <c r="DL335" s="3"/>
      <c r="DM335" s="3"/>
      <c r="DN335" s="3"/>
      <c r="DO335" s="3"/>
      <c r="DP335" s="3"/>
    </row>
    <row r="336" spans="1:120">
      <c r="A336" t="s">
        <v>1478</v>
      </c>
      <c r="B336" t="str">
        <f>REPLACE(Table1[[#This Row],[Order_ID]],1,3,"YOO")</f>
        <v>YOO10335</v>
      </c>
      <c r="C336" t="str">
        <f>MID(Table1[[#This Row],[Order_ID]],4,4)</f>
        <v>1033</v>
      </c>
      <c r="D336" t="str">
        <f>LEFT(Table1[[#This Row],[Order_ID]],4)</f>
        <v>ORD1</v>
      </c>
      <c r="E336" t="str">
        <f>RIGHT(Table1[[#This Row],[Order_ID]],5)</f>
        <v>10335</v>
      </c>
      <c r="F336" t="s">
        <v>5</v>
      </c>
      <c r="G336">
        <v>10335</v>
      </c>
      <c r="H336" t="s">
        <v>1479</v>
      </c>
      <c r="I336" s="2">
        <f>EDATE(Table1[[#This Row],[Order_Date]],3)</f>
        <v>46010</v>
      </c>
      <c r="J336" s="2">
        <f>EDATE(Table1[[#This Row],[Order_Date]],6)</f>
        <v>46100</v>
      </c>
      <c r="K336">
        <f ca="1">YEAR(Table1[[#This Row],[Today]])</f>
        <v>2026</v>
      </c>
      <c r="L336">
        <v>335</v>
      </c>
      <c r="M336">
        <f ca="1">DAY(Table1[[#This Row],[Today]])</f>
        <v>11</v>
      </c>
      <c r="N336" s="19">
        <f t="shared" ca="1" si="41"/>
        <v>46245.589795370368</v>
      </c>
      <c r="O336" s="2">
        <f t="shared" ca="1" si="36"/>
        <v>46245</v>
      </c>
      <c r="P336" s="17">
        <f ca="1">Table1[[#This Row],[Today]]-Table1[[#This Row],[Order_Date]]</f>
        <v>326</v>
      </c>
      <c r="Q336" s="2">
        <v>45992</v>
      </c>
      <c r="R336" s="2">
        <v>45919</v>
      </c>
      <c r="S336" s="6">
        <f t="shared" si="39"/>
        <v>2025</v>
      </c>
      <c r="T336" s="7" t="str">
        <f t="shared" si="40"/>
        <v>September</v>
      </c>
      <c r="U336" s="2">
        <f>WORKDAY(Table1[[#This Row],[Order_Date]],5)</f>
        <v>45926</v>
      </c>
      <c r="V336" s="7" t="str">
        <f>CONCATENATE(Table1[[#This Row],[Customer_ID]],Table1[[#This Row],[Customer_Name]])</f>
        <v>C1040Arjun Rao</v>
      </c>
      <c r="W336" t="s">
        <v>1480</v>
      </c>
      <c r="X336" t="s">
        <v>355</v>
      </c>
      <c r="Y336">
        <f>COUNTA(Table1[[#This Row],[Customer_Name]])</f>
        <v>1</v>
      </c>
      <c r="Z336" t="str">
        <f>SUBSTITUTE(Table1[[#This Row],[Customer_Name]]," ","_")</f>
        <v>Arjun_Rao</v>
      </c>
      <c r="AA336" s="10">
        <f>IFERROR(SEARCH("a",Table1[[#This Row],[Customer_Name]]),"N/A")</f>
        <v>1</v>
      </c>
      <c r="AB336">
        <f>SEARCH(" ",Table1[[#This Row],[Customer_Name]])</f>
        <v>6</v>
      </c>
      <c r="AC336" s="11">
        <f>IFERROR(FIND("a",Table1[[#This Row],[Customer_Name]]),"N/A")</f>
        <v>8</v>
      </c>
      <c r="AD336">
        <f>FIND(" ",Table1[[#This Row],[Customer_Name]])</f>
        <v>6</v>
      </c>
      <c r="AE336" t="str">
        <f>TRIM(Table1[[#This Row],[Customer_Name]])</f>
        <v>Arjun Rao</v>
      </c>
      <c r="AF336">
        <f>LEN(Table1[[#This Row],[Trimmed]])</f>
        <v>9</v>
      </c>
      <c r="AG336">
        <f>MAX(Table1[Length])</f>
        <v>15</v>
      </c>
      <c r="AH336" t="str">
        <f>PROPER(Table1[[#This Row],[Customer_Name]])</f>
        <v>Arjun Rao</v>
      </c>
      <c r="AI336" t="str">
        <f>LOWER(Table1[[#This Row],[Customer_Name]])</f>
        <v>arjun rao</v>
      </c>
      <c r="AJ336" t="str">
        <f>UPPER(Table1[[#This Row],[Customer_Name]])</f>
        <v>ARJUN RAO</v>
      </c>
      <c r="AK336" t="str">
        <f>CONCATENATE(Table1[[#This Row],[Customer_ID]],Table1[[#This Row],[Customer_Name]])</f>
        <v>C1040Arjun Rao</v>
      </c>
      <c r="AL336" t="s">
        <v>356</v>
      </c>
      <c r="AM336" t="s">
        <v>357</v>
      </c>
      <c r="AN336" t="s">
        <v>358</v>
      </c>
      <c r="AO336" t="s">
        <v>356</v>
      </c>
      <c r="AP336" t="s">
        <v>357</v>
      </c>
      <c r="AQ336" t="s">
        <v>1302</v>
      </c>
      <c r="AR336" t="str">
        <f>TRIM(Table1[[#This Row],[City]])</f>
        <v>Kolkata</v>
      </c>
      <c r="AS336" t="str">
        <f>PROPER(Table1[[#This Row],[City]])</f>
        <v xml:space="preserve"> Kolkata </v>
      </c>
      <c r="AT336" t="s">
        <v>234</v>
      </c>
      <c r="AU336" t="str">
        <f>CONCATENATE(Table1[[#This Row],[City]],Table1[[#This Row],[State]])</f>
        <v xml:space="preserve"> Kolkata West Bengal</v>
      </c>
      <c r="AV336" t="s">
        <v>235</v>
      </c>
      <c r="AW336" t="s">
        <v>319</v>
      </c>
      <c r="AX336" t="str">
        <f>REPLACE(Table1[[#This Row],[Product_ID]],1,1,"s")</f>
        <v>s103</v>
      </c>
      <c r="AY336" t="s">
        <v>1481</v>
      </c>
      <c r="AZ336">
        <f>SEARCH("-",Table1[[#This Row],[Product ID]])</f>
        <v>2</v>
      </c>
      <c r="BA336">
        <f>FIND("-",Table1[[#This Row],[Product ID]])</f>
        <v>2</v>
      </c>
      <c r="BB336" t="str">
        <f>MID(Table1[[#This Row],[Product_ID]],2,3)</f>
        <v>103</v>
      </c>
      <c r="BC336" t="str">
        <f>RIGHT(Table1[[#This Row],[Product_ID]],3)</f>
        <v>103</v>
      </c>
      <c r="BD336" t="str">
        <f>LEFT(Table1[[#This Row],[Product_ID]],3)</f>
        <v>P10</v>
      </c>
      <c r="BE336" t="str">
        <f>_xlfn.XLOOKUP(Table1[[#This Row],[Product_ID]],AW:AW,BF:BF,,0)</f>
        <v>Laptop Stand</v>
      </c>
      <c r="BF336" t="s">
        <v>321</v>
      </c>
      <c r="BG336">
        <f>LEN(Table1[[#This Row],[Product_Name]])</f>
        <v>12</v>
      </c>
      <c r="BH336" t="s">
        <v>154</v>
      </c>
      <c r="BI336">
        <f t="shared" si="42"/>
        <v>75</v>
      </c>
      <c r="BJ336" t="str">
        <f>SUBSTITUTE(Table1[[#This Row],[Category]],"Electronics","ELECTRONICS")</f>
        <v>ELECTRONICS</v>
      </c>
      <c r="BN336" t="s">
        <v>155</v>
      </c>
      <c r="BS336" s="14">
        <v>1</v>
      </c>
      <c r="BT336" s="3">
        <v>1599</v>
      </c>
      <c r="BU336" s="4">
        <v>15</v>
      </c>
      <c r="BV336" s="4" t="str">
        <f>IF(AND(Table1[[#This Row],[Quantity]]&gt;=3,Table1[[#This Row],[Discount_%]]&gt;=15%),"Bulk Discount","no")</f>
        <v>no</v>
      </c>
      <c r="BW336" s="4" t="str">
        <f>IF(AND(Table1[[#This Row],[Quantity]]&gt;3,Table1[[#This Row],[Discount_%]]&gt;15%),"Bulk Customer","Normal")</f>
        <v>Normal</v>
      </c>
      <c r="BX336" t="s">
        <v>135</v>
      </c>
      <c r="BY336" t="s">
        <v>136</v>
      </c>
      <c r="CC336" t="str">
        <f>IF(OR(Table1[[#This Row],[Order_Status]]="Returned",Table1[[#This Row],[Order_Status]]="Cancelled"),"Attention Required","Not")</f>
        <v>Not</v>
      </c>
      <c r="CD336" t="str">
        <f>IF(OR(Table1[[#This Row],[Order_Status]]="Returned",Table1[[#This Row],[Order_Status]]="Cancelled"),"Review","no")</f>
        <v>no</v>
      </c>
      <c r="CE336" t="str">
        <f>SUBSTITUTE(Table1[[#This Row],[Order_Status]],"Delivered","Completed")</f>
        <v>Completed</v>
      </c>
      <c r="CF336" s="2">
        <v>45922</v>
      </c>
      <c r="CG336" s="17">
        <f>NETWORKDAYS(Table1[[#This Row],[Order_Date]],Table1[[#This Row],[Delivery_Date]])</f>
        <v>2</v>
      </c>
      <c r="CH336" s="17">
        <f>Table1[[#This Row],[Delivery_Date]]-Table1[[#This Row],[Order_Date]]</f>
        <v>3</v>
      </c>
      <c r="CI336" t="s">
        <v>137</v>
      </c>
      <c r="CJ336" t="str">
        <f>IF(Table1[[#This Row],[Rating]]&gt;=4,"Good","Needs Improvement")</f>
        <v>Needs Improvement</v>
      </c>
      <c r="CK336" t="str">
        <f>IF(OR(Table1[[#This Row],[Rating]]&lt;=2,Table1[[#This Row],[Profit]]&lt;0),"Review","NO")</f>
        <v>Review</v>
      </c>
      <c r="CL336" t="e" cm="1">
        <f t="array" ref="CL336">_xlfn.IFS(Table1[[#This Row],[Rating]]&gt;2,"Poor",Table1[[#This Row],[Rating]]=3,"Average",Table1[[#This Row],[Rating]]=4,"Good",CP336=5,"Excellent")</f>
        <v>#N/A</v>
      </c>
      <c r="CM336">
        <f>COUNT(Table1[[#This Row],[Rating]])</f>
        <v>1</v>
      </c>
      <c r="CN336">
        <f>COUNTBLANK(Table1[[#This Row],[Rating]])</f>
        <v>0</v>
      </c>
      <c r="CP336" t="s">
        <v>331</v>
      </c>
      <c r="CQ336" s="14">
        <v>1</v>
      </c>
      <c r="CR336" t="s">
        <v>204</v>
      </c>
      <c r="CS336" t="s">
        <v>174</v>
      </c>
      <c r="CU336" s="3">
        <v>1359.15</v>
      </c>
      <c r="CV336" s="3">
        <f>ROUND(Table1[[#This Row],[Sales_Amount]],0)</f>
        <v>1359</v>
      </c>
      <c r="CW336" s="3"/>
      <c r="CX336" s="3"/>
      <c r="CY336" s="3" t="b">
        <f>IF(AND(Table1[[#This Row],[Sales_Amount]]&gt;=10000,Table1[[#This Row],[Profit]]&gt;0),"Good Order")</f>
        <v>0</v>
      </c>
      <c r="CZ336" s="3" t="str">
        <f>IF(Table1[[#This Row],[Sales_Amount]]&gt;=10000,"High","Normal")</f>
        <v>Normal</v>
      </c>
      <c r="DA336" s="3">
        <v>459.15</v>
      </c>
      <c r="DB336" s="3">
        <f>ROUND(Table1[[#This Row],[Profit]],0)</f>
        <v>459</v>
      </c>
      <c r="DC336" s="3">
        <f>ABS(Table1[[#This Row],[Profit]])</f>
        <v>459.15</v>
      </c>
      <c r="DD336" s="3"/>
      <c r="DE336" s="3"/>
      <c r="DF336" s="3"/>
      <c r="DG336" s="3" t="str">
        <f>IF(Table1[[#This Row],[Profit]]&gt;0,"Profit","Loss")</f>
        <v>Profit</v>
      </c>
      <c r="DH336" s="3" t="str">
        <f>IF(AND(Table1[[#This Row],[Sales_Amount]]&gt;=10000,Table1[[#This Row],[Profit]]&gt;0),"Priority","Normal")</f>
        <v>Normal</v>
      </c>
      <c r="DI336" s="3">
        <f t="shared" ca="1" si="37"/>
        <v>0.94218520095136093</v>
      </c>
      <c r="DJ336" s="3">
        <f t="shared" ca="1" si="38"/>
        <v>33</v>
      </c>
      <c r="DK336" s="3"/>
      <c r="DL336" s="3"/>
      <c r="DM336" s="3"/>
      <c r="DN336" s="3"/>
      <c r="DO336" s="3"/>
      <c r="DP336" s="3"/>
    </row>
    <row r="337" spans="1:120">
      <c r="A337" t="s">
        <v>1482</v>
      </c>
      <c r="B337" t="str">
        <f>REPLACE(Table1[[#This Row],[Order_ID]],1,3,"YOO")</f>
        <v>YOO10336</v>
      </c>
      <c r="C337" t="str">
        <f>MID(Table1[[#This Row],[Order_ID]],4,4)</f>
        <v>1033</v>
      </c>
      <c r="D337" t="str">
        <f>LEFT(Table1[[#This Row],[Order_ID]],4)</f>
        <v>ORD1</v>
      </c>
      <c r="E337" t="str">
        <f>RIGHT(Table1[[#This Row],[Order_ID]],5)</f>
        <v>10336</v>
      </c>
      <c r="F337" t="s">
        <v>5</v>
      </c>
      <c r="G337">
        <v>10336</v>
      </c>
      <c r="H337" t="s">
        <v>1483</v>
      </c>
      <c r="I337" s="2">
        <f>EDATE(Table1[[#This Row],[Order_Date]],3)</f>
        <v>46058</v>
      </c>
      <c r="J337" s="2">
        <f>EDATE(Table1[[#This Row],[Order_Date]],6)</f>
        <v>46147</v>
      </c>
      <c r="K337">
        <f ca="1">YEAR(Table1[[#This Row],[Today]])</f>
        <v>2026</v>
      </c>
      <c r="L337">
        <v>336</v>
      </c>
      <c r="M337">
        <f ca="1">DAY(Table1[[#This Row],[Today]])</f>
        <v>11</v>
      </c>
      <c r="N337" s="19">
        <f t="shared" ca="1" si="41"/>
        <v>46245.589795370368</v>
      </c>
      <c r="O337" s="2">
        <f t="shared" ca="1" si="36"/>
        <v>46245</v>
      </c>
      <c r="P337" s="17">
        <f ca="1">Table1[[#This Row],[Today]]-Table1[[#This Row],[Order_Date]]</f>
        <v>279</v>
      </c>
      <c r="Q337" s="2">
        <v>45993</v>
      </c>
      <c r="R337" s="2">
        <v>45966</v>
      </c>
      <c r="S337" s="6">
        <f t="shared" si="39"/>
        <v>2025</v>
      </c>
      <c r="T337" s="7" t="str">
        <f t="shared" si="40"/>
        <v>November</v>
      </c>
      <c r="U337" s="2">
        <f>WORKDAY(Table1[[#This Row],[Order_Date]],5)</f>
        <v>45973</v>
      </c>
      <c r="V337" s="7" t="str">
        <f>CONCATENATE(Table1[[#This Row],[Customer_ID]],Table1[[#This Row],[Customer_Name]])</f>
        <v>C1048Aditya Malhotra</v>
      </c>
      <c r="W337" t="s">
        <v>919</v>
      </c>
      <c r="X337" t="s">
        <v>257</v>
      </c>
      <c r="Y337">
        <f>COUNTA(Table1[[#This Row],[Customer_Name]])</f>
        <v>1</v>
      </c>
      <c r="Z337" t="str">
        <f>SUBSTITUTE(Table1[[#This Row],[Customer_Name]]," ","_")</f>
        <v>Aditya_Malhotra</v>
      </c>
      <c r="AA337" s="10">
        <f>IFERROR(SEARCH("a",Table1[[#This Row],[Customer_Name]]),"N/A")</f>
        <v>1</v>
      </c>
      <c r="AB337">
        <f>SEARCH(" ",Table1[[#This Row],[Customer_Name]])</f>
        <v>7</v>
      </c>
      <c r="AC337" s="11">
        <f>IFERROR(FIND("a",Table1[[#This Row],[Customer_Name]]),"N/A")</f>
        <v>6</v>
      </c>
      <c r="AD337">
        <f>FIND(" ",Table1[[#This Row],[Customer_Name]])</f>
        <v>7</v>
      </c>
      <c r="AE337" t="str">
        <f>TRIM(Table1[[#This Row],[Customer_Name]])</f>
        <v>Aditya Malhotra</v>
      </c>
      <c r="AF337">
        <f>LEN(Table1[[#This Row],[Trimmed]])</f>
        <v>15</v>
      </c>
      <c r="AG337">
        <f>MAX(Table1[Length])</f>
        <v>15</v>
      </c>
      <c r="AH337" t="str">
        <f>PROPER(Table1[[#This Row],[Customer_Name]])</f>
        <v>Aditya Malhotra</v>
      </c>
      <c r="AI337" t="str">
        <f>LOWER(Table1[[#This Row],[Customer_Name]])</f>
        <v>aditya malhotra</v>
      </c>
      <c r="AJ337" t="str">
        <f>UPPER(Table1[[#This Row],[Customer_Name]])</f>
        <v>ADITYA MALHOTRA</v>
      </c>
      <c r="AK337" t="str">
        <f>CONCATENATE(Table1[[#This Row],[Customer_ID]],Table1[[#This Row],[Customer_Name]])</f>
        <v>C1048Aditya Malhotra</v>
      </c>
      <c r="AL337" t="s">
        <v>258</v>
      </c>
      <c r="AM337" t="s">
        <v>259</v>
      </c>
      <c r="AN337" t="s">
        <v>260</v>
      </c>
      <c r="AO337" t="s">
        <v>258</v>
      </c>
      <c r="AP337" t="s">
        <v>259</v>
      </c>
      <c r="AQ337" t="s">
        <v>199</v>
      </c>
      <c r="AR337" t="str">
        <f>TRIM(Table1[[#This Row],[City]])</f>
        <v>Lucknow</v>
      </c>
      <c r="AS337" t="str">
        <f>PROPER(Table1[[#This Row],[City]])</f>
        <v>Lucknow</v>
      </c>
      <c r="AT337" t="s">
        <v>200</v>
      </c>
      <c r="AU337" t="str">
        <f>CONCATENATE(Table1[[#This Row],[City]],Table1[[#This Row],[State]])</f>
        <v>LucknowUttar Pradesh</v>
      </c>
      <c r="AV337" t="s">
        <v>150</v>
      </c>
      <c r="AW337" t="s">
        <v>261</v>
      </c>
      <c r="AX337" t="str">
        <f>REPLACE(Table1[[#This Row],[Product_ID]],1,1,"s")</f>
        <v>s114</v>
      </c>
      <c r="AY337" t="s">
        <v>1484</v>
      </c>
      <c r="AZ337">
        <f>SEARCH("-",Table1[[#This Row],[Product ID]])</f>
        <v>2</v>
      </c>
      <c r="BA337">
        <f>FIND("-",Table1[[#This Row],[Product ID]])</f>
        <v>2</v>
      </c>
      <c r="BB337" t="str">
        <f>MID(Table1[[#This Row],[Product_ID]],2,3)</f>
        <v>114</v>
      </c>
      <c r="BC337" t="str">
        <f>RIGHT(Table1[[#This Row],[Product_ID]],3)</f>
        <v>114</v>
      </c>
      <c r="BD337" t="str">
        <f>LEFT(Table1[[#This Row],[Product_ID]],3)</f>
        <v>P11</v>
      </c>
      <c r="BE337" t="str">
        <f>_xlfn.XLOOKUP(Table1[[#This Row],[Product_ID]],AW:AW,BF:BF,,0)</f>
        <v>Yoga Mat</v>
      </c>
      <c r="BF337" t="s">
        <v>263</v>
      </c>
      <c r="BG337">
        <f>LEN(Table1[[#This Row],[Product_Name]])</f>
        <v>8</v>
      </c>
      <c r="BH337" t="s">
        <v>264</v>
      </c>
      <c r="BI337">
        <f t="shared" si="42"/>
        <v>75</v>
      </c>
      <c r="BJ337" t="str">
        <f>SUBSTITUTE(Table1[[#This Row],[Category]],"Electronics","ELECTRONICS")</f>
        <v>Sports</v>
      </c>
      <c r="BN337" t="s">
        <v>265</v>
      </c>
      <c r="BS337" s="14">
        <v>4</v>
      </c>
      <c r="BT337" s="3">
        <v>999</v>
      </c>
      <c r="BU337" s="4">
        <v>15</v>
      </c>
      <c r="BV337" s="4" t="str">
        <f>IF(AND(Table1[[#This Row],[Quantity]]&gt;=3,Table1[[#This Row],[Discount_%]]&gt;=15%),"Bulk Discount","no")</f>
        <v>Bulk Discount</v>
      </c>
      <c r="BW337" s="4" t="str">
        <f>IF(AND(Table1[[#This Row],[Quantity]]&gt;3,Table1[[#This Row],[Discount_%]]&gt;15%),"Bulk Customer","Normal")</f>
        <v>Bulk Customer</v>
      </c>
      <c r="BX337" t="s">
        <v>172</v>
      </c>
      <c r="BY337" t="s">
        <v>136</v>
      </c>
      <c r="CC337" t="str">
        <f>IF(OR(Table1[[#This Row],[Order_Status]]="Returned",Table1[[#This Row],[Order_Status]]="Cancelled"),"Attention Required","Not")</f>
        <v>Not</v>
      </c>
      <c r="CD337" t="str">
        <f>IF(OR(Table1[[#This Row],[Order_Status]]="Returned",Table1[[#This Row],[Order_Status]]="Cancelled"),"Review","no")</f>
        <v>no</v>
      </c>
      <c r="CE337" t="str">
        <f>SUBSTITUTE(Table1[[#This Row],[Order_Status]],"Delivered","Completed")</f>
        <v>Completed</v>
      </c>
      <c r="CF337" s="2">
        <v>45972</v>
      </c>
      <c r="CG337" s="17">
        <f>NETWORKDAYS(Table1[[#This Row],[Order_Date]],Table1[[#This Row],[Delivery_Date]])</f>
        <v>5</v>
      </c>
      <c r="CH337" s="17">
        <f>Table1[[#This Row],[Delivery_Date]]-Table1[[#This Row],[Order_Date]]</f>
        <v>6</v>
      </c>
      <c r="CI337" t="s">
        <v>137</v>
      </c>
      <c r="CJ337" t="str">
        <f>IF(Table1[[#This Row],[Rating]]&gt;=4,"Good","Needs Improvement")</f>
        <v>Good</v>
      </c>
      <c r="CK337" t="str">
        <f>IF(OR(Table1[[#This Row],[Rating]]&lt;=2,Table1[[#This Row],[Profit]]&lt;0),"Review","NO")</f>
        <v>NO</v>
      </c>
      <c r="CL337" t="str" cm="1">
        <f t="array" ref="CL337">_xlfn.IFS(Table1[[#This Row],[Rating]]&gt;2,"Poor",Table1[[#This Row],[Rating]]=3,"Average",Table1[[#This Row],[Rating]]=4,"Good",CP337=5,"Excellent")</f>
        <v>Poor</v>
      </c>
      <c r="CM337">
        <f>COUNT(Table1[[#This Row],[Rating]])</f>
        <v>1</v>
      </c>
      <c r="CN337">
        <f>COUNTBLANK(Table1[[#This Row],[Rating]])</f>
        <v>0</v>
      </c>
      <c r="CP337" t="s">
        <v>266</v>
      </c>
      <c r="CQ337" s="14">
        <v>4</v>
      </c>
      <c r="CR337" t="s">
        <v>139</v>
      </c>
      <c r="CS337" t="s">
        <v>267</v>
      </c>
      <c r="CU337" s="3">
        <v>3396.6</v>
      </c>
      <c r="CV337" s="3">
        <f>ROUND(Table1[[#This Row],[Sales_Amount]],0)</f>
        <v>3397</v>
      </c>
      <c r="CW337" s="3"/>
      <c r="CX337" s="3"/>
      <c r="CY337" s="3" t="b">
        <f>IF(AND(Table1[[#This Row],[Sales_Amount]]&gt;=10000,Table1[[#This Row],[Profit]]&gt;0),"Good Order")</f>
        <v>0</v>
      </c>
      <c r="CZ337" s="3" t="str">
        <f>IF(Table1[[#This Row],[Sales_Amount]]&gt;=10000,"High","Normal")</f>
        <v>Normal</v>
      </c>
      <c r="DA337" s="3">
        <v>1596.6</v>
      </c>
      <c r="DB337" s="3">
        <f>ROUND(Table1[[#This Row],[Profit]],0)</f>
        <v>1597</v>
      </c>
      <c r="DC337" s="3">
        <f>ABS(Table1[[#This Row],[Profit]])</f>
        <v>1596.6</v>
      </c>
      <c r="DD337" s="3"/>
      <c r="DE337" s="3"/>
      <c r="DF337" s="3"/>
      <c r="DG337" s="3" t="str">
        <f>IF(Table1[[#This Row],[Profit]]&gt;0,"Profit","Loss")</f>
        <v>Profit</v>
      </c>
      <c r="DH337" s="3" t="str">
        <f>IF(AND(Table1[[#This Row],[Sales_Amount]]&gt;=10000,Table1[[#This Row],[Profit]]&gt;0),"Priority","Normal")</f>
        <v>Normal</v>
      </c>
      <c r="DI337" s="3">
        <f t="shared" ca="1" si="37"/>
        <v>0.73950978102025888</v>
      </c>
      <c r="DJ337" s="3">
        <f t="shared" ca="1" si="38"/>
        <v>76</v>
      </c>
      <c r="DK337" s="3"/>
      <c r="DL337" s="3"/>
      <c r="DM337" s="3"/>
      <c r="DN337" s="3"/>
      <c r="DO337" s="3"/>
      <c r="DP337" s="3"/>
    </row>
    <row r="338" spans="1:120">
      <c r="A338" t="s">
        <v>1485</v>
      </c>
      <c r="B338" t="str">
        <f>REPLACE(Table1[[#This Row],[Order_ID]],1,3,"YOO")</f>
        <v>YOO10337</v>
      </c>
      <c r="C338" t="str">
        <f>MID(Table1[[#This Row],[Order_ID]],4,4)</f>
        <v>1033</v>
      </c>
      <c r="D338" t="str">
        <f>LEFT(Table1[[#This Row],[Order_ID]],4)</f>
        <v>ORD1</v>
      </c>
      <c r="E338" t="str">
        <f>RIGHT(Table1[[#This Row],[Order_ID]],5)</f>
        <v>10337</v>
      </c>
      <c r="F338" t="s">
        <v>5</v>
      </c>
      <c r="G338">
        <v>10337</v>
      </c>
      <c r="H338" t="s">
        <v>1486</v>
      </c>
      <c r="I338" s="2">
        <f>EDATE(Table1[[#This Row],[Order_Date]],3)</f>
        <v>46160</v>
      </c>
      <c r="J338" s="2">
        <f>EDATE(Table1[[#This Row],[Order_Date]],6)</f>
        <v>46252</v>
      </c>
      <c r="K338">
        <f ca="1">YEAR(Table1[[#This Row],[Today]])</f>
        <v>2026</v>
      </c>
      <c r="L338">
        <v>337</v>
      </c>
      <c r="M338">
        <f ca="1">DAY(Table1[[#This Row],[Today]])</f>
        <v>11</v>
      </c>
      <c r="N338" s="19">
        <f t="shared" ca="1" si="41"/>
        <v>46245.589795138891</v>
      </c>
      <c r="O338" s="2">
        <f t="shared" ca="1" si="36"/>
        <v>46245</v>
      </c>
      <c r="P338" s="17">
        <f ca="1">Table1[[#This Row],[Today]]-Table1[[#This Row],[Order_Date]]</f>
        <v>174</v>
      </c>
      <c r="Q338" s="2">
        <v>45994</v>
      </c>
      <c r="R338" s="2">
        <v>46071</v>
      </c>
      <c r="S338" s="6">
        <f t="shared" si="39"/>
        <v>2026</v>
      </c>
      <c r="T338" s="7" t="str">
        <f t="shared" si="40"/>
        <v>February</v>
      </c>
      <c r="U338" s="2">
        <f>WORKDAY(Table1[[#This Row],[Order_Date]],5)</f>
        <v>46078</v>
      </c>
      <c r="V338" s="7" t="str">
        <f>CONCATENATE(Table1[[#This Row],[Customer_ID]],Table1[[#This Row],[Customer_Name]])</f>
        <v>C1085Sneha Mishra</v>
      </c>
      <c r="W338" t="s">
        <v>1487</v>
      </c>
      <c r="X338" t="s">
        <v>496</v>
      </c>
      <c r="Y338">
        <f>COUNTA(Table1[[#This Row],[Customer_Name]])</f>
        <v>1</v>
      </c>
      <c r="Z338" t="str">
        <f>SUBSTITUTE(Table1[[#This Row],[Customer_Name]]," ","_")</f>
        <v>Sneha_Mishra</v>
      </c>
      <c r="AA338" s="10">
        <f>IFERROR(SEARCH("a",Table1[[#This Row],[Customer_Name]]),"N/A")</f>
        <v>5</v>
      </c>
      <c r="AB338">
        <f>SEARCH(" ",Table1[[#This Row],[Customer_Name]])</f>
        <v>6</v>
      </c>
      <c r="AC338" s="11">
        <f>IFERROR(FIND("a",Table1[[#This Row],[Customer_Name]]),"N/A")</f>
        <v>5</v>
      </c>
      <c r="AD338">
        <f>FIND(" ",Table1[[#This Row],[Customer_Name]])</f>
        <v>6</v>
      </c>
      <c r="AE338" t="str">
        <f>TRIM(Table1[[#This Row],[Customer_Name]])</f>
        <v>Sneha Mishra</v>
      </c>
      <c r="AF338">
        <f>LEN(Table1[[#This Row],[Trimmed]])</f>
        <v>12</v>
      </c>
      <c r="AG338">
        <f>MAX(Table1[Length])</f>
        <v>15</v>
      </c>
      <c r="AH338" t="str">
        <f>PROPER(Table1[[#This Row],[Customer_Name]])</f>
        <v>Sneha Mishra</v>
      </c>
      <c r="AI338" t="str">
        <f>LOWER(Table1[[#This Row],[Customer_Name]])</f>
        <v>sneha mishra</v>
      </c>
      <c r="AJ338" t="str">
        <f>UPPER(Table1[[#This Row],[Customer_Name]])</f>
        <v>SNEHA MISHRA</v>
      </c>
      <c r="AK338" t="str">
        <f>CONCATENATE(Table1[[#This Row],[Customer_ID]],Table1[[#This Row],[Customer_Name]])</f>
        <v>C1085Sneha Mishra</v>
      </c>
      <c r="AL338" t="s">
        <v>195</v>
      </c>
      <c r="AM338" t="s">
        <v>497</v>
      </c>
      <c r="AN338" t="s">
        <v>498</v>
      </c>
      <c r="AO338" t="s">
        <v>195</v>
      </c>
      <c r="AP338" t="s">
        <v>497</v>
      </c>
      <c r="AQ338" t="s">
        <v>304</v>
      </c>
      <c r="AR338" t="str">
        <f>TRIM(Table1[[#This Row],[City]])</f>
        <v>Chennai</v>
      </c>
      <c r="AS338" t="str">
        <f>PROPER(Table1[[#This Row],[City]])</f>
        <v>Chennai</v>
      </c>
      <c r="AT338" t="s">
        <v>305</v>
      </c>
      <c r="AU338" t="str">
        <f>CONCATENATE(Table1[[#This Row],[City]],Table1[[#This Row],[State]])</f>
        <v>ChennaiTamil Nadu</v>
      </c>
      <c r="AV338" t="s">
        <v>168</v>
      </c>
      <c r="AW338" t="s">
        <v>477</v>
      </c>
      <c r="AX338" t="str">
        <f>REPLACE(Table1[[#This Row],[Product_ID]],1,1,"s")</f>
        <v>s109</v>
      </c>
      <c r="AY338" t="s">
        <v>1488</v>
      </c>
      <c r="AZ338">
        <f>SEARCH("-",Table1[[#This Row],[Product ID]])</f>
        <v>2</v>
      </c>
      <c r="BA338">
        <f>FIND("-",Table1[[#This Row],[Product ID]])</f>
        <v>2</v>
      </c>
      <c r="BB338" t="str">
        <f>MID(Table1[[#This Row],[Product_ID]],2,3)</f>
        <v>109</v>
      </c>
      <c r="BC338" t="str">
        <f>RIGHT(Table1[[#This Row],[Product_ID]],3)</f>
        <v>109</v>
      </c>
      <c r="BD338" t="str">
        <f>LEFT(Table1[[#This Row],[Product_ID]],3)</f>
        <v>P10</v>
      </c>
      <c r="BE338" t="str">
        <f>_xlfn.XLOOKUP(Table1[[#This Row],[Product_ID]],AW:AW,BF:BF,,0)</f>
        <v>Backpack</v>
      </c>
      <c r="BF338" t="s">
        <v>479</v>
      </c>
      <c r="BG338">
        <f>LEN(Table1[[#This Row],[Product_Name]])</f>
        <v>8</v>
      </c>
      <c r="BH338" t="s">
        <v>224</v>
      </c>
      <c r="BI338">
        <f t="shared" si="42"/>
        <v>75</v>
      </c>
      <c r="BJ338" t="str">
        <f>SUBSTITUTE(Table1[[#This Row],[Category]],"Electronics","ELECTRONICS")</f>
        <v>Fashion</v>
      </c>
      <c r="BN338" t="s">
        <v>480</v>
      </c>
      <c r="BS338" s="14">
        <v>1</v>
      </c>
      <c r="BT338" s="3">
        <v>2299</v>
      </c>
      <c r="BU338" s="4">
        <v>15</v>
      </c>
      <c r="BV338" s="4" t="str">
        <f>IF(AND(Table1[[#This Row],[Quantity]]&gt;=3,Table1[[#This Row],[Discount_%]]&gt;=15%),"Bulk Discount","no")</f>
        <v>no</v>
      </c>
      <c r="BW338" s="4" t="str">
        <f>IF(AND(Table1[[#This Row],[Quantity]]&gt;3,Table1[[#This Row],[Discount_%]]&gt;15%),"Bulk Customer","Normal")</f>
        <v>Normal</v>
      </c>
      <c r="BX338" t="s">
        <v>192</v>
      </c>
      <c r="BY338" t="s">
        <v>136</v>
      </c>
      <c r="CC338" t="str">
        <f>IF(OR(Table1[[#This Row],[Order_Status]]="Returned",Table1[[#This Row],[Order_Status]]="Cancelled"),"Attention Required","Not")</f>
        <v>Not</v>
      </c>
      <c r="CD338" t="str">
        <f>IF(OR(Table1[[#This Row],[Order_Status]]="Returned",Table1[[#This Row],[Order_Status]]="Cancelled"),"Review","no")</f>
        <v>no</v>
      </c>
      <c r="CE338" t="str">
        <f>SUBSTITUTE(Table1[[#This Row],[Order_Status]],"Delivered","Completed")</f>
        <v>Completed</v>
      </c>
      <c r="CF338" s="2">
        <v>46075</v>
      </c>
      <c r="CG338" s="17">
        <f>NETWORKDAYS(Table1[[#This Row],[Order_Date]],Table1[[#This Row],[Delivery_Date]])</f>
        <v>3</v>
      </c>
      <c r="CH338" s="17">
        <f>Table1[[#This Row],[Delivery_Date]]-Table1[[#This Row],[Order_Date]]</f>
        <v>4</v>
      </c>
      <c r="CI338" t="s">
        <v>137</v>
      </c>
      <c r="CJ338" t="str">
        <f>IF(Table1[[#This Row],[Rating]]&gt;=4,"Good","Needs Improvement")</f>
        <v>Good</v>
      </c>
      <c r="CK338" t="str">
        <f>IF(OR(Table1[[#This Row],[Rating]]&lt;=2,Table1[[#This Row],[Profit]]&lt;0),"Review","NO")</f>
        <v>NO</v>
      </c>
      <c r="CL338" t="str" cm="1">
        <f t="array" ref="CL338">_xlfn.IFS(Table1[[#This Row],[Rating]]&gt;2,"Poor",Table1[[#This Row],[Rating]]=3,"Average",Table1[[#This Row],[Rating]]=4,"Good",CP338=5,"Excellent")</f>
        <v>Poor</v>
      </c>
      <c r="CM338">
        <f>COUNT(Table1[[#This Row],[Rating]])</f>
        <v>1</v>
      </c>
      <c r="CN338">
        <f>COUNTBLANK(Table1[[#This Row],[Rating]])</f>
        <v>0</v>
      </c>
      <c r="CP338" t="s">
        <v>194</v>
      </c>
      <c r="CQ338" s="14">
        <v>5</v>
      </c>
      <c r="CR338" t="s">
        <v>204</v>
      </c>
      <c r="CS338" t="s">
        <v>174</v>
      </c>
      <c r="CU338" s="3">
        <v>1954.15</v>
      </c>
      <c r="CV338" s="3">
        <f>ROUND(Table1[[#This Row],[Sales_Amount]],0)</f>
        <v>1954</v>
      </c>
      <c r="CW338" s="3"/>
      <c r="CX338" s="3"/>
      <c r="CY338" s="3" t="b">
        <f>IF(AND(Table1[[#This Row],[Sales_Amount]]&gt;=10000,Table1[[#This Row],[Profit]]&gt;0),"Good Order")</f>
        <v>0</v>
      </c>
      <c r="CZ338" s="3" t="str">
        <f>IF(Table1[[#This Row],[Sales_Amount]]&gt;=10000,"High","Normal")</f>
        <v>Normal</v>
      </c>
      <c r="DA338" s="3">
        <v>704.15</v>
      </c>
      <c r="DB338" s="3">
        <f>ROUND(Table1[[#This Row],[Profit]],0)</f>
        <v>704</v>
      </c>
      <c r="DC338" s="3">
        <f>ABS(Table1[[#This Row],[Profit]])</f>
        <v>704.15</v>
      </c>
      <c r="DD338" s="3"/>
      <c r="DE338" s="3"/>
      <c r="DF338" s="3"/>
      <c r="DG338" s="3" t="str">
        <f>IF(Table1[[#This Row],[Profit]]&gt;0,"Profit","Loss")</f>
        <v>Profit</v>
      </c>
      <c r="DH338" s="3" t="str">
        <f>IF(AND(Table1[[#This Row],[Sales_Amount]]&gt;=10000,Table1[[#This Row],[Profit]]&gt;0),"Priority","Normal")</f>
        <v>Normal</v>
      </c>
      <c r="DI338" s="3">
        <f t="shared" ca="1" si="37"/>
        <v>0.30966574658009727</v>
      </c>
      <c r="DJ338" s="3">
        <f t="shared" ca="1" si="38"/>
        <v>6</v>
      </c>
      <c r="DK338" s="3"/>
      <c r="DL338" s="3"/>
      <c r="DM338" s="3"/>
      <c r="DN338" s="3"/>
      <c r="DO338" s="3"/>
      <c r="DP338" s="3"/>
    </row>
    <row r="339" spans="1:120">
      <c r="A339" t="s">
        <v>1489</v>
      </c>
      <c r="B339" t="str">
        <f>REPLACE(Table1[[#This Row],[Order_ID]],1,3,"YOO")</f>
        <v>YOO10338</v>
      </c>
      <c r="C339" t="str">
        <f>MID(Table1[[#This Row],[Order_ID]],4,4)</f>
        <v>1033</v>
      </c>
      <c r="D339" t="str">
        <f>LEFT(Table1[[#This Row],[Order_ID]],4)</f>
        <v>ORD1</v>
      </c>
      <c r="E339" t="str">
        <f>RIGHT(Table1[[#This Row],[Order_ID]],5)</f>
        <v>10338</v>
      </c>
      <c r="F339" t="s">
        <v>5</v>
      </c>
      <c r="G339">
        <v>10338</v>
      </c>
      <c r="H339" t="s">
        <v>1490</v>
      </c>
      <c r="I339" s="2">
        <f>EDATE(Table1[[#This Row],[Order_Date]],3)</f>
        <v>45757</v>
      </c>
      <c r="J339" s="2">
        <f>EDATE(Table1[[#This Row],[Order_Date]],6)</f>
        <v>45848</v>
      </c>
      <c r="K339">
        <f ca="1">YEAR(Table1[[#This Row],[Today]])</f>
        <v>2026</v>
      </c>
      <c r="L339">
        <v>338</v>
      </c>
      <c r="M339">
        <f ca="1">DAY(Table1[[#This Row],[Today]])</f>
        <v>11</v>
      </c>
      <c r="N339" s="19">
        <f t="shared" ca="1" si="41"/>
        <v>46245.589795370368</v>
      </c>
      <c r="O339" s="2">
        <f t="shared" ca="1" si="36"/>
        <v>46245</v>
      </c>
      <c r="P339" s="17">
        <f ca="1">Table1[[#This Row],[Today]]-Table1[[#This Row],[Order_Date]]</f>
        <v>578</v>
      </c>
      <c r="Q339" s="2">
        <v>45995</v>
      </c>
      <c r="R339" s="2">
        <v>45667</v>
      </c>
      <c r="S339" s="6">
        <f t="shared" si="39"/>
        <v>2025</v>
      </c>
      <c r="T339" s="7" t="str">
        <f t="shared" si="40"/>
        <v>January</v>
      </c>
      <c r="U339" s="2">
        <f>WORKDAY(Table1[[#This Row],[Order_Date]],5)</f>
        <v>45674</v>
      </c>
      <c r="V339" s="7" t="str">
        <f>CONCATENATE(Table1[[#This Row],[Customer_ID]],Table1[[#This Row],[Customer_Name]])</f>
        <v>C1011Arjun Rao</v>
      </c>
      <c r="W339" t="s">
        <v>491</v>
      </c>
      <c r="X339" t="s">
        <v>355</v>
      </c>
      <c r="Y339">
        <f>COUNTA(Table1[[#This Row],[Customer_Name]])</f>
        <v>1</v>
      </c>
      <c r="Z339" t="str">
        <f>SUBSTITUTE(Table1[[#This Row],[Customer_Name]]," ","_")</f>
        <v>Arjun_Rao</v>
      </c>
      <c r="AA339" s="10">
        <f>IFERROR(SEARCH("a",Table1[[#This Row],[Customer_Name]]),"N/A")</f>
        <v>1</v>
      </c>
      <c r="AB339">
        <f>SEARCH(" ",Table1[[#This Row],[Customer_Name]])</f>
        <v>6</v>
      </c>
      <c r="AC339" s="11">
        <f>IFERROR(FIND("a",Table1[[#This Row],[Customer_Name]]),"N/A")</f>
        <v>8</v>
      </c>
      <c r="AD339">
        <f>FIND(" ",Table1[[#This Row],[Customer_Name]])</f>
        <v>6</v>
      </c>
      <c r="AE339" t="str">
        <f>TRIM(Table1[[#This Row],[Customer_Name]])</f>
        <v>Arjun Rao</v>
      </c>
      <c r="AF339">
        <f>LEN(Table1[[#This Row],[Trimmed]])</f>
        <v>9</v>
      </c>
      <c r="AG339">
        <f>MAX(Table1[Length])</f>
        <v>15</v>
      </c>
      <c r="AH339" t="str">
        <f>PROPER(Table1[[#This Row],[Customer_Name]])</f>
        <v>Arjun Rao</v>
      </c>
      <c r="AI339" t="str">
        <f>LOWER(Table1[[#This Row],[Customer_Name]])</f>
        <v>arjun rao</v>
      </c>
      <c r="AJ339" t="str">
        <f>UPPER(Table1[[#This Row],[Customer_Name]])</f>
        <v>ARJUN RAO</v>
      </c>
      <c r="AK339" t="str">
        <f>CONCATENATE(Table1[[#This Row],[Customer_ID]],Table1[[#This Row],[Customer_Name]])</f>
        <v>C1011Arjun Rao</v>
      </c>
      <c r="AL339" t="s">
        <v>356</v>
      </c>
      <c r="AM339" t="s">
        <v>357</v>
      </c>
      <c r="AN339" t="s">
        <v>358</v>
      </c>
      <c r="AO339" t="s">
        <v>356</v>
      </c>
      <c r="AP339" t="s">
        <v>357</v>
      </c>
      <c r="AQ339" t="s">
        <v>304</v>
      </c>
      <c r="AR339" t="str">
        <f>TRIM(Table1[[#This Row],[City]])</f>
        <v>Chennai</v>
      </c>
      <c r="AS339" t="str">
        <f>PROPER(Table1[[#This Row],[City]])</f>
        <v>Chennai</v>
      </c>
      <c r="AT339" t="s">
        <v>305</v>
      </c>
      <c r="AU339" t="str">
        <f>CONCATENATE(Table1[[#This Row],[City]],Table1[[#This Row],[State]])</f>
        <v>ChennaiTamil Nadu</v>
      </c>
      <c r="AV339" t="s">
        <v>168</v>
      </c>
      <c r="AW339" t="s">
        <v>370</v>
      </c>
      <c r="AX339" t="str">
        <f>REPLACE(Table1[[#This Row],[Product_ID]],1,1,"s")</f>
        <v>s108</v>
      </c>
      <c r="AY339" t="s">
        <v>1491</v>
      </c>
      <c r="AZ339">
        <f>SEARCH("-",Table1[[#This Row],[Product ID]])</f>
        <v>2</v>
      </c>
      <c r="BA339">
        <f>FIND("-",Table1[[#This Row],[Product ID]])</f>
        <v>2</v>
      </c>
      <c r="BB339" t="str">
        <f>MID(Table1[[#This Row],[Product_ID]],2,3)</f>
        <v>108</v>
      </c>
      <c r="BC339" t="str">
        <f>RIGHT(Table1[[#This Row],[Product_ID]],3)</f>
        <v>108</v>
      </c>
      <c r="BD339" t="str">
        <f>LEFT(Table1[[#This Row],[Product_ID]],3)</f>
        <v>P10</v>
      </c>
      <c r="BE339" t="str">
        <f>_xlfn.XLOOKUP(Table1[[#This Row],[Product_ID]],AW:AW,BF:BF,,0)</f>
        <v>Hoodie</v>
      </c>
      <c r="BF339" t="s">
        <v>372</v>
      </c>
      <c r="BG339">
        <f>LEN(Table1[[#This Row],[Product_Name]])</f>
        <v>6</v>
      </c>
      <c r="BH339" t="s">
        <v>224</v>
      </c>
      <c r="BI339">
        <f t="shared" si="42"/>
        <v>75</v>
      </c>
      <c r="BJ339" t="str">
        <f>SUBSTITUTE(Table1[[#This Row],[Category]],"Electronics","ELECTRONICS")</f>
        <v>Fashion</v>
      </c>
      <c r="BN339" t="s">
        <v>373</v>
      </c>
      <c r="BS339" s="14">
        <v>1</v>
      </c>
      <c r="BT339" s="3">
        <v>1999</v>
      </c>
      <c r="BU339" s="4">
        <v>15</v>
      </c>
      <c r="BV339" s="4" t="str">
        <f>IF(AND(Table1[[#This Row],[Quantity]]&gt;=3,Table1[[#This Row],[Discount_%]]&gt;=15%),"Bulk Discount","no")</f>
        <v>no</v>
      </c>
      <c r="BW339" s="4" t="str">
        <f>IF(AND(Table1[[#This Row],[Quantity]]&gt;3,Table1[[#This Row],[Discount_%]]&gt;15%),"Bulk Customer","Normal")</f>
        <v>Normal</v>
      </c>
      <c r="BX339" t="s">
        <v>330</v>
      </c>
      <c r="BY339" t="s">
        <v>136</v>
      </c>
      <c r="CC339" t="str">
        <f>IF(OR(Table1[[#This Row],[Order_Status]]="Returned",Table1[[#This Row],[Order_Status]]="Cancelled"),"Attention Required","Not")</f>
        <v>Not</v>
      </c>
      <c r="CD339" t="str">
        <f>IF(OR(Table1[[#This Row],[Order_Status]]="Returned",Table1[[#This Row],[Order_Status]]="Cancelled"),"Review","no")</f>
        <v>no</v>
      </c>
      <c r="CE339" t="str">
        <f>SUBSTITUTE(Table1[[#This Row],[Order_Status]],"Delivered","Completed")</f>
        <v>Completed</v>
      </c>
      <c r="CF339" s="2">
        <v>45671</v>
      </c>
      <c r="CG339" s="17">
        <f>NETWORKDAYS(Table1[[#This Row],[Order_Date]],Table1[[#This Row],[Delivery_Date]])</f>
        <v>3</v>
      </c>
      <c r="CH339" s="17">
        <f>Table1[[#This Row],[Delivery_Date]]-Table1[[#This Row],[Order_Date]]</f>
        <v>4</v>
      </c>
      <c r="CI339" t="s">
        <v>137</v>
      </c>
      <c r="CJ339" t="str">
        <f>IF(Table1[[#This Row],[Rating]]&gt;=4,"Good","Needs Improvement")</f>
        <v>Good</v>
      </c>
      <c r="CK339" t="str">
        <f>IF(OR(Table1[[#This Row],[Rating]]&lt;=2,Table1[[#This Row],[Profit]]&lt;0),"Review","NO")</f>
        <v>NO</v>
      </c>
      <c r="CL339" t="str" cm="1">
        <f t="array" ref="CL339">_xlfn.IFS(Table1[[#This Row],[Rating]]&gt;2,"Poor",Table1[[#This Row],[Rating]]=3,"Average",Table1[[#This Row],[Rating]]=4,"Good",CP339=5,"Excellent")</f>
        <v>Poor</v>
      </c>
      <c r="CM339">
        <f>COUNT(Table1[[#This Row],[Rating]])</f>
        <v>1</v>
      </c>
      <c r="CN339">
        <f>COUNTBLANK(Table1[[#This Row],[Rating]])</f>
        <v>0</v>
      </c>
      <c r="CP339" t="s">
        <v>331</v>
      </c>
      <c r="CQ339" s="14">
        <v>4</v>
      </c>
      <c r="CR339" t="s">
        <v>173</v>
      </c>
      <c r="CS339" t="s">
        <v>195</v>
      </c>
      <c r="CU339" s="3">
        <v>1699.15</v>
      </c>
      <c r="CV339" s="3">
        <f>ROUND(Table1[[#This Row],[Sales_Amount]],0)</f>
        <v>1699</v>
      </c>
      <c r="CW339" s="3"/>
      <c r="CX339" s="3"/>
      <c r="CY339" s="3" t="b">
        <f>IF(AND(Table1[[#This Row],[Sales_Amount]]&gt;=10000,Table1[[#This Row],[Profit]]&gt;0),"Good Order")</f>
        <v>0</v>
      </c>
      <c r="CZ339" s="3" t="str">
        <f>IF(Table1[[#This Row],[Sales_Amount]]&gt;=10000,"High","Normal")</f>
        <v>Normal</v>
      </c>
      <c r="DA339" s="3">
        <v>649.15</v>
      </c>
      <c r="DB339" s="3">
        <f>ROUND(Table1[[#This Row],[Profit]],0)</f>
        <v>649</v>
      </c>
      <c r="DC339" s="3">
        <f>ABS(Table1[[#This Row],[Profit]])</f>
        <v>649.15</v>
      </c>
      <c r="DD339" s="3"/>
      <c r="DE339" s="3"/>
      <c r="DF339" s="3"/>
      <c r="DG339" s="3" t="str">
        <f>IF(Table1[[#This Row],[Profit]]&gt;0,"Profit","Loss")</f>
        <v>Profit</v>
      </c>
      <c r="DH339" s="3" t="str">
        <f>IF(AND(Table1[[#This Row],[Sales_Amount]]&gt;=10000,Table1[[#This Row],[Profit]]&gt;0),"Priority","Normal")</f>
        <v>Normal</v>
      </c>
      <c r="DI339" s="3">
        <f t="shared" ca="1" si="37"/>
        <v>0.92770288086140096</v>
      </c>
      <c r="DJ339" s="3">
        <f t="shared" ca="1" si="38"/>
        <v>89</v>
      </c>
      <c r="DK339" s="3"/>
      <c r="DL339" s="3"/>
      <c r="DM339" s="3"/>
      <c r="DN339" s="3"/>
      <c r="DO339" s="3"/>
      <c r="DP339" s="3"/>
    </row>
    <row r="340" spans="1:120">
      <c r="A340" t="s">
        <v>1492</v>
      </c>
      <c r="B340" t="str">
        <f>REPLACE(Table1[[#This Row],[Order_ID]],1,3,"YOO")</f>
        <v>YOO10339</v>
      </c>
      <c r="C340" t="str">
        <f>MID(Table1[[#This Row],[Order_ID]],4,4)</f>
        <v>1033</v>
      </c>
      <c r="D340" t="str">
        <f>LEFT(Table1[[#This Row],[Order_ID]],4)</f>
        <v>ORD1</v>
      </c>
      <c r="E340" t="str">
        <f>RIGHT(Table1[[#This Row],[Order_ID]],5)</f>
        <v>10339</v>
      </c>
      <c r="F340" t="s">
        <v>5</v>
      </c>
      <c r="G340">
        <v>10339</v>
      </c>
      <c r="H340" t="s">
        <v>1493</v>
      </c>
      <c r="I340" s="2">
        <f>EDATE(Table1[[#This Row],[Order_Date]],3)</f>
        <v>46039</v>
      </c>
      <c r="J340" s="2">
        <f>EDATE(Table1[[#This Row],[Order_Date]],6)</f>
        <v>46129</v>
      </c>
      <c r="K340">
        <f ca="1">YEAR(Table1[[#This Row],[Today]])</f>
        <v>2026</v>
      </c>
      <c r="L340">
        <v>339</v>
      </c>
      <c r="M340">
        <f ca="1">DAY(Table1[[#This Row],[Today]])</f>
        <v>11</v>
      </c>
      <c r="N340" s="19">
        <f t="shared" ca="1" si="41"/>
        <v>46245.589795370368</v>
      </c>
      <c r="O340" s="2">
        <f t="shared" ca="1" si="36"/>
        <v>46245</v>
      </c>
      <c r="P340" s="17">
        <f ca="1">Table1[[#This Row],[Today]]-Table1[[#This Row],[Order_Date]]</f>
        <v>298</v>
      </c>
      <c r="Q340" s="2">
        <v>45996</v>
      </c>
      <c r="R340" s="2">
        <v>45947</v>
      </c>
      <c r="S340" s="6">
        <f t="shared" si="39"/>
        <v>2025</v>
      </c>
      <c r="T340" s="7" t="str">
        <f t="shared" si="40"/>
        <v>October</v>
      </c>
      <c r="U340" s="2">
        <f>WORKDAY(Table1[[#This Row],[Order_Date]],5)</f>
        <v>45954</v>
      </c>
      <c r="V340" s="7" t="str">
        <f>CONCATENATE(Table1[[#This Row],[Customer_ID]],Table1[[#This Row],[Customer_Name]])</f>
        <v>C1012Pooja Jain</v>
      </c>
      <c r="W340" t="s">
        <v>410</v>
      </c>
      <c r="X340" t="s">
        <v>419</v>
      </c>
      <c r="Y340">
        <f>COUNTA(Table1[[#This Row],[Customer_Name]])</f>
        <v>1</v>
      </c>
      <c r="Z340" t="str">
        <f>SUBSTITUTE(Table1[[#This Row],[Customer_Name]]," ","_")</f>
        <v>Pooja_Jain</v>
      </c>
      <c r="AA340" s="10">
        <f>IFERROR(SEARCH("a",Table1[[#This Row],[Customer_Name]]),"N/A")</f>
        <v>5</v>
      </c>
      <c r="AB340">
        <f>SEARCH(" ",Table1[[#This Row],[Customer_Name]])</f>
        <v>6</v>
      </c>
      <c r="AC340" s="11">
        <f>IFERROR(FIND("a",Table1[[#This Row],[Customer_Name]]),"N/A")</f>
        <v>5</v>
      </c>
      <c r="AD340">
        <f>FIND(" ",Table1[[#This Row],[Customer_Name]])</f>
        <v>6</v>
      </c>
      <c r="AE340" t="str">
        <f>TRIM(Table1[[#This Row],[Customer_Name]])</f>
        <v>Pooja Jain</v>
      </c>
      <c r="AF340">
        <f>LEN(Table1[[#This Row],[Trimmed]])</f>
        <v>10</v>
      </c>
      <c r="AG340">
        <f>MAX(Table1[Length])</f>
        <v>15</v>
      </c>
      <c r="AH340" t="str">
        <f>PROPER(Table1[[#This Row],[Customer_Name]])</f>
        <v>Pooja Jain</v>
      </c>
      <c r="AI340" t="str">
        <f>LOWER(Table1[[#This Row],[Customer_Name]])</f>
        <v>pooja jain</v>
      </c>
      <c r="AJ340" t="str">
        <f>UPPER(Table1[[#This Row],[Customer_Name]])</f>
        <v>POOJA JAIN</v>
      </c>
      <c r="AK340" t="str">
        <f>CONCATENATE(Table1[[#This Row],[Customer_ID]],Table1[[#This Row],[Customer_Name]])</f>
        <v>C1012Pooja Jain</v>
      </c>
      <c r="AL340" t="s">
        <v>420</v>
      </c>
      <c r="AM340" t="s">
        <v>421</v>
      </c>
      <c r="AN340" t="s">
        <v>422</v>
      </c>
      <c r="AO340" t="s">
        <v>420</v>
      </c>
      <c r="AP340" t="s">
        <v>421</v>
      </c>
      <c r="AQ340" t="s">
        <v>423</v>
      </c>
      <c r="AR340" t="str">
        <f>TRIM(Table1[[#This Row],[City]])</f>
        <v>Ahmedabad</v>
      </c>
      <c r="AS340" t="str">
        <f>PROPER(Table1[[#This Row],[City]])</f>
        <v>Ahmedabad</v>
      </c>
      <c r="AT340" t="s">
        <v>424</v>
      </c>
      <c r="AU340" t="str">
        <f>CONCATENATE(Table1[[#This Row],[City]],Table1[[#This Row],[State]])</f>
        <v>AhmedabadGujarat</v>
      </c>
      <c r="AV340" t="s">
        <v>129</v>
      </c>
      <c r="AW340" t="s">
        <v>477</v>
      </c>
      <c r="AX340" t="str">
        <f>REPLACE(Table1[[#This Row],[Product_ID]],1,1,"s")</f>
        <v>s109</v>
      </c>
      <c r="AY340" t="s">
        <v>1494</v>
      </c>
      <c r="AZ340">
        <f>SEARCH("-",Table1[[#This Row],[Product ID]])</f>
        <v>2</v>
      </c>
      <c r="BA340">
        <f>FIND("-",Table1[[#This Row],[Product ID]])</f>
        <v>2</v>
      </c>
      <c r="BB340" t="str">
        <f>MID(Table1[[#This Row],[Product_ID]],2,3)</f>
        <v>109</v>
      </c>
      <c r="BC340" t="str">
        <f>RIGHT(Table1[[#This Row],[Product_ID]],3)</f>
        <v>109</v>
      </c>
      <c r="BD340" t="str">
        <f>LEFT(Table1[[#This Row],[Product_ID]],3)</f>
        <v>P10</v>
      </c>
      <c r="BE340" t="str">
        <f>_xlfn.XLOOKUP(Table1[[#This Row],[Product_ID]],AW:AW,BF:BF,,0)</f>
        <v>Backpack</v>
      </c>
      <c r="BF340" t="s">
        <v>479</v>
      </c>
      <c r="BG340">
        <f>LEN(Table1[[#This Row],[Product_Name]])</f>
        <v>8</v>
      </c>
      <c r="BH340" t="s">
        <v>224</v>
      </c>
      <c r="BI340">
        <f t="shared" si="42"/>
        <v>75</v>
      </c>
      <c r="BJ340" t="str">
        <f>SUBSTITUTE(Table1[[#This Row],[Category]],"Electronics","ELECTRONICS")</f>
        <v>Fashion</v>
      </c>
      <c r="BN340" t="s">
        <v>480</v>
      </c>
      <c r="BS340" s="14">
        <v>1</v>
      </c>
      <c r="BT340" s="3">
        <v>2299</v>
      </c>
      <c r="BU340" s="4">
        <v>15</v>
      </c>
      <c r="BV340" s="4" t="str">
        <f>IF(AND(Table1[[#This Row],[Quantity]]&gt;=3,Table1[[#This Row],[Discount_%]]&gt;=15%),"Bulk Discount","no")</f>
        <v>no</v>
      </c>
      <c r="BW340" s="4" t="str">
        <f>IF(AND(Table1[[#This Row],[Quantity]]&gt;3,Table1[[#This Row],[Discount_%]]&gt;15%),"Bulk Customer","Normal")</f>
        <v>Normal</v>
      </c>
      <c r="BX340" t="s">
        <v>187</v>
      </c>
      <c r="BY340" t="s">
        <v>156</v>
      </c>
      <c r="CC340" t="str">
        <f>IF(OR(Table1[[#This Row],[Order_Status]]="Returned",Table1[[#This Row],[Order_Status]]="Cancelled"),"Attention Required","Not")</f>
        <v>Attention Required</v>
      </c>
      <c r="CD340" t="str">
        <f>IF(OR(Table1[[#This Row],[Order_Status]]="Returned",Table1[[#This Row],[Order_Status]]="Cancelled"),"Review","no")</f>
        <v>Review</v>
      </c>
      <c r="CE340" t="str">
        <f>SUBSTITUTE(Table1[[#This Row],[Order_Status]],"Delivered","Completed")</f>
        <v>Cancelled</v>
      </c>
      <c r="CF340" s="2">
        <v>45955</v>
      </c>
      <c r="CG340" s="17">
        <f>NETWORKDAYS(Table1[[#This Row],[Order_Date]],Table1[[#This Row],[Delivery_Date]])</f>
        <v>6</v>
      </c>
      <c r="CH340" s="17">
        <f>Table1[[#This Row],[Delivery_Date]]-Table1[[#This Row],[Order_Date]]</f>
        <v>8</v>
      </c>
      <c r="CI340" t="s">
        <v>137</v>
      </c>
      <c r="CJ340" t="str">
        <f>IF(Table1[[#This Row],[Rating]]&gt;=4,"Good","Needs Improvement")</f>
        <v>Needs Improvement</v>
      </c>
      <c r="CK340" t="str">
        <f>IF(OR(Table1[[#This Row],[Rating]]&lt;=2,Table1[[#This Row],[Profit]]&lt;0),"Review","NO")</f>
        <v>Review</v>
      </c>
      <c r="CL340" t="e" cm="1">
        <f t="array" ref="CL340">_xlfn.IFS(Table1[[#This Row],[Rating]]&gt;2,"Poor",Table1[[#This Row],[Rating]]=3,"Average",Table1[[#This Row],[Rating]]=4,"Good",CP340=5,"Excellent")</f>
        <v>#N/A</v>
      </c>
      <c r="CM340">
        <f>COUNT(Table1[[#This Row],[Rating]])</f>
        <v>0</v>
      </c>
      <c r="CN340">
        <f>COUNTBLANK(Table1[[#This Row],[Rating]])</f>
        <v>1</v>
      </c>
      <c r="CP340" t="s">
        <v>157</v>
      </c>
      <c r="CR340" t="s">
        <v>204</v>
      </c>
      <c r="CS340" t="s">
        <v>140</v>
      </c>
      <c r="CU340" s="3">
        <v>1954.15</v>
      </c>
      <c r="CV340" s="3">
        <f>ROUND(Table1[[#This Row],[Sales_Amount]],0)</f>
        <v>1954</v>
      </c>
      <c r="CW340" s="3"/>
      <c r="CX340" s="3"/>
      <c r="CY340" s="3" t="b">
        <f>IF(AND(Table1[[#This Row],[Sales_Amount]]&gt;=10000,Table1[[#This Row],[Profit]]&gt;0),"Good Order")</f>
        <v>0</v>
      </c>
      <c r="CZ340" s="3" t="str">
        <f>IF(Table1[[#This Row],[Sales_Amount]]&gt;=10000,"High","Normal")</f>
        <v>Normal</v>
      </c>
      <c r="DA340" s="3">
        <v>704.15</v>
      </c>
      <c r="DB340" s="3">
        <f>ROUND(Table1[[#This Row],[Profit]],0)</f>
        <v>704</v>
      </c>
      <c r="DC340" s="3">
        <f>ABS(Table1[[#This Row],[Profit]])</f>
        <v>704.15</v>
      </c>
      <c r="DD340" s="3"/>
      <c r="DE340" s="3"/>
      <c r="DF340" s="3"/>
      <c r="DG340" s="3" t="str">
        <f>IF(Table1[[#This Row],[Profit]]&gt;0,"Profit","Loss")</f>
        <v>Profit</v>
      </c>
      <c r="DH340" s="3" t="str">
        <f>IF(AND(Table1[[#This Row],[Sales_Amount]]&gt;=10000,Table1[[#This Row],[Profit]]&gt;0),"Priority","Normal")</f>
        <v>Normal</v>
      </c>
      <c r="DI340" s="3">
        <f t="shared" ca="1" si="37"/>
        <v>0.37892611826000699</v>
      </c>
      <c r="DJ340" s="3">
        <f t="shared" ca="1" si="38"/>
        <v>43</v>
      </c>
      <c r="DK340" s="3"/>
      <c r="DL340" s="3"/>
      <c r="DM340" s="3"/>
      <c r="DN340" s="3"/>
      <c r="DO340" s="3"/>
      <c r="DP340" s="3"/>
    </row>
    <row r="341" spans="1:120">
      <c r="A341" t="s">
        <v>1495</v>
      </c>
      <c r="B341" t="str">
        <f>REPLACE(Table1[[#This Row],[Order_ID]],1,3,"YOO")</f>
        <v>YOO10340</v>
      </c>
      <c r="C341" t="str">
        <f>MID(Table1[[#This Row],[Order_ID]],4,4)</f>
        <v>1034</v>
      </c>
      <c r="D341" t="str">
        <f>LEFT(Table1[[#This Row],[Order_ID]],4)</f>
        <v>ORD1</v>
      </c>
      <c r="E341" t="str">
        <f>RIGHT(Table1[[#This Row],[Order_ID]],5)</f>
        <v>10340</v>
      </c>
      <c r="F341" t="s">
        <v>5</v>
      </c>
      <c r="G341">
        <v>10340</v>
      </c>
      <c r="H341" t="s">
        <v>1496</v>
      </c>
      <c r="I341" s="2">
        <f>EDATE(Table1[[#This Row],[Order_Date]],3)</f>
        <v>46300</v>
      </c>
      <c r="J341" s="2">
        <f>EDATE(Table1[[#This Row],[Order_Date]],6)</f>
        <v>46392</v>
      </c>
      <c r="K341">
        <f ca="1">YEAR(Table1[[#This Row],[Today]])</f>
        <v>2026</v>
      </c>
      <c r="L341">
        <v>340</v>
      </c>
      <c r="M341">
        <f ca="1">DAY(Table1[[#This Row],[Today]])</f>
        <v>11</v>
      </c>
      <c r="N341" s="19">
        <f t="shared" ca="1" si="41"/>
        <v>46245.589795138891</v>
      </c>
      <c r="O341" s="2">
        <f t="shared" ca="1" si="36"/>
        <v>46245</v>
      </c>
      <c r="P341" s="17">
        <f ca="1">Table1[[#This Row],[Today]]-Table1[[#This Row],[Order_Date]]</f>
        <v>37</v>
      </c>
      <c r="Q341" s="2">
        <v>45997</v>
      </c>
      <c r="R341" s="2">
        <v>46208</v>
      </c>
      <c r="S341" s="6">
        <f t="shared" si="39"/>
        <v>2026</v>
      </c>
      <c r="T341" s="7" t="str">
        <f t="shared" si="40"/>
        <v>July</v>
      </c>
      <c r="U341" s="2">
        <f>WORKDAY(Table1[[#This Row],[Order_Date]],5)</f>
        <v>46213</v>
      </c>
      <c r="V341" s="7" t="str">
        <f>CONCATENATE(Table1[[#This Row],[Customer_ID]],Table1[[#This Row],[Customer_Name]])</f>
        <v>C1055Isha Kapoor</v>
      </c>
      <c r="W341" t="s">
        <v>468</v>
      </c>
      <c r="X341" t="s">
        <v>411</v>
      </c>
      <c r="Y341">
        <f>COUNTA(Table1[[#This Row],[Customer_Name]])</f>
        <v>1</v>
      </c>
      <c r="Z341" t="str">
        <f>SUBSTITUTE(Table1[[#This Row],[Customer_Name]]," ","_")</f>
        <v>Isha_Kapoor</v>
      </c>
      <c r="AA341" s="10">
        <f>IFERROR(SEARCH("a",Table1[[#This Row],[Customer_Name]]),"N/A")</f>
        <v>4</v>
      </c>
      <c r="AB341">
        <f>SEARCH(" ",Table1[[#This Row],[Customer_Name]])</f>
        <v>5</v>
      </c>
      <c r="AC341" s="11">
        <f>IFERROR(FIND("a",Table1[[#This Row],[Customer_Name]]),"N/A")</f>
        <v>4</v>
      </c>
      <c r="AD341">
        <f>FIND(" ",Table1[[#This Row],[Customer_Name]])</f>
        <v>5</v>
      </c>
      <c r="AE341" t="str">
        <f>TRIM(Table1[[#This Row],[Customer_Name]])</f>
        <v>Isha Kapoor</v>
      </c>
      <c r="AF341">
        <f>LEN(Table1[[#This Row],[Trimmed]])</f>
        <v>11</v>
      </c>
      <c r="AG341">
        <f>MAX(Table1[Length])</f>
        <v>15</v>
      </c>
      <c r="AH341" t="str">
        <f>PROPER(Table1[[#This Row],[Customer_Name]])</f>
        <v>Isha Kapoor</v>
      </c>
      <c r="AI341" t="str">
        <f>LOWER(Table1[[#This Row],[Customer_Name]])</f>
        <v>isha kapoor</v>
      </c>
      <c r="AJ341" t="str">
        <f>UPPER(Table1[[#This Row],[Customer_Name]])</f>
        <v>ISHA KAPOOR</v>
      </c>
      <c r="AK341" t="str">
        <f>CONCATENATE(Table1[[#This Row],[Customer_ID]],Table1[[#This Row],[Customer_Name]])</f>
        <v>C1055Isha Kapoor</v>
      </c>
      <c r="AL341" t="s">
        <v>412</v>
      </c>
      <c r="AM341" t="s">
        <v>413</v>
      </c>
      <c r="AN341" t="s">
        <v>414</v>
      </c>
      <c r="AO341" t="s">
        <v>412</v>
      </c>
      <c r="AP341" t="s">
        <v>413</v>
      </c>
      <c r="AQ341" t="s">
        <v>569</v>
      </c>
      <c r="AR341" t="str">
        <f>TRIM(Table1[[#This Row],[City]])</f>
        <v>Delhi</v>
      </c>
      <c r="AS341" t="str">
        <f>PROPER(Table1[[#This Row],[City]])</f>
        <v>Delhi</v>
      </c>
      <c r="AT341" t="s">
        <v>569</v>
      </c>
      <c r="AU341" t="str">
        <f>CONCATENATE(Table1[[#This Row],[City]],Table1[[#This Row],[State]])</f>
        <v>DelhiDelhi</v>
      </c>
      <c r="AV341" t="s">
        <v>150</v>
      </c>
      <c r="AW341" t="s">
        <v>151</v>
      </c>
      <c r="AX341" t="str">
        <f>REPLACE(Table1[[#This Row],[Product_ID]],1,1,"s")</f>
        <v>s102</v>
      </c>
      <c r="AY341" t="s">
        <v>1497</v>
      </c>
      <c r="AZ341">
        <f>SEARCH("-",Table1[[#This Row],[Product ID]])</f>
        <v>2</v>
      </c>
      <c r="BA341">
        <f>FIND("-",Table1[[#This Row],[Product ID]])</f>
        <v>2</v>
      </c>
      <c r="BB341" t="str">
        <f>MID(Table1[[#This Row],[Product_ID]],2,3)</f>
        <v>102</v>
      </c>
      <c r="BC341" t="str">
        <f>RIGHT(Table1[[#This Row],[Product_ID]],3)</f>
        <v>102</v>
      </c>
      <c r="BD341" t="str">
        <f>LEFT(Table1[[#This Row],[Product_ID]],3)</f>
        <v>P10</v>
      </c>
      <c r="BE341" t="str">
        <f>_xlfn.XLOOKUP(Table1[[#This Row],[Product_ID]],AW:AW,BF:BF,,0)</f>
        <v>Mechanical Keyboard</v>
      </c>
      <c r="BF341" t="s">
        <v>153</v>
      </c>
      <c r="BG341">
        <f>LEN(Table1[[#This Row],[Product_Name]])</f>
        <v>19</v>
      </c>
      <c r="BH341" t="s">
        <v>154</v>
      </c>
      <c r="BI341">
        <f t="shared" si="42"/>
        <v>75</v>
      </c>
      <c r="BJ341" t="str">
        <f>SUBSTITUTE(Table1[[#This Row],[Category]],"Electronics","ELECTRONICS")</f>
        <v>ELECTRONICS</v>
      </c>
      <c r="BN341" t="s">
        <v>155</v>
      </c>
      <c r="BS341" s="14">
        <v>5</v>
      </c>
      <c r="BT341" s="3">
        <v>2499</v>
      </c>
      <c r="BU341" s="4">
        <v>0</v>
      </c>
      <c r="BV341" s="4" t="str">
        <f>IF(AND(Table1[[#This Row],[Quantity]]&gt;=3,Table1[[#This Row],[Discount_%]]&gt;=15%),"Bulk Discount","no")</f>
        <v>no</v>
      </c>
      <c r="BW341" s="4" t="str">
        <f>IF(AND(Table1[[#This Row],[Quantity]]&gt;3,Table1[[#This Row],[Discount_%]]&gt;15%),"Bulk Customer","Normal")</f>
        <v>Normal</v>
      </c>
      <c r="BX341" t="s">
        <v>172</v>
      </c>
      <c r="BY341" t="s">
        <v>374</v>
      </c>
      <c r="CC341" t="str">
        <f>IF(OR(Table1[[#This Row],[Order_Status]]="Returned",Table1[[#This Row],[Order_Status]]="Cancelled"),"Attention Required","Not")</f>
        <v>Attention Required</v>
      </c>
      <c r="CD341" t="str">
        <f>IF(OR(Table1[[#This Row],[Order_Status]]="Returned",Table1[[#This Row],[Order_Status]]="Cancelled"),"Review","no")</f>
        <v>Review</v>
      </c>
      <c r="CE341" t="str">
        <f>SUBSTITUTE(Table1[[#This Row],[Order_Status]],"Delivered","Completed")</f>
        <v>Returned</v>
      </c>
      <c r="CF341" s="2">
        <v>46210</v>
      </c>
      <c r="CG341" s="17">
        <f>NETWORKDAYS(Table1[[#This Row],[Order_Date]],Table1[[#This Row],[Delivery_Date]])</f>
        <v>2</v>
      </c>
      <c r="CH341" s="17">
        <f>Table1[[#This Row],[Delivery_Date]]-Table1[[#This Row],[Order_Date]]</f>
        <v>2</v>
      </c>
      <c r="CI341" t="s">
        <v>375</v>
      </c>
      <c r="CJ341" t="str">
        <f>IF(Table1[[#This Row],[Rating]]&gt;=4,"Good","Needs Improvement")</f>
        <v>Good</v>
      </c>
      <c r="CK341" t="str">
        <f>IF(OR(Table1[[#This Row],[Rating]]&lt;=2,Table1[[#This Row],[Profit]]&lt;0),"Review","NO")</f>
        <v>NO</v>
      </c>
      <c r="CL341" t="str" cm="1">
        <f t="array" ref="CL341">_xlfn.IFS(Table1[[#This Row],[Rating]]&gt;2,"Poor",Table1[[#This Row],[Rating]]=3,"Average",Table1[[#This Row],[Rating]]=4,"Good",CP341=5,"Excellent")</f>
        <v>Poor</v>
      </c>
      <c r="CM341">
        <f>COUNT(Table1[[#This Row],[Rating]])</f>
        <v>1</v>
      </c>
      <c r="CN341">
        <f>COUNTBLANK(Table1[[#This Row],[Rating]])</f>
        <v>0</v>
      </c>
      <c r="CP341" t="s">
        <v>194</v>
      </c>
      <c r="CQ341" s="14">
        <v>4</v>
      </c>
      <c r="CR341" t="s">
        <v>204</v>
      </c>
      <c r="CS341" t="s">
        <v>213</v>
      </c>
      <c r="CU341" s="3">
        <v>12495</v>
      </c>
      <c r="CV341" s="3">
        <f>ROUND(Table1[[#This Row],[Sales_Amount]],0)</f>
        <v>12495</v>
      </c>
      <c r="CW341" s="3"/>
      <c r="CX341" s="3"/>
      <c r="CY341" s="3" t="str">
        <f>IF(AND(Table1[[#This Row],[Sales_Amount]]&gt;=10000,Table1[[#This Row],[Profit]]&gt;0),"Good Order")</f>
        <v>Good Order</v>
      </c>
      <c r="CZ341" s="3" t="str">
        <f>IF(Table1[[#This Row],[Sales_Amount]]&gt;=10000,"High","Normal")</f>
        <v>High</v>
      </c>
      <c r="DA341" s="3">
        <v>5245</v>
      </c>
      <c r="DB341" s="3">
        <f>ROUND(Table1[[#This Row],[Profit]],0)</f>
        <v>5245</v>
      </c>
      <c r="DC341" s="3">
        <f>ABS(Table1[[#This Row],[Profit]])</f>
        <v>5245</v>
      </c>
      <c r="DD341" s="3"/>
      <c r="DE341" s="3"/>
      <c r="DF341" s="3"/>
      <c r="DG341" s="3" t="str">
        <f>IF(Table1[[#This Row],[Profit]]&gt;0,"Profit","Loss")</f>
        <v>Profit</v>
      </c>
      <c r="DH341" s="3" t="str">
        <f>IF(AND(Table1[[#This Row],[Sales_Amount]]&gt;=10000,Table1[[#This Row],[Profit]]&gt;0),"Priority","Normal")</f>
        <v>Priority</v>
      </c>
      <c r="DI341" s="3">
        <f t="shared" ca="1" si="37"/>
        <v>0.22291860912563843</v>
      </c>
      <c r="DJ341" s="3">
        <f t="shared" ca="1" si="38"/>
        <v>3</v>
      </c>
      <c r="DK341" s="3"/>
      <c r="DL341" s="3"/>
      <c r="DM341" s="3"/>
      <c r="DN341" s="3"/>
      <c r="DO341" s="3"/>
      <c r="DP341" s="3"/>
    </row>
    <row r="342" spans="1:120">
      <c r="A342" t="s">
        <v>1498</v>
      </c>
      <c r="B342" t="str">
        <f>REPLACE(Table1[[#This Row],[Order_ID]],1,3,"YOO")</f>
        <v>YOO10341</v>
      </c>
      <c r="C342" t="str">
        <f>MID(Table1[[#This Row],[Order_ID]],4,4)</f>
        <v>1034</v>
      </c>
      <c r="D342" t="str">
        <f>LEFT(Table1[[#This Row],[Order_ID]],4)</f>
        <v>ORD1</v>
      </c>
      <c r="E342" t="str">
        <f>RIGHT(Table1[[#This Row],[Order_ID]],5)</f>
        <v>10341</v>
      </c>
      <c r="F342" t="s">
        <v>5</v>
      </c>
      <c r="G342">
        <v>10341</v>
      </c>
      <c r="H342" t="s">
        <v>1499</v>
      </c>
      <c r="I342" s="2">
        <f>EDATE(Table1[[#This Row],[Order_Date]],3)</f>
        <v>46195</v>
      </c>
      <c r="J342" s="2">
        <f>EDATE(Table1[[#This Row],[Order_Date]],6)</f>
        <v>46287</v>
      </c>
      <c r="K342">
        <f ca="1">YEAR(Table1[[#This Row],[Today]])</f>
        <v>2026</v>
      </c>
      <c r="L342">
        <v>341</v>
      </c>
      <c r="M342">
        <f ca="1">DAY(Table1[[#This Row],[Today]])</f>
        <v>11</v>
      </c>
      <c r="N342" s="19">
        <f t="shared" ca="1" si="41"/>
        <v>46245.589795370368</v>
      </c>
      <c r="O342" s="2">
        <f t="shared" ca="1" si="36"/>
        <v>46245</v>
      </c>
      <c r="P342" s="17">
        <f ca="1">Table1[[#This Row],[Today]]-Table1[[#This Row],[Order_Date]]</f>
        <v>142</v>
      </c>
      <c r="Q342" s="2">
        <v>45998</v>
      </c>
      <c r="R342" s="2">
        <v>46103</v>
      </c>
      <c r="S342" s="6">
        <f t="shared" si="39"/>
        <v>2026</v>
      </c>
      <c r="T342" s="7" t="str">
        <f t="shared" si="40"/>
        <v>March</v>
      </c>
      <c r="U342" s="2">
        <f>WORKDAY(Table1[[#This Row],[Order_Date]],5)</f>
        <v>46108</v>
      </c>
      <c r="V342" s="7" t="str">
        <f>CONCATENATE(Table1[[#This Row],[Customer_ID]],Table1[[#This Row],[Customer_Name]])</f>
        <v>C1010Aman Singh</v>
      </c>
      <c r="W342" t="s">
        <v>399</v>
      </c>
      <c r="X342" t="s">
        <v>123</v>
      </c>
      <c r="Y342">
        <f>COUNTA(Table1[[#This Row],[Customer_Name]])</f>
        <v>1</v>
      </c>
      <c r="Z342" t="str">
        <f>SUBSTITUTE(Table1[[#This Row],[Customer_Name]]," ","_")</f>
        <v>Aman_Singh</v>
      </c>
      <c r="AA342" s="10">
        <f>IFERROR(SEARCH("a",Table1[[#This Row],[Customer_Name]]),"N/A")</f>
        <v>1</v>
      </c>
      <c r="AB342">
        <f>SEARCH(" ",Table1[[#This Row],[Customer_Name]])</f>
        <v>5</v>
      </c>
      <c r="AC342" s="11">
        <f>IFERROR(FIND("a",Table1[[#This Row],[Customer_Name]]),"N/A")</f>
        <v>3</v>
      </c>
      <c r="AD342">
        <f>FIND(" ",Table1[[#This Row],[Customer_Name]])</f>
        <v>5</v>
      </c>
      <c r="AE342" t="str">
        <f>TRIM(Table1[[#This Row],[Customer_Name]])</f>
        <v>Aman Singh</v>
      </c>
      <c r="AF342">
        <f>LEN(Table1[[#This Row],[Trimmed]])</f>
        <v>10</v>
      </c>
      <c r="AG342">
        <f>MAX(Table1[Length])</f>
        <v>15</v>
      </c>
      <c r="AH342" t="str">
        <f>PROPER(Table1[[#This Row],[Customer_Name]])</f>
        <v>Aman Singh</v>
      </c>
      <c r="AI342" t="str">
        <f>LOWER(Table1[[#This Row],[Customer_Name]])</f>
        <v>aman singh</v>
      </c>
      <c r="AJ342" t="str">
        <f>UPPER(Table1[[#This Row],[Customer_Name]])</f>
        <v>AMAN SINGH</v>
      </c>
      <c r="AK342" t="str">
        <f>CONCATENATE(Table1[[#This Row],[Customer_ID]],Table1[[#This Row],[Customer_Name]])</f>
        <v>C1010Aman Singh</v>
      </c>
      <c r="AL342" t="s">
        <v>124</v>
      </c>
      <c r="AM342" t="s">
        <v>125</v>
      </c>
      <c r="AN342" t="s">
        <v>126</v>
      </c>
      <c r="AO342" t="s">
        <v>124</v>
      </c>
      <c r="AP342" t="s">
        <v>125</v>
      </c>
      <c r="AQ342" t="s">
        <v>423</v>
      </c>
      <c r="AR342" t="str">
        <f>TRIM(Table1[[#This Row],[City]])</f>
        <v>Ahmedabad</v>
      </c>
      <c r="AS342" t="str">
        <f>PROPER(Table1[[#This Row],[City]])</f>
        <v>Ahmedabad</v>
      </c>
      <c r="AT342" t="s">
        <v>424</v>
      </c>
      <c r="AU342" t="str">
        <f>CONCATENATE(Table1[[#This Row],[City]],Table1[[#This Row],[State]])</f>
        <v>AhmedabadGujarat</v>
      </c>
      <c r="AV342" t="s">
        <v>129</v>
      </c>
      <c r="AW342" t="s">
        <v>338</v>
      </c>
      <c r="AX342" t="str">
        <f>REPLACE(Table1[[#This Row],[Product_ID]],1,1,"s")</f>
        <v>s115</v>
      </c>
      <c r="AY342" t="s">
        <v>1500</v>
      </c>
      <c r="AZ342">
        <f>SEARCH("-",Table1[[#This Row],[Product ID]])</f>
        <v>2</v>
      </c>
      <c r="BA342">
        <f>FIND("-",Table1[[#This Row],[Product ID]])</f>
        <v>2</v>
      </c>
      <c r="BB342" t="str">
        <f>MID(Table1[[#This Row],[Product_ID]],2,3)</f>
        <v>115</v>
      </c>
      <c r="BC342" t="str">
        <f>RIGHT(Table1[[#This Row],[Product_ID]],3)</f>
        <v>115</v>
      </c>
      <c r="BD342" t="str">
        <f>LEFT(Table1[[#This Row],[Product_ID]],3)</f>
        <v>P11</v>
      </c>
      <c r="BE342" t="str">
        <f>_xlfn.XLOOKUP(Table1[[#This Row],[Product_ID]],AW:AW,BF:BF,,0)</f>
        <v>Dumbbell Set</v>
      </c>
      <c r="BF342" t="s">
        <v>340</v>
      </c>
      <c r="BG342">
        <f>LEN(Table1[[#This Row],[Product_Name]])</f>
        <v>12</v>
      </c>
      <c r="BH342" t="s">
        <v>264</v>
      </c>
      <c r="BI342">
        <f t="shared" si="42"/>
        <v>75</v>
      </c>
      <c r="BJ342" t="str">
        <f>SUBSTITUTE(Table1[[#This Row],[Category]],"Electronics","ELECTRONICS")</f>
        <v>Sports</v>
      </c>
      <c r="BN342" t="s">
        <v>265</v>
      </c>
      <c r="BS342" s="14">
        <v>1</v>
      </c>
      <c r="BT342" s="3">
        <v>2499</v>
      </c>
      <c r="BU342" s="4">
        <v>5</v>
      </c>
      <c r="BV342" s="4" t="str">
        <f>IF(AND(Table1[[#This Row],[Quantity]]&gt;=3,Table1[[#This Row],[Discount_%]]&gt;=15%),"Bulk Discount","no")</f>
        <v>no</v>
      </c>
      <c r="BW342" s="4" t="str">
        <f>IF(AND(Table1[[#This Row],[Quantity]]&gt;3,Table1[[#This Row],[Discount_%]]&gt;15%),"Bulk Customer","Normal")</f>
        <v>Normal</v>
      </c>
      <c r="BX342" t="s">
        <v>172</v>
      </c>
      <c r="BY342" t="s">
        <v>136</v>
      </c>
      <c r="CC342" t="str">
        <f>IF(OR(Table1[[#This Row],[Order_Status]]="Returned",Table1[[#This Row],[Order_Status]]="Cancelled"),"Attention Required","Not")</f>
        <v>Not</v>
      </c>
      <c r="CD342" t="str">
        <f>IF(OR(Table1[[#This Row],[Order_Status]]="Returned",Table1[[#This Row],[Order_Status]]="Cancelled"),"Review","no")</f>
        <v>no</v>
      </c>
      <c r="CE342" t="str">
        <f>SUBSTITUTE(Table1[[#This Row],[Order_Status]],"Delivered","Completed")</f>
        <v>Completed</v>
      </c>
      <c r="CF342" s="2">
        <v>46111</v>
      </c>
      <c r="CG342" s="17">
        <f>NETWORKDAYS(Table1[[#This Row],[Order_Date]],Table1[[#This Row],[Delivery_Date]])</f>
        <v>6</v>
      </c>
      <c r="CH342" s="17">
        <f>Table1[[#This Row],[Delivery_Date]]-Table1[[#This Row],[Order_Date]]</f>
        <v>8</v>
      </c>
      <c r="CI342" t="s">
        <v>137</v>
      </c>
      <c r="CJ342" t="str">
        <f>IF(Table1[[#This Row],[Rating]]&gt;=4,"Good","Needs Improvement")</f>
        <v>Good</v>
      </c>
      <c r="CK342" t="str">
        <f>IF(OR(Table1[[#This Row],[Rating]]&lt;=2,Table1[[#This Row],[Profit]]&lt;0),"Review","NO")</f>
        <v>NO</v>
      </c>
      <c r="CL342" t="str" cm="1">
        <f t="array" ref="CL342">_xlfn.IFS(Table1[[#This Row],[Rating]]&gt;2,"Poor",Table1[[#This Row],[Rating]]=3,"Average",Table1[[#This Row],[Rating]]=4,"Good",CP342=5,"Excellent")</f>
        <v>Poor</v>
      </c>
      <c r="CM342">
        <f>COUNT(Table1[[#This Row],[Rating]])</f>
        <v>1</v>
      </c>
      <c r="CN342">
        <f>COUNTBLANK(Table1[[#This Row],[Rating]])</f>
        <v>0</v>
      </c>
      <c r="CP342" t="s">
        <v>331</v>
      </c>
      <c r="CQ342" s="14">
        <v>5</v>
      </c>
      <c r="CR342" t="s">
        <v>139</v>
      </c>
      <c r="CS342" t="s">
        <v>195</v>
      </c>
      <c r="CU342" s="3">
        <v>2374.0500000000002</v>
      </c>
      <c r="CV342" s="3">
        <f>ROUND(Table1[[#This Row],[Sales_Amount]],0)</f>
        <v>2374</v>
      </c>
      <c r="CW342" s="3"/>
      <c r="CX342" s="3"/>
      <c r="CY342" s="3" t="b">
        <f>IF(AND(Table1[[#This Row],[Sales_Amount]]&gt;=10000,Table1[[#This Row],[Profit]]&gt;0),"Good Order")</f>
        <v>0</v>
      </c>
      <c r="CZ342" s="3" t="str">
        <f>IF(Table1[[#This Row],[Sales_Amount]]&gt;=10000,"High","Normal")</f>
        <v>Normal</v>
      </c>
      <c r="DA342" s="3">
        <v>924.05</v>
      </c>
      <c r="DB342" s="3">
        <f>ROUND(Table1[[#This Row],[Profit]],0)</f>
        <v>924</v>
      </c>
      <c r="DC342" s="3">
        <f>ABS(Table1[[#This Row],[Profit]])</f>
        <v>924.05</v>
      </c>
      <c r="DD342" s="3"/>
      <c r="DE342" s="3"/>
      <c r="DF342" s="3"/>
      <c r="DG342" s="3" t="str">
        <f>IF(Table1[[#This Row],[Profit]]&gt;0,"Profit","Loss")</f>
        <v>Profit</v>
      </c>
      <c r="DH342" s="3" t="str">
        <f>IF(AND(Table1[[#This Row],[Sales_Amount]]&gt;=10000,Table1[[#This Row],[Profit]]&gt;0),"Priority","Normal")</f>
        <v>Normal</v>
      </c>
      <c r="DI342" s="3">
        <f t="shared" ca="1" si="37"/>
        <v>0.77395733056992788</v>
      </c>
      <c r="DJ342" s="3">
        <f t="shared" ca="1" si="38"/>
        <v>57</v>
      </c>
      <c r="DK342" s="3"/>
      <c r="DL342" s="3"/>
      <c r="DM342" s="3"/>
      <c r="DN342" s="3"/>
      <c r="DO342" s="3"/>
      <c r="DP342" s="3"/>
    </row>
    <row r="343" spans="1:120">
      <c r="A343" t="s">
        <v>1501</v>
      </c>
      <c r="B343" t="str">
        <f>REPLACE(Table1[[#This Row],[Order_ID]],1,3,"YOO")</f>
        <v>YOO10342</v>
      </c>
      <c r="C343" t="str">
        <f>MID(Table1[[#This Row],[Order_ID]],4,4)</f>
        <v>1034</v>
      </c>
      <c r="D343" t="str">
        <f>LEFT(Table1[[#This Row],[Order_ID]],4)</f>
        <v>ORD1</v>
      </c>
      <c r="E343" t="str">
        <f>RIGHT(Table1[[#This Row],[Order_ID]],5)</f>
        <v>10342</v>
      </c>
      <c r="F343" t="s">
        <v>5</v>
      </c>
      <c r="G343">
        <v>10342</v>
      </c>
      <c r="H343" t="s">
        <v>1502</v>
      </c>
      <c r="I343" s="2">
        <f>EDATE(Table1[[#This Row],[Order_Date]],3)</f>
        <v>45983</v>
      </c>
      <c r="J343" s="2">
        <f>EDATE(Table1[[#This Row],[Order_Date]],6)</f>
        <v>46075</v>
      </c>
      <c r="K343">
        <f ca="1">YEAR(Table1[[#This Row],[Today]])</f>
        <v>2026</v>
      </c>
      <c r="L343">
        <v>342</v>
      </c>
      <c r="M343">
        <f ca="1">DAY(Table1[[#This Row],[Today]])</f>
        <v>11</v>
      </c>
      <c r="N343" s="19">
        <f t="shared" ca="1" si="41"/>
        <v>46245.589795370368</v>
      </c>
      <c r="O343" s="2">
        <f t="shared" ca="1" si="36"/>
        <v>46245</v>
      </c>
      <c r="P343" s="17">
        <f ca="1">Table1[[#This Row],[Today]]-Table1[[#This Row],[Order_Date]]</f>
        <v>354</v>
      </c>
      <c r="Q343" s="2">
        <v>45999</v>
      </c>
      <c r="R343" s="2">
        <v>45891</v>
      </c>
      <c r="S343" s="6">
        <f t="shared" si="39"/>
        <v>2025</v>
      </c>
      <c r="T343" s="7" t="str">
        <f t="shared" si="40"/>
        <v>August</v>
      </c>
      <c r="U343" s="2">
        <f>WORKDAY(Table1[[#This Row],[Order_Date]],5)</f>
        <v>45898</v>
      </c>
      <c r="V343" s="7" t="str">
        <f>CONCATENATE(Table1[[#This Row],[Customer_ID]],Table1[[#This Row],[Customer_Name]])</f>
        <v>C1111Arjun Rao</v>
      </c>
      <c r="W343" t="s">
        <v>387</v>
      </c>
      <c r="X343" t="s">
        <v>355</v>
      </c>
      <c r="Y343">
        <f>COUNTA(Table1[[#This Row],[Customer_Name]])</f>
        <v>1</v>
      </c>
      <c r="Z343" t="str">
        <f>SUBSTITUTE(Table1[[#This Row],[Customer_Name]]," ","_")</f>
        <v>Arjun_Rao</v>
      </c>
      <c r="AA343" s="10">
        <f>IFERROR(SEARCH("a",Table1[[#This Row],[Customer_Name]]),"N/A")</f>
        <v>1</v>
      </c>
      <c r="AB343">
        <f>SEARCH(" ",Table1[[#This Row],[Customer_Name]])</f>
        <v>6</v>
      </c>
      <c r="AC343" s="11">
        <f>IFERROR(FIND("a",Table1[[#This Row],[Customer_Name]]),"N/A")</f>
        <v>8</v>
      </c>
      <c r="AD343">
        <f>FIND(" ",Table1[[#This Row],[Customer_Name]])</f>
        <v>6</v>
      </c>
      <c r="AE343" t="str">
        <f>TRIM(Table1[[#This Row],[Customer_Name]])</f>
        <v>Arjun Rao</v>
      </c>
      <c r="AF343">
        <f>LEN(Table1[[#This Row],[Trimmed]])</f>
        <v>9</v>
      </c>
      <c r="AG343">
        <f>MAX(Table1[Length])</f>
        <v>15</v>
      </c>
      <c r="AH343" t="str">
        <f>PROPER(Table1[[#This Row],[Customer_Name]])</f>
        <v>Arjun Rao</v>
      </c>
      <c r="AI343" t="str">
        <f>LOWER(Table1[[#This Row],[Customer_Name]])</f>
        <v>arjun rao</v>
      </c>
      <c r="AJ343" t="str">
        <f>UPPER(Table1[[#This Row],[Customer_Name]])</f>
        <v>ARJUN RAO</v>
      </c>
      <c r="AK343" t="str">
        <f>CONCATENATE(Table1[[#This Row],[Customer_ID]],Table1[[#This Row],[Customer_Name]])</f>
        <v>C1111Arjun Rao</v>
      </c>
      <c r="AL343" t="s">
        <v>356</v>
      </c>
      <c r="AM343" t="s">
        <v>357</v>
      </c>
      <c r="AN343" t="s">
        <v>358</v>
      </c>
      <c r="AO343" t="s">
        <v>356</v>
      </c>
      <c r="AP343" t="s">
        <v>357</v>
      </c>
      <c r="AQ343" t="s">
        <v>127</v>
      </c>
      <c r="AR343" t="str">
        <f>TRIM(Table1[[#This Row],[City]])</f>
        <v>Pune</v>
      </c>
      <c r="AS343" t="str">
        <f>PROPER(Table1[[#This Row],[City]])</f>
        <v>Pune</v>
      </c>
      <c r="AT343" t="s">
        <v>128</v>
      </c>
      <c r="AU343" t="str">
        <f>CONCATENATE(Table1[[#This Row],[City]],Table1[[#This Row],[State]])</f>
        <v>PuneMaharashtra</v>
      </c>
      <c r="AV343" t="s">
        <v>129</v>
      </c>
      <c r="AW343" t="s">
        <v>477</v>
      </c>
      <c r="AX343" t="str">
        <f>REPLACE(Table1[[#This Row],[Product_ID]],1,1,"s")</f>
        <v>s109</v>
      </c>
      <c r="AY343" t="s">
        <v>1503</v>
      </c>
      <c r="AZ343">
        <f>SEARCH("-",Table1[[#This Row],[Product ID]])</f>
        <v>2</v>
      </c>
      <c r="BA343">
        <f>FIND("-",Table1[[#This Row],[Product ID]])</f>
        <v>2</v>
      </c>
      <c r="BB343" t="str">
        <f>MID(Table1[[#This Row],[Product_ID]],2,3)</f>
        <v>109</v>
      </c>
      <c r="BC343" t="str">
        <f>RIGHT(Table1[[#This Row],[Product_ID]],3)</f>
        <v>109</v>
      </c>
      <c r="BD343" t="str">
        <f>LEFT(Table1[[#This Row],[Product_ID]],3)</f>
        <v>P10</v>
      </c>
      <c r="BE343" t="str">
        <f>_xlfn.XLOOKUP(Table1[[#This Row],[Product_ID]],AW:AW,BF:BF,,0)</f>
        <v>Backpack</v>
      </c>
      <c r="BF343" t="s">
        <v>479</v>
      </c>
      <c r="BG343">
        <f>LEN(Table1[[#This Row],[Product_Name]])</f>
        <v>8</v>
      </c>
      <c r="BH343" t="s">
        <v>224</v>
      </c>
      <c r="BI343">
        <f t="shared" si="42"/>
        <v>75</v>
      </c>
      <c r="BJ343" t="str">
        <f>SUBSTITUTE(Table1[[#This Row],[Category]],"Electronics","ELECTRONICS")</f>
        <v>Fashion</v>
      </c>
      <c r="BN343" t="s">
        <v>480</v>
      </c>
      <c r="BS343" s="14">
        <v>3</v>
      </c>
      <c r="BT343" s="3">
        <v>2299</v>
      </c>
      <c r="BU343" s="4">
        <v>20</v>
      </c>
      <c r="BV343" s="4" t="str">
        <f>IF(AND(Table1[[#This Row],[Quantity]]&gt;=3,Table1[[#This Row],[Discount_%]]&gt;=15%),"Bulk Discount","no")</f>
        <v>Bulk Discount</v>
      </c>
      <c r="BW343" s="4" t="str">
        <f>IF(AND(Table1[[#This Row],[Quantity]]&gt;3,Table1[[#This Row],[Discount_%]]&gt;15%),"Bulk Customer","Normal")</f>
        <v>Normal</v>
      </c>
      <c r="BX343" t="s">
        <v>172</v>
      </c>
      <c r="BY343" t="s">
        <v>136</v>
      </c>
      <c r="CC343" t="str">
        <f>IF(OR(Table1[[#This Row],[Order_Status]]="Returned",Table1[[#This Row],[Order_Status]]="Cancelled"),"Attention Required","Not")</f>
        <v>Not</v>
      </c>
      <c r="CD343" t="str">
        <f>IF(OR(Table1[[#This Row],[Order_Status]]="Returned",Table1[[#This Row],[Order_Status]]="Cancelled"),"Review","no")</f>
        <v>no</v>
      </c>
      <c r="CE343" t="str">
        <f>SUBSTITUTE(Table1[[#This Row],[Order_Status]],"Delivered","Completed")</f>
        <v>Completed</v>
      </c>
      <c r="CF343" s="2">
        <v>45899</v>
      </c>
      <c r="CG343" s="17">
        <f>NETWORKDAYS(Table1[[#This Row],[Order_Date]],Table1[[#This Row],[Delivery_Date]])</f>
        <v>6</v>
      </c>
      <c r="CH343" s="17">
        <f>Table1[[#This Row],[Delivery_Date]]-Table1[[#This Row],[Order_Date]]</f>
        <v>8</v>
      </c>
      <c r="CI343" t="s">
        <v>137</v>
      </c>
      <c r="CJ343" t="str">
        <f>IF(Table1[[#This Row],[Rating]]&gt;=4,"Good","Needs Improvement")</f>
        <v>Good</v>
      </c>
      <c r="CK343" t="str">
        <f>IF(OR(Table1[[#This Row],[Rating]]&lt;=2,Table1[[#This Row],[Profit]]&lt;0),"Review","NO")</f>
        <v>NO</v>
      </c>
      <c r="CL343" t="str" cm="1">
        <f t="array" ref="CL343">_xlfn.IFS(Table1[[#This Row],[Rating]]&gt;2,"Poor",Table1[[#This Row],[Rating]]=3,"Average",Table1[[#This Row],[Rating]]=4,"Good",CP343=5,"Excellent")</f>
        <v>Poor</v>
      </c>
      <c r="CM343">
        <f>COUNT(Table1[[#This Row],[Rating]])</f>
        <v>1</v>
      </c>
      <c r="CN343">
        <f>COUNTBLANK(Table1[[#This Row],[Rating]])</f>
        <v>0</v>
      </c>
      <c r="CP343" t="s">
        <v>138</v>
      </c>
      <c r="CQ343" s="14">
        <v>5</v>
      </c>
      <c r="CR343" t="s">
        <v>204</v>
      </c>
      <c r="CS343" t="s">
        <v>140</v>
      </c>
      <c r="CU343" s="3">
        <v>5517.6</v>
      </c>
      <c r="CV343" s="3">
        <f>ROUND(Table1[[#This Row],[Sales_Amount]],0)</f>
        <v>5518</v>
      </c>
      <c r="CW343" s="3"/>
      <c r="CX343" s="3"/>
      <c r="CY343" s="3" t="b">
        <f>IF(AND(Table1[[#This Row],[Sales_Amount]]&gt;=10000,Table1[[#This Row],[Profit]]&gt;0),"Good Order")</f>
        <v>0</v>
      </c>
      <c r="CZ343" s="3" t="str">
        <f>IF(Table1[[#This Row],[Sales_Amount]]&gt;=10000,"High","Normal")</f>
        <v>Normal</v>
      </c>
      <c r="DA343" s="3">
        <v>1767.6</v>
      </c>
      <c r="DB343" s="3">
        <f>ROUND(Table1[[#This Row],[Profit]],0)</f>
        <v>1768</v>
      </c>
      <c r="DC343" s="3">
        <f>ABS(Table1[[#This Row],[Profit]])</f>
        <v>1767.6</v>
      </c>
      <c r="DD343" s="3"/>
      <c r="DE343" s="3"/>
      <c r="DF343" s="3"/>
      <c r="DG343" s="3" t="str">
        <f>IF(Table1[[#This Row],[Profit]]&gt;0,"Profit","Loss")</f>
        <v>Profit</v>
      </c>
      <c r="DH343" s="3" t="str">
        <f>IF(AND(Table1[[#This Row],[Sales_Amount]]&gt;=10000,Table1[[#This Row],[Profit]]&gt;0),"Priority","Normal")</f>
        <v>Normal</v>
      </c>
      <c r="DI343" s="3">
        <f t="shared" ca="1" si="37"/>
        <v>0.48375683893750854</v>
      </c>
      <c r="DJ343" s="3">
        <f t="shared" ca="1" si="38"/>
        <v>2</v>
      </c>
      <c r="DK343" s="3"/>
      <c r="DL343" s="3"/>
      <c r="DM343" s="3"/>
      <c r="DN343" s="3"/>
      <c r="DO343" s="3"/>
      <c r="DP343" s="3"/>
    </row>
    <row r="344" spans="1:120">
      <c r="A344" t="s">
        <v>1504</v>
      </c>
      <c r="B344" t="str">
        <f>REPLACE(Table1[[#This Row],[Order_ID]],1,3,"YOO")</f>
        <v>YOO10343</v>
      </c>
      <c r="C344" t="str">
        <f>MID(Table1[[#This Row],[Order_ID]],4,4)</f>
        <v>1034</v>
      </c>
      <c r="D344" t="str">
        <f>LEFT(Table1[[#This Row],[Order_ID]],4)</f>
        <v>ORD1</v>
      </c>
      <c r="E344" t="str">
        <f>RIGHT(Table1[[#This Row],[Order_ID]],5)</f>
        <v>10343</v>
      </c>
      <c r="F344" t="s">
        <v>5</v>
      </c>
      <c r="G344">
        <v>10343</v>
      </c>
      <c r="H344" t="s">
        <v>1505</v>
      </c>
      <c r="I344" s="2">
        <f>EDATE(Table1[[#This Row],[Order_Date]],3)</f>
        <v>45814</v>
      </c>
      <c r="J344" s="2">
        <f>EDATE(Table1[[#This Row],[Order_Date]],6)</f>
        <v>45906</v>
      </c>
      <c r="K344">
        <f ca="1">YEAR(Table1[[#This Row],[Today]])</f>
        <v>2026</v>
      </c>
      <c r="L344">
        <v>343</v>
      </c>
      <c r="M344">
        <f ca="1">DAY(Table1[[#This Row],[Today]])</f>
        <v>11</v>
      </c>
      <c r="N344" s="19">
        <f t="shared" ca="1" si="41"/>
        <v>46245.589795138891</v>
      </c>
      <c r="O344" s="2">
        <f t="shared" ca="1" si="36"/>
        <v>46245</v>
      </c>
      <c r="P344" s="17">
        <f ca="1">Table1[[#This Row],[Today]]-Table1[[#This Row],[Order_Date]]</f>
        <v>523</v>
      </c>
      <c r="Q344" s="2">
        <v>46000</v>
      </c>
      <c r="R344" s="2">
        <v>45722</v>
      </c>
      <c r="S344" s="6">
        <f t="shared" si="39"/>
        <v>2025</v>
      </c>
      <c r="T344" s="7" t="str">
        <f t="shared" si="40"/>
        <v>March</v>
      </c>
      <c r="U344" s="2">
        <f>WORKDAY(Table1[[#This Row],[Order_Date]],5)</f>
        <v>45729</v>
      </c>
      <c r="V344" s="7" t="str">
        <f>CONCATENATE(Table1[[#This Row],[Customer_ID]],Table1[[#This Row],[Customer_Name]])</f>
        <v>C1129Neha Gupta</v>
      </c>
      <c r="W344" t="s">
        <v>850</v>
      </c>
      <c r="X344" t="s">
        <v>229</v>
      </c>
      <c r="Y344">
        <f>COUNTA(Table1[[#This Row],[Customer_Name]])</f>
        <v>1</v>
      </c>
      <c r="Z344" t="str">
        <f>SUBSTITUTE(Table1[[#This Row],[Customer_Name]]," ","_")</f>
        <v>Neha_Gupta</v>
      </c>
      <c r="AA344" s="10">
        <f>IFERROR(SEARCH("a",Table1[[#This Row],[Customer_Name]]),"N/A")</f>
        <v>4</v>
      </c>
      <c r="AB344">
        <f>SEARCH(" ",Table1[[#This Row],[Customer_Name]])</f>
        <v>5</v>
      </c>
      <c r="AC344" s="11">
        <f>IFERROR(FIND("a",Table1[[#This Row],[Customer_Name]]),"N/A")</f>
        <v>4</v>
      </c>
      <c r="AD344">
        <f>FIND(" ",Table1[[#This Row],[Customer_Name]])</f>
        <v>5</v>
      </c>
      <c r="AE344" t="str">
        <f>TRIM(Table1[[#This Row],[Customer_Name]])</f>
        <v>Neha Gupta</v>
      </c>
      <c r="AF344">
        <f>LEN(Table1[[#This Row],[Trimmed]])</f>
        <v>10</v>
      </c>
      <c r="AG344">
        <f>MAX(Table1[Length])</f>
        <v>15</v>
      </c>
      <c r="AH344" t="str">
        <f>PROPER(Table1[[#This Row],[Customer_Name]])</f>
        <v>Neha Gupta</v>
      </c>
      <c r="AI344" t="str">
        <f>LOWER(Table1[[#This Row],[Customer_Name]])</f>
        <v>neha gupta</v>
      </c>
      <c r="AJ344" t="str">
        <f>UPPER(Table1[[#This Row],[Customer_Name]])</f>
        <v>NEHA GUPTA</v>
      </c>
      <c r="AK344" t="str">
        <f>CONCATENATE(Table1[[#This Row],[Customer_ID]],Table1[[#This Row],[Customer_Name]])</f>
        <v>C1129Neha Gupta</v>
      </c>
      <c r="AL344" t="s">
        <v>230</v>
      </c>
      <c r="AM344" t="s">
        <v>231</v>
      </c>
      <c r="AN344" t="s">
        <v>232</v>
      </c>
      <c r="AO344" t="s">
        <v>230</v>
      </c>
      <c r="AP344" t="s">
        <v>231</v>
      </c>
      <c r="AQ344" t="s">
        <v>182</v>
      </c>
      <c r="AR344" t="str">
        <f>TRIM(Table1[[#This Row],[City]])</f>
        <v>Mumbai</v>
      </c>
      <c r="AS344" t="str">
        <f>PROPER(Table1[[#This Row],[City]])</f>
        <v>Mumbai</v>
      </c>
      <c r="AT344" t="s">
        <v>128</v>
      </c>
      <c r="AU344" t="str">
        <f>CONCATENATE(Table1[[#This Row],[City]],Table1[[#This Row],[State]])</f>
        <v>MumbaiMaharashtra</v>
      </c>
      <c r="AV344" t="s">
        <v>129</v>
      </c>
      <c r="AW344" t="s">
        <v>477</v>
      </c>
      <c r="AX344" t="str">
        <f>REPLACE(Table1[[#This Row],[Product_ID]],1,1,"s")</f>
        <v>s109</v>
      </c>
      <c r="AY344" t="s">
        <v>1506</v>
      </c>
      <c r="AZ344">
        <f>SEARCH("-",Table1[[#This Row],[Product ID]])</f>
        <v>2</v>
      </c>
      <c r="BA344">
        <f>FIND("-",Table1[[#This Row],[Product ID]])</f>
        <v>2</v>
      </c>
      <c r="BB344" t="str">
        <f>MID(Table1[[#This Row],[Product_ID]],2,3)</f>
        <v>109</v>
      </c>
      <c r="BC344" t="str">
        <f>RIGHT(Table1[[#This Row],[Product_ID]],3)</f>
        <v>109</v>
      </c>
      <c r="BD344" t="str">
        <f>LEFT(Table1[[#This Row],[Product_ID]],3)</f>
        <v>P10</v>
      </c>
      <c r="BE344" t="str">
        <f>_xlfn.XLOOKUP(Table1[[#This Row],[Product_ID]],AW:AW,BF:BF,,0)</f>
        <v>Backpack</v>
      </c>
      <c r="BF344" t="s">
        <v>479</v>
      </c>
      <c r="BG344">
        <f>LEN(Table1[[#This Row],[Product_Name]])</f>
        <v>8</v>
      </c>
      <c r="BH344" t="s">
        <v>224</v>
      </c>
      <c r="BI344">
        <f t="shared" si="42"/>
        <v>75</v>
      </c>
      <c r="BJ344" t="str">
        <f>SUBSTITUTE(Table1[[#This Row],[Category]],"Electronics","ELECTRONICS")</f>
        <v>Fashion</v>
      </c>
      <c r="BN344" t="s">
        <v>480</v>
      </c>
      <c r="BS344" s="14">
        <v>5</v>
      </c>
      <c r="BT344" s="3">
        <v>2299</v>
      </c>
      <c r="BU344" s="4">
        <v>0</v>
      </c>
      <c r="BV344" s="4" t="str">
        <f>IF(AND(Table1[[#This Row],[Quantity]]&gt;=3,Table1[[#This Row],[Discount_%]]&gt;=15%),"Bulk Discount","no")</f>
        <v>no</v>
      </c>
      <c r="BW344" s="4" t="str">
        <f>IF(AND(Table1[[#This Row],[Quantity]]&gt;3,Table1[[#This Row],[Discount_%]]&gt;15%),"Bulk Customer","Normal")</f>
        <v>Normal</v>
      </c>
      <c r="BX344" t="s">
        <v>192</v>
      </c>
      <c r="BY344" t="s">
        <v>374</v>
      </c>
      <c r="CC344" t="str">
        <f>IF(OR(Table1[[#This Row],[Order_Status]]="Returned",Table1[[#This Row],[Order_Status]]="Cancelled"),"Attention Required","Not")</f>
        <v>Attention Required</v>
      </c>
      <c r="CD344" t="str">
        <f>IF(OR(Table1[[#This Row],[Order_Status]]="Returned",Table1[[#This Row],[Order_Status]]="Cancelled"),"Review","no")</f>
        <v>Review</v>
      </c>
      <c r="CE344" t="str">
        <f>SUBSTITUTE(Table1[[#This Row],[Order_Status]],"Delivered","Completed")</f>
        <v>Returned</v>
      </c>
      <c r="CF344" s="2">
        <v>45724</v>
      </c>
      <c r="CG344" s="17">
        <f>NETWORKDAYS(Table1[[#This Row],[Order_Date]],Table1[[#This Row],[Delivery_Date]])</f>
        <v>2</v>
      </c>
      <c r="CH344" s="17">
        <f>Table1[[#This Row],[Delivery_Date]]-Table1[[#This Row],[Order_Date]]</f>
        <v>2</v>
      </c>
      <c r="CI344" t="s">
        <v>375</v>
      </c>
      <c r="CJ344" t="str">
        <f>IF(Table1[[#This Row],[Rating]]&gt;=4,"Good","Needs Improvement")</f>
        <v>Good</v>
      </c>
      <c r="CK344" t="str">
        <f>IF(OR(Table1[[#This Row],[Rating]]&lt;=2,Table1[[#This Row],[Profit]]&lt;0),"Review","NO")</f>
        <v>NO</v>
      </c>
      <c r="CL344" t="str" cm="1">
        <f t="array" ref="CL344">_xlfn.IFS(Table1[[#This Row],[Rating]]&gt;2,"Poor",Table1[[#This Row],[Rating]]=3,"Average",Table1[[#This Row],[Rating]]=4,"Good",CP344=5,"Excellent")</f>
        <v>Poor</v>
      </c>
      <c r="CM344">
        <f>COUNT(Table1[[#This Row],[Rating]])</f>
        <v>1</v>
      </c>
      <c r="CN344">
        <f>COUNTBLANK(Table1[[#This Row],[Rating]])</f>
        <v>0</v>
      </c>
      <c r="CQ344" s="14">
        <v>5</v>
      </c>
      <c r="CR344" t="s">
        <v>173</v>
      </c>
      <c r="CS344" t="s">
        <v>174</v>
      </c>
      <c r="CU344" s="3">
        <v>11495</v>
      </c>
      <c r="CV344" s="3">
        <f>ROUND(Table1[[#This Row],[Sales_Amount]],0)</f>
        <v>11495</v>
      </c>
      <c r="CW344" s="3"/>
      <c r="CX344" s="3"/>
      <c r="CY344" s="3" t="str">
        <f>IF(AND(Table1[[#This Row],[Sales_Amount]]&gt;=10000,Table1[[#This Row],[Profit]]&gt;0),"Good Order")</f>
        <v>Good Order</v>
      </c>
      <c r="CZ344" s="3" t="str">
        <f>IF(Table1[[#This Row],[Sales_Amount]]&gt;=10000,"High","Normal")</f>
        <v>High</v>
      </c>
      <c r="DA344" s="3">
        <v>5245</v>
      </c>
      <c r="DB344" s="3">
        <f>ROUND(Table1[[#This Row],[Profit]],0)</f>
        <v>5245</v>
      </c>
      <c r="DC344" s="3">
        <f>ABS(Table1[[#This Row],[Profit]])</f>
        <v>5245</v>
      </c>
      <c r="DD344" s="3"/>
      <c r="DE344" s="3"/>
      <c r="DF344" s="3"/>
      <c r="DG344" s="3" t="str">
        <f>IF(Table1[[#This Row],[Profit]]&gt;0,"Profit","Loss")</f>
        <v>Profit</v>
      </c>
      <c r="DH344" s="3" t="str">
        <f>IF(AND(Table1[[#This Row],[Sales_Amount]]&gt;=10000,Table1[[#This Row],[Profit]]&gt;0),"Priority","Normal")</f>
        <v>Priority</v>
      </c>
      <c r="DI344" s="3">
        <f t="shared" ca="1" si="37"/>
        <v>0.40328643721867286</v>
      </c>
      <c r="DJ344" s="3">
        <f t="shared" ca="1" si="38"/>
        <v>13</v>
      </c>
      <c r="DK344" s="3"/>
      <c r="DL344" s="3"/>
      <c r="DM344" s="3"/>
      <c r="DN344" s="3"/>
      <c r="DO344" s="3"/>
      <c r="DP344" s="3"/>
    </row>
    <row r="345" spans="1:120">
      <c r="A345" t="s">
        <v>1507</v>
      </c>
      <c r="B345" t="str">
        <f>REPLACE(Table1[[#This Row],[Order_ID]],1,3,"YOO")</f>
        <v>YOO10344</v>
      </c>
      <c r="C345" t="str">
        <f>MID(Table1[[#This Row],[Order_ID]],4,4)</f>
        <v>1034</v>
      </c>
      <c r="D345" t="str">
        <f>LEFT(Table1[[#This Row],[Order_ID]],4)</f>
        <v>ORD1</v>
      </c>
      <c r="E345" t="str">
        <f>RIGHT(Table1[[#This Row],[Order_ID]],5)</f>
        <v>10344</v>
      </c>
      <c r="F345" t="s">
        <v>5</v>
      </c>
      <c r="G345">
        <v>10344</v>
      </c>
      <c r="H345" t="s">
        <v>1508</v>
      </c>
      <c r="I345" s="2">
        <f>EDATE(Table1[[#This Row],[Order_Date]],3)</f>
        <v>46198</v>
      </c>
      <c r="J345" s="2">
        <f>EDATE(Table1[[#This Row],[Order_Date]],6)</f>
        <v>46290</v>
      </c>
      <c r="K345">
        <f ca="1">YEAR(Table1[[#This Row],[Today]])</f>
        <v>2026</v>
      </c>
      <c r="L345">
        <v>344</v>
      </c>
      <c r="M345">
        <f ca="1">DAY(Table1[[#This Row],[Today]])</f>
        <v>11</v>
      </c>
      <c r="N345" s="19">
        <f t="shared" ca="1" si="41"/>
        <v>46245.589795370368</v>
      </c>
      <c r="O345" s="2">
        <f t="shared" ca="1" si="36"/>
        <v>46245</v>
      </c>
      <c r="P345" s="17">
        <f ca="1">Table1[[#This Row],[Today]]-Table1[[#This Row],[Order_Date]]</f>
        <v>139</v>
      </c>
      <c r="Q345" s="2">
        <v>46001</v>
      </c>
      <c r="R345" s="2">
        <v>46106</v>
      </c>
      <c r="S345" s="6">
        <f t="shared" si="39"/>
        <v>2026</v>
      </c>
      <c r="T345" s="7" t="str">
        <f t="shared" si="40"/>
        <v>March</v>
      </c>
      <c r="U345" s="2">
        <f>WORKDAY(Table1[[#This Row],[Order_Date]],5)</f>
        <v>46113</v>
      </c>
      <c r="V345" s="7" t="str">
        <f>CONCATENATE(Table1[[#This Row],[Customer_ID]],Table1[[#This Row],[Customer_Name]])</f>
        <v>C1041Riya Agarwal</v>
      </c>
      <c r="W345" t="s">
        <v>1139</v>
      </c>
      <c r="X345" t="s">
        <v>217</v>
      </c>
      <c r="Y345">
        <f>COUNTA(Table1[[#This Row],[Customer_Name]])</f>
        <v>1</v>
      </c>
      <c r="Z345" t="str">
        <f>SUBSTITUTE(Table1[[#This Row],[Customer_Name]]," ","_")</f>
        <v>Riya_Agarwal</v>
      </c>
      <c r="AA345" s="10">
        <f>IFERROR(SEARCH("a",Table1[[#This Row],[Customer_Name]]),"N/A")</f>
        <v>4</v>
      </c>
      <c r="AB345">
        <f>SEARCH(" ",Table1[[#This Row],[Customer_Name]])</f>
        <v>5</v>
      </c>
      <c r="AC345" s="11">
        <f>IFERROR(FIND("a",Table1[[#This Row],[Customer_Name]]),"N/A")</f>
        <v>4</v>
      </c>
      <c r="AD345">
        <f>FIND(" ",Table1[[#This Row],[Customer_Name]])</f>
        <v>5</v>
      </c>
      <c r="AE345" t="str">
        <f>TRIM(Table1[[#This Row],[Customer_Name]])</f>
        <v>Riya Agarwal</v>
      </c>
      <c r="AF345">
        <f>LEN(Table1[[#This Row],[Trimmed]])</f>
        <v>12</v>
      </c>
      <c r="AG345">
        <f>MAX(Table1[Length])</f>
        <v>15</v>
      </c>
      <c r="AH345" t="str">
        <f>PROPER(Table1[[#This Row],[Customer_Name]])</f>
        <v>Riya Agarwal</v>
      </c>
      <c r="AI345" t="str">
        <f>LOWER(Table1[[#This Row],[Customer_Name]])</f>
        <v>riya agarwal</v>
      </c>
      <c r="AJ345" t="str">
        <f>UPPER(Table1[[#This Row],[Customer_Name]])</f>
        <v>RIYA AGARWAL</v>
      </c>
      <c r="AK345" t="str">
        <f>CONCATENATE(Table1[[#This Row],[Customer_ID]],Table1[[#This Row],[Customer_Name]])</f>
        <v>C1041Riya Agarwal</v>
      </c>
      <c r="AL345" t="s">
        <v>218</v>
      </c>
      <c r="AM345" t="s">
        <v>219</v>
      </c>
      <c r="AN345" t="s">
        <v>220</v>
      </c>
      <c r="AO345" t="s">
        <v>218</v>
      </c>
      <c r="AP345" t="s">
        <v>219</v>
      </c>
      <c r="AQ345" t="s">
        <v>379</v>
      </c>
      <c r="AR345" t="str">
        <f>TRIM(Table1[[#This Row],[City]])</f>
        <v>Indore</v>
      </c>
      <c r="AS345" t="str">
        <f>PROPER(Table1[[#This Row],[City]])</f>
        <v>Indore</v>
      </c>
      <c r="AT345" t="s">
        <v>345</v>
      </c>
      <c r="AU345" t="str">
        <f>CONCATENATE(Table1[[#This Row],[City]],Table1[[#This Row],[State]])</f>
        <v>IndoreMadhya Pradesh</v>
      </c>
      <c r="AV345" t="s">
        <v>346</v>
      </c>
      <c r="AW345" t="s">
        <v>151</v>
      </c>
      <c r="AX345" t="str">
        <f>REPLACE(Table1[[#This Row],[Product_ID]],1,1,"s")</f>
        <v>s102</v>
      </c>
      <c r="AY345" t="s">
        <v>1509</v>
      </c>
      <c r="AZ345">
        <f>SEARCH("-",Table1[[#This Row],[Product ID]])</f>
        <v>2</v>
      </c>
      <c r="BA345">
        <f>FIND("-",Table1[[#This Row],[Product ID]])</f>
        <v>2</v>
      </c>
      <c r="BB345" t="str">
        <f>MID(Table1[[#This Row],[Product_ID]],2,3)</f>
        <v>102</v>
      </c>
      <c r="BC345" t="str">
        <f>RIGHT(Table1[[#This Row],[Product_ID]],3)</f>
        <v>102</v>
      </c>
      <c r="BD345" t="str">
        <f>LEFT(Table1[[#This Row],[Product_ID]],3)</f>
        <v>P10</v>
      </c>
      <c r="BE345" t="str">
        <f>_xlfn.XLOOKUP(Table1[[#This Row],[Product_ID]],AW:AW,BF:BF,,0)</f>
        <v>Mechanical Keyboard</v>
      </c>
      <c r="BF345" t="s">
        <v>153</v>
      </c>
      <c r="BG345">
        <f>LEN(Table1[[#This Row],[Product_Name]])</f>
        <v>19</v>
      </c>
      <c r="BH345" t="s">
        <v>154</v>
      </c>
      <c r="BI345">
        <f t="shared" si="42"/>
        <v>75</v>
      </c>
      <c r="BJ345" t="str">
        <f>SUBSTITUTE(Table1[[#This Row],[Category]],"Electronics","ELECTRONICS")</f>
        <v>ELECTRONICS</v>
      </c>
      <c r="BN345" t="s">
        <v>155</v>
      </c>
      <c r="BS345" s="14">
        <v>4</v>
      </c>
      <c r="BT345" s="3">
        <v>2499</v>
      </c>
      <c r="BU345" s="4">
        <v>20</v>
      </c>
      <c r="BV345" s="4" t="str">
        <f>IF(AND(Table1[[#This Row],[Quantity]]&gt;=3,Table1[[#This Row],[Discount_%]]&gt;=15%),"Bulk Discount","no")</f>
        <v>Bulk Discount</v>
      </c>
      <c r="BW345" s="4" t="str">
        <f>IF(AND(Table1[[#This Row],[Quantity]]&gt;3,Table1[[#This Row],[Discount_%]]&gt;15%),"Bulk Customer","Normal")</f>
        <v>Bulk Customer</v>
      </c>
      <c r="BX345" t="s">
        <v>187</v>
      </c>
      <c r="BY345" t="s">
        <v>193</v>
      </c>
      <c r="CC345" t="str">
        <f>IF(OR(Table1[[#This Row],[Order_Status]]="Returned",Table1[[#This Row],[Order_Status]]="Cancelled"),"Attention Required","Not")</f>
        <v>Not</v>
      </c>
      <c r="CD345" t="str">
        <f>IF(OR(Table1[[#This Row],[Order_Status]]="Returned",Table1[[#This Row],[Order_Status]]="Cancelled"),"Review","no")</f>
        <v>no</v>
      </c>
      <c r="CE345" t="str">
        <f>SUBSTITUTE(Table1[[#This Row],[Order_Status]],"Delivered","Completed")</f>
        <v>Shipped</v>
      </c>
      <c r="CF345" s="2">
        <v>46107</v>
      </c>
      <c r="CG345" s="17">
        <f>NETWORKDAYS(Table1[[#This Row],[Order_Date]],Table1[[#This Row],[Delivery_Date]])</f>
        <v>2</v>
      </c>
      <c r="CH345" s="17">
        <f>Table1[[#This Row],[Delivery_Date]]-Table1[[#This Row],[Order_Date]]</f>
        <v>1</v>
      </c>
      <c r="CI345" t="s">
        <v>137</v>
      </c>
      <c r="CJ345" t="str">
        <f>IF(Table1[[#This Row],[Rating]]&gt;=4,"Good","Needs Improvement")</f>
        <v>Needs Improvement</v>
      </c>
      <c r="CK345" t="str">
        <f>IF(OR(Table1[[#This Row],[Rating]]&lt;=2,Table1[[#This Row],[Profit]]&lt;0),"Review","NO")</f>
        <v>Review</v>
      </c>
      <c r="CL345" t="e" cm="1">
        <f t="array" ref="CL345">_xlfn.IFS(Table1[[#This Row],[Rating]]&gt;2,"Poor",Table1[[#This Row],[Rating]]=3,"Average",Table1[[#This Row],[Rating]]=4,"Good",CP345=5,"Excellent")</f>
        <v>#N/A</v>
      </c>
      <c r="CM345">
        <f>COUNT(Table1[[#This Row],[Rating]])</f>
        <v>0</v>
      </c>
      <c r="CN345">
        <f>COUNTBLANK(Table1[[#This Row],[Rating]])</f>
        <v>1</v>
      </c>
      <c r="CP345" t="s">
        <v>194</v>
      </c>
      <c r="CR345" t="s">
        <v>204</v>
      </c>
      <c r="CS345" t="s">
        <v>267</v>
      </c>
      <c r="CU345" s="3">
        <v>7996.8</v>
      </c>
      <c r="CV345" s="3">
        <f>ROUND(Table1[[#This Row],[Sales_Amount]],0)</f>
        <v>7997</v>
      </c>
      <c r="CW345" s="3"/>
      <c r="CX345" s="3"/>
      <c r="CY345" s="3" t="b">
        <f>IF(AND(Table1[[#This Row],[Sales_Amount]]&gt;=10000,Table1[[#This Row],[Profit]]&gt;0),"Good Order")</f>
        <v>0</v>
      </c>
      <c r="CZ345" s="3" t="str">
        <f>IF(Table1[[#This Row],[Sales_Amount]]&gt;=10000,"High","Normal")</f>
        <v>Normal</v>
      </c>
      <c r="DA345" s="3">
        <v>2196.8000000000002</v>
      </c>
      <c r="DB345" s="3">
        <f>ROUND(Table1[[#This Row],[Profit]],0)</f>
        <v>2197</v>
      </c>
      <c r="DC345" s="3">
        <f>ABS(Table1[[#This Row],[Profit]])</f>
        <v>2196.8000000000002</v>
      </c>
      <c r="DD345" s="3"/>
      <c r="DE345" s="3"/>
      <c r="DF345" s="3"/>
      <c r="DG345" s="3" t="str">
        <f>IF(Table1[[#This Row],[Profit]]&gt;0,"Profit","Loss")</f>
        <v>Profit</v>
      </c>
      <c r="DH345" s="3" t="str">
        <f>IF(AND(Table1[[#This Row],[Sales_Amount]]&gt;=10000,Table1[[#This Row],[Profit]]&gt;0),"Priority","Normal")</f>
        <v>Normal</v>
      </c>
      <c r="DI345" s="3">
        <f t="shared" ca="1" si="37"/>
        <v>0.13045417428011197</v>
      </c>
      <c r="DJ345" s="3">
        <f t="shared" ca="1" si="38"/>
        <v>45</v>
      </c>
      <c r="DK345" s="3"/>
      <c r="DL345" s="3"/>
      <c r="DM345" s="3"/>
      <c r="DN345" s="3"/>
      <c r="DO345" s="3"/>
      <c r="DP345" s="3"/>
    </row>
    <row r="346" spans="1:120">
      <c r="A346" t="s">
        <v>1510</v>
      </c>
      <c r="B346" t="str">
        <f>REPLACE(Table1[[#This Row],[Order_ID]],1,3,"YOO")</f>
        <v>YOO10345</v>
      </c>
      <c r="C346" t="str">
        <f>MID(Table1[[#This Row],[Order_ID]],4,4)</f>
        <v>1034</v>
      </c>
      <c r="D346" t="str">
        <f>LEFT(Table1[[#This Row],[Order_ID]],4)</f>
        <v>ORD1</v>
      </c>
      <c r="E346" t="str">
        <f>RIGHT(Table1[[#This Row],[Order_ID]],5)</f>
        <v>10345</v>
      </c>
      <c r="F346" t="s">
        <v>5</v>
      </c>
      <c r="G346">
        <v>10345</v>
      </c>
      <c r="H346" t="s">
        <v>1511</v>
      </c>
      <c r="I346" s="2">
        <f>EDATE(Table1[[#This Row],[Order_Date]],3)</f>
        <v>46052</v>
      </c>
      <c r="J346" s="2">
        <f>EDATE(Table1[[#This Row],[Order_Date]],6)</f>
        <v>46142</v>
      </c>
      <c r="K346">
        <f ca="1">YEAR(Table1[[#This Row],[Today]])</f>
        <v>2026</v>
      </c>
      <c r="L346">
        <v>345</v>
      </c>
      <c r="M346">
        <f ca="1">DAY(Table1[[#This Row],[Today]])</f>
        <v>11</v>
      </c>
      <c r="N346" s="19">
        <f t="shared" ca="1" si="41"/>
        <v>46245.589795370368</v>
      </c>
      <c r="O346" s="2">
        <f t="shared" ca="1" si="36"/>
        <v>46245</v>
      </c>
      <c r="P346" s="17">
        <f ca="1">Table1[[#This Row],[Today]]-Table1[[#This Row],[Order_Date]]</f>
        <v>285</v>
      </c>
      <c r="Q346" s="2">
        <v>46002</v>
      </c>
      <c r="R346" s="2">
        <v>45960</v>
      </c>
      <c r="S346" s="6">
        <f t="shared" si="39"/>
        <v>2025</v>
      </c>
      <c r="T346" s="7" t="str">
        <f t="shared" si="40"/>
        <v>October</v>
      </c>
      <c r="U346" s="2">
        <f>WORKDAY(Table1[[#This Row],[Order_Date]],5)</f>
        <v>45967</v>
      </c>
      <c r="V346" s="7" t="str">
        <f>CONCATENATE(Table1[[#This Row],[Customer_ID]],Table1[[#This Row],[Customer_Name]])</f>
        <v>C1142Riya Agarwal</v>
      </c>
      <c r="W346" t="s">
        <v>241</v>
      </c>
      <c r="X346" t="s">
        <v>217</v>
      </c>
      <c r="Y346">
        <f>COUNTA(Table1[[#This Row],[Customer_Name]])</f>
        <v>1</v>
      </c>
      <c r="Z346" t="str">
        <f>SUBSTITUTE(Table1[[#This Row],[Customer_Name]]," ","_")</f>
        <v>Riya_Agarwal</v>
      </c>
      <c r="AA346" s="10">
        <f>IFERROR(SEARCH("a",Table1[[#This Row],[Customer_Name]]),"N/A")</f>
        <v>4</v>
      </c>
      <c r="AB346">
        <f>SEARCH(" ",Table1[[#This Row],[Customer_Name]])</f>
        <v>5</v>
      </c>
      <c r="AC346" s="11">
        <f>IFERROR(FIND("a",Table1[[#This Row],[Customer_Name]]),"N/A")</f>
        <v>4</v>
      </c>
      <c r="AD346">
        <f>FIND(" ",Table1[[#This Row],[Customer_Name]])</f>
        <v>5</v>
      </c>
      <c r="AE346" t="str">
        <f>TRIM(Table1[[#This Row],[Customer_Name]])</f>
        <v>Riya Agarwal</v>
      </c>
      <c r="AF346">
        <f>LEN(Table1[[#This Row],[Trimmed]])</f>
        <v>12</v>
      </c>
      <c r="AG346">
        <f>MAX(Table1[Length])</f>
        <v>15</v>
      </c>
      <c r="AH346" t="str">
        <f>PROPER(Table1[[#This Row],[Customer_Name]])</f>
        <v>Riya Agarwal</v>
      </c>
      <c r="AI346" t="str">
        <f>LOWER(Table1[[#This Row],[Customer_Name]])</f>
        <v>riya agarwal</v>
      </c>
      <c r="AJ346" t="str">
        <f>UPPER(Table1[[#This Row],[Customer_Name]])</f>
        <v>RIYA AGARWAL</v>
      </c>
      <c r="AK346" t="str">
        <f>CONCATENATE(Table1[[#This Row],[Customer_ID]],Table1[[#This Row],[Customer_Name]])</f>
        <v>C1142Riya Agarwal</v>
      </c>
      <c r="AL346" t="s">
        <v>218</v>
      </c>
      <c r="AM346" t="s">
        <v>219</v>
      </c>
      <c r="AN346" t="s">
        <v>220</v>
      </c>
      <c r="AO346" t="s">
        <v>218</v>
      </c>
      <c r="AP346" t="s">
        <v>219</v>
      </c>
      <c r="AQ346" t="s">
        <v>304</v>
      </c>
      <c r="AR346" t="str">
        <f>TRIM(Table1[[#This Row],[City]])</f>
        <v>Chennai</v>
      </c>
      <c r="AS346" t="str">
        <f>PROPER(Table1[[#This Row],[City]])</f>
        <v>Chennai</v>
      </c>
      <c r="AT346" t="s">
        <v>305</v>
      </c>
      <c r="AU346" t="str">
        <f>CONCATENATE(Table1[[#This Row],[City]],Table1[[#This Row],[State]])</f>
        <v>ChennaiTamil Nadu</v>
      </c>
      <c r="AV346" t="s">
        <v>168</v>
      </c>
      <c r="AW346" t="s">
        <v>250</v>
      </c>
      <c r="AX346" t="str">
        <f>REPLACE(Table1[[#This Row],[Product_ID]],1,1,"s")</f>
        <v>s113</v>
      </c>
      <c r="AY346" t="s">
        <v>1512</v>
      </c>
      <c r="AZ346">
        <f>SEARCH("-",Table1[[#This Row],[Product ID]])</f>
        <v>2</v>
      </c>
      <c r="BA346">
        <f>FIND("-",Table1[[#This Row],[Product ID]])</f>
        <v>2</v>
      </c>
      <c r="BB346" t="str">
        <f>MID(Table1[[#This Row],[Product_ID]],2,3)</f>
        <v>113</v>
      </c>
      <c r="BC346" t="str">
        <f>RIGHT(Table1[[#This Row],[Product_ID]],3)</f>
        <v>113</v>
      </c>
      <c r="BD346" t="str">
        <f>LEFT(Table1[[#This Row],[Product_ID]],3)</f>
        <v>P11</v>
      </c>
      <c r="BE346" t="str">
        <f>_xlfn.XLOOKUP(Table1[[#This Row],[Product_ID]],AW:AW,BF:BF,,0)</f>
        <v>Desk Lamp</v>
      </c>
      <c r="BF346" t="s">
        <v>252</v>
      </c>
      <c r="BG346">
        <f>LEN(Table1[[#This Row],[Product_Name]])</f>
        <v>9</v>
      </c>
      <c r="BH346" t="s">
        <v>133</v>
      </c>
      <c r="BI346">
        <f t="shared" si="42"/>
        <v>75</v>
      </c>
      <c r="BJ346" t="str">
        <f>SUBSTITUTE(Table1[[#This Row],[Category]],"Electronics","ELECTRONICS")</f>
        <v>Home</v>
      </c>
      <c r="BN346" t="s">
        <v>253</v>
      </c>
      <c r="BS346" s="14">
        <v>2</v>
      </c>
      <c r="BT346" s="3">
        <v>1299</v>
      </c>
      <c r="BU346" s="4">
        <v>10</v>
      </c>
      <c r="BV346" s="4" t="str">
        <f>IF(AND(Table1[[#This Row],[Quantity]]&gt;=3,Table1[[#This Row],[Discount_%]]&gt;=15%),"Bulk Discount","no")</f>
        <v>no</v>
      </c>
      <c r="BW346" s="4" t="str">
        <f>IF(AND(Table1[[#This Row],[Quantity]]&gt;3,Table1[[#This Row],[Discount_%]]&gt;15%),"Bulk Customer","Normal")</f>
        <v>Normal</v>
      </c>
      <c r="BX346" t="s">
        <v>187</v>
      </c>
      <c r="BY346" t="s">
        <v>374</v>
      </c>
      <c r="CC346" t="str">
        <f>IF(OR(Table1[[#This Row],[Order_Status]]="Returned",Table1[[#This Row],[Order_Status]]="Cancelled"),"Attention Required","Not")</f>
        <v>Attention Required</v>
      </c>
      <c r="CD346" t="str">
        <f>IF(OR(Table1[[#This Row],[Order_Status]]="Returned",Table1[[#This Row],[Order_Status]]="Cancelled"),"Review","no")</f>
        <v>Review</v>
      </c>
      <c r="CE346" t="str">
        <f>SUBSTITUTE(Table1[[#This Row],[Order_Status]],"Delivered","Completed")</f>
        <v>Returned</v>
      </c>
      <c r="CF346" s="2">
        <v>45966</v>
      </c>
      <c r="CG346" s="17">
        <f>NETWORKDAYS(Table1[[#This Row],[Order_Date]],Table1[[#This Row],[Delivery_Date]])</f>
        <v>5</v>
      </c>
      <c r="CH346" s="17">
        <f>Table1[[#This Row],[Delivery_Date]]-Table1[[#This Row],[Order_Date]]</f>
        <v>6</v>
      </c>
      <c r="CI346" t="s">
        <v>375</v>
      </c>
      <c r="CJ346" t="str">
        <f>IF(Table1[[#This Row],[Rating]]&gt;=4,"Good","Needs Improvement")</f>
        <v>Needs Improvement</v>
      </c>
      <c r="CK346" t="str">
        <f>IF(OR(Table1[[#This Row],[Rating]]&lt;=2,Table1[[#This Row],[Profit]]&lt;0),"Review","NO")</f>
        <v>Review</v>
      </c>
      <c r="CL346" t="e" cm="1">
        <f t="array" ref="CL346">_xlfn.IFS(Table1[[#This Row],[Rating]]&gt;2,"Poor",Table1[[#This Row],[Rating]]=3,"Average",Table1[[#This Row],[Rating]]=4,"Good",CP346=5,"Excellent")</f>
        <v>#N/A</v>
      </c>
      <c r="CM346">
        <f>COUNT(Table1[[#This Row],[Rating]])</f>
        <v>1</v>
      </c>
      <c r="CN346">
        <f>COUNTBLANK(Table1[[#This Row],[Rating]])</f>
        <v>0</v>
      </c>
      <c r="CP346" t="s">
        <v>331</v>
      </c>
      <c r="CQ346" s="14">
        <v>1</v>
      </c>
      <c r="CR346" t="s">
        <v>139</v>
      </c>
      <c r="CS346" t="s">
        <v>140</v>
      </c>
      <c r="CU346" s="3">
        <v>2338.1999999999998</v>
      </c>
      <c r="CV346" s="3">
        <f>ROUND(Table1[[#This Row],[Sales_Amount]],0)</f>
        <v>2338</v>
      </c>
      <c r="CW346" s="3"/>
      <c r="CX346" s="3"/>
      <c r="CY346" s="3" t="b">
        <f>IF(AND(Table1[[#This Row],[Sales_Amount]]&gt;=10000,Table1[[#This Row],[Profit]]&gt;0),"Good Order")</f>
        <v>0</v>
      </c>
      <c r="CZ346" s="3" t="str">
        <f>IF(Table1[[#This Row],[Sales_Amount]]&gt;=10000,"High","Normal")</f>
        <v>Normal</v>
      </c>
      <c r="DA346" s="3">
        <v>1038.2</v>
      </c>
      <c r="DB346" s="3">
        <f>ROUND(Table1[[#This Row],[Profit]],0)</f>
        <v>1038</v>
      </c>
      <c r="DC346" s="3">
        <f>ABS(Table1[[#This Row],[Profit]])</f>
        <v>1038.2</v>
      </c>
      <c r="DD346" s="3"/>
      <c r="DE346" s="3"/>
      <c r="DF346" s="3"/>
      <c r="DG346" s="3" t="str">
        <f>IF(Table1[[#This Row],[Profit]]&gt;0,"Profit","Loss")</f>
        <v>Profit</v>
      </c>
      <c r="DH346" s="3" t="str">
        <f>IF(AND(Table1[[#This Row],[Sales_Amount]]&gt;=10000,Table1[[#This Row],[Profit]]&gt;0),"Priority","Normal")</f>
        <v>Normal</v>
      </c>
      <c r="DI346" s="3">
        <f t="shared" ca="1" si="37"/>
        <v>0.94224572025512121</v>
      </c>
      <c r="DJ346" s="3">
        <f t="shared" ca="1" si="38"/>
        <v>20</v>
      </c>
      <c r="DK346" s="3"/>
      <c r="DL346" s="3"/>
      <c r="DM346" s="3"/>
      <c r="DN346" s="3"/>
      <c r="DO346" s="3"/>
      <c r="DP346" s="3"/>
    </row>
    <row r="347" spans="1:120">
      <c r="A347" t="s">
        <v>1513</v>
      </c>
      <c r="B347" t="str">
        <f>REPLACE(Table1[[#This Row],[Order_ID]],1,3,"YOO")</f>
        <v>YOO10346</v>
      </c>
      <c r="C347" t="str">
        <f>MID(Table1[[#This Row],[Order_ID]],4,4)</f>
        <v>1034</v>
      </c>
      <c r="D347" t="str">
        <f>LEFT(Table1[[#This Row],[Order_ID]],4)</f>
        <v>ORD1</v>
      </c>
      <c r="E347" t="str">
        <f>RIGHT(Table1[[#This Row],[Order_ID]],5)</f>
        <v>10346</v>
      </c>
      <c r="F347" t="s">
        <v>5</v>
      </c>
      <c r="G347">
        <v>10346</v>
      </c>
      <c r="H347" t="s">
        <v>1514</v>
      </c>
      <c r="I347" s="2">
        <f>EDATE(Table1[[#This Row],[Order_Date]],3)</f>
        <v>46150</v>
      </c>
      <c r="J347" s="2">
        <f>EDATE(Table1[[#This Row],[Order_Date]],6)</f>
        <v>46242</v>
      </c>
      <c r="K347">
        <f ca="1">YEAR(Table1[[#This Row],[Today]])</f>
        <v>2026</v>
      </c>
      <c r="L347">
        <v>346</v>
      </c>
      <c r="M347">
        <f ca="1">DAY(Table1[[#This Row],[Today]])</f>
        <v>11</v>
      </c>
      <c r="N347" s="19">
        <f t="shared" ca="1" si="41"/>
        <v>46245.589795138891</v>
      </c>
      <c r="O347" s="2">
        <f t="shared" ca="1" si="36"/>
        <v>46245</v>
      </c>
      <c r="P347" s="17">
        <f ca="1">Table1[[#This Row],[Today]]-Table1[[#This Row],[Order_Date]]</f>
        <v>184</v>
      </c>
      <c r="Q347" s="2">
        <v>46003</v>
      </c>
      <c r="R347" s="2">
        <v>46061</v>
      </c>
      <c r="S347" s="6">
        <f t="shared" si="39"/>
        <v>2026</v>
      </c>
      <c r="T347" s="7" t="str">
        <f t="shared" si="40"/>
        <v>February</v>
      </c>
      <c r="U347" s="2">
        <f>WORKDAY(Table1[[#This Row],[Order_Date]],5)</f>
        <v>46066</v>
      </c>
      <c r="V347" s="7" t="str">
        <f>CONCATENATE(Table1[[#This Row],[Customer_ID]],Table1[[#This Row],[Customer_Name]])</f>
        <v>C1055Isha Kapoor</v>
      </c>
      <c r="W347" t="s">
        <v>468</v>
      </c>
      <c r="X347" t="s">
        <v>411</v>
      </c>
      <c r="Y347">
        <f>COUNTA(Table1[[#This Row],[Customer_Name]])</f>
        <v>1</v>
      </c>
      <c r="Z347" t="str">
        <f>SUBSTITUTE(Table1[[#This Row],[Customer_Name]]," ","_")</f>
        <v>Isha_Kapoor</v>
      </c>
      <c r="AA347" s="10">
        <f>IFERROR(SEARCH("a",Table1[[#This Row],[Customer_Name]]),"N/A")</f>
        <v>4</v>
      </c>
      <c r="AB347">
        <f>SEARCH(" ",Table1[[#This Row],[Customer_Name]])</f>
        <v>5</v>
      </c>
      <c r="AC347" s="11">
        <f>IFERROR(FIND("a",Table1[[#This Row],[Customer_Name]]),"N/A")</f>
        <v>4</v>
      </c>
      <c r="AD347">
        <f>FIND(" ",Table1[[#This Row],[Customer_Name]])</f>
        <v>5</v>
      </c>
      <c r="AE347" t="str">
        <f>TRIM(Table1[[#This Row],[Customer_Name]])</f>
        <v>Isha Kapoor</v>
      </c>
      <c r="AF347">
        <f>LEN(Table1[[#This Row],[Trimmed]])</f>
        <v>11</v>
      </c>
      <c r="AG347">
        <f>MAX(Table1[Length])</f>
        <v>15</v>
      </c>
      <c r="AH347" t="str">
        <f>PROPER(Table1[[#This Row],[Customer_Name]])</f>
        <v>Isha Kapoor</v>
      </c>
      <c r="AI347" t="str">
        <f>LOWER(Table1[[#This Row],[Customer_Name]])</f>
        <v>isha kapoor</v>
      </c>
      <c r="AJ347" t="str">
        <f>UPPER(Table1[[#This Row],[Customer_Name]])</f>
        <v>ISHA KAPOOR</v>
      </c>
      <c r="AK347" t="str">
        <f>CONCATENATE(Table1[[#This Row],[Customer_ID]],Table1[[#This Row],[Customer_Name]])</f>
        <v>C1055Isha Kapoor</v>
      </c>
      <c r="AL347" t="s">
        <v>412</v>
      </c>
      <c r="AM347" t="s">
        <v>413</v>
      </c>
      <c r="AN347" t="s">
        <v>414</v>
      </c>
      <c r="AO347" t="s">
        <v>412</v>
      </c>
      <c r="AP347" t="s">
        <v>413</v>
      </c>
      <c r="AQ347" t="s">
        <v>233</v>
      </c>
      <c r="AR347" t="str">
        <f>TRIM(Table1[[#This Row],[City]])</f>
        <v>Kolkata</v>
      </c>
      <c r="AS347" t="str">
        <f>PROPER(Table1[[#This Row],[City]])</f>
        <v>Kolkata</v>
      </c>
      <c r="AT347" t="s">
        <v>234</v>
      </c>
      <c r="AU347" t="str">
        <f>CONCATENATE(Table1[[#This Row],[City]],Table1[[#This Row],[State]])</f>
        <v>KolkataWest Bengal</v>
      </c>
      <c r="AV347" t="s">
        <v>235</v>
      </c>
      <c r="AW347" t="s">
        <v>363</v>
      </c>
      <c r="AX347" t="str">
        <f>REPLACE(Table1[[#This Row],[Product_ID]],1,1,"s")</f>
        <v>s110</v>
      </c>
      <c r="AY347" t="s">
        <v>1515</v>
      </c>
      <c r="AZ347">
        <f>SEARCH("-",Table1[[#This Row],[Product ID]])</f>
        <v>2</v>
      </c>
      <c r="BA347">
        <f>FIND("-",Table1[[#This Row],[Product ID]])</f>
        <v>2</v>
      </c>
      <c r="BB347" t="str">
        <f>MID(Table1[[#This Row],[Product_ID]],2,3)</f>
        <v>110</v>
      </c>
      <c r="BC347" t="str">
        <f>RIGHT(Table1[[#This Row],[Product_ID]],3)</f>
        <v>110</v>
      </c>
      <c r="BD347" t="str">
        <f>LEFT(Table1[[#This Row],[Product_ID]],3)</f>
        <v>P11</v>
      </c>
      <c r="BE347" t="str">
        <f>_xlfn.XLOOKUP(Table1[[#This Row],[Product_ID]],AW:AW,BF:BF,,0)</f>
        <v>Smart Watch</v>
      </c>
      <c r="BF347" t="s">
        <v>365</v>
      </c>
      <c r="BG347">
        <f>LEN(Table1[[#This Row],[Product_Name]])</f>
        <v>11</v>
      </c>
      <c r="BH347" t="s">
        <v>154</v>
      </c>
      <c r="BI347">
        <f t="shared" si="42"/>
        <v>75</v>
      </c>
      <c r="BJ347" t="str">
        <f>SUBSTITUTE(Table1[[#This Row],[Category]],"Electronics","ELECTRONICS")</f>
        <v>ELECTRONICS</v>
      </c>
      <c r="BN347" t="s">
        <v>366</v>
      </c>
      <c r="BS347" s="14">
        <v>5</v>
      </c>
      <c r="BT347" s="3">
        <v>4999</v>
      </c>
      <c r="BU347" s="4">
        <v>0</v>
      </c>
      <c r="BV347" s="4" t="str">
        <f>IF(AND(Table1[[#This Row],[Quantity]]&gt;=3,Table1[[#This Row],[Discount_%]]&gt;=15%),"Bulk Discount","no")</f>
        <v>no</v>
      </c>
      <c r="BW347" s="4" t="str">
        <f>IF(AND(Table1[[#This Row],[Quantity]]&gt;3,Table1[[#This Row],[Discount_%]]&gt;15%),"Bulk Customer","Normal")</f>
        <v>Normal</v>
      </c>
      <c r="BX347" t="s">
        <v>135</v>
      </c>
      <c r="BY347" t="s">
        <v>136</v>
      </c>
      <c r="CC347" t="str">
        <f>IF(OR(Table1[[#This Row],[Order_Status]]="Returned",Table1[[#This Row],[Order_Status]]="Cancelled"),"Attention Required","Not")</f>
        <v>Not</v>
      </c>
      <c r="CD347" t="str">
        <f>IF(OR(Table1[[#This Row],[Order_Status]]="Returned",Table1[[#This Row],[Order_Status]]="Cancelled"),"Review","no")</f>
        <v>no</v>
      </c>
      <c r="CE347" t="str">
        <f>SUBSTITUTE(Table1[[#This Row],[Order_Status]],"Delivered","Completed")</f>
        <v>Completed</v>
      </c>
      <c r="CF347" s="2">
        <v>46065</v>
      </c>
      <c r="CG347" s="17">
        <f>NETWORKDAYS(Table1[[#This Row],[Order_Date]],Table1[[#This Row],[Delivery_Date]])</f>
        <v>4</v>
      </c>
      <c r="CH347" s="17">
        <f>Table1[[#This Row],[Delivery_Date]]-Table1[[#This Row],[Order_Date]]</f>
        <v>4</v>
      </c>
      <c r="CI347" t="s">
        <v>137</v>
      </c>
      <c r="CJ347" t="str">
        <f>IF(Table1[[#This Row],[Rating]]&gt;=4,"Good","Needs Improvement")</f>
        <v>Good</v>
      </c>
      <c r="CK347" t="str">
        <f>IF(OR(Table1[[#This Row],[Rating]]&lt;=2,Table1[[#This Row],[Profit]]&lt;0),"Review","NO")</f>
        <v>NO</v>
      </c>
      <c r="CL347" t="str" cm="1">
        <f t="array" ref="CL347">_xlfn.IFS(Table1[[#This Row],[Rating]]&gt;2,"Poor",Table1[[#This Row],[Rating]]=3,"Average",Table1[[#This Row],[Rating]]=4,"Good",CP347=5,"Excellent")</f>
        <v>Poor</v>
      </c>
      <c r="CM347">
        <f>COUNT(Table1[[#This Row],[Rating]])</f>
        <v>1</v>
      </c>
      <c r="CN347">
        <f>COUNTBLANK(Table1[[#This Row],[Rating]])</f>
        <v>0</v>
      </c>
      <c r="CP347" t="s">
        <v>194</v>
      </c>
      <c r="CQ347" s="14">
        <v>5</v>
      </c>
      <c r="CR347" t="s">
        <v>139</v>
      </c>
      <c r="CS347" t="s">
        <v>158</v>
      </c>
      <c r="CU347" s="3">
        <v>24995</v>
      </c>
      <c r="CV347" s="3">
        <f>ROUND(Table1[[#This Row],[Sales_Amount]],0)</f>
        <v>24995</v>
      </c>
      <c r="CW347" s="3"/>
      <c r="CX347" s="3"/>
      <c r="CY347" s="3" t="str">
        <f>IF(AND(Table1[[#This Row],[Sales_Amount]]&gt;=10000,Table1[[#This Row],[Profit]]&gt;0),"Good Order")</f>
        <v>Good Order</v>
      </c>
      <c r="CZ347" s="3" t="str">
        <f>IF(Table1[[#This Row],[Sales_Amount]]&gt;=10000,"High","Normal")</f>
        <v>High</v>
      </c>
      <c r="DA347" s="3">
        <v>9495</v>
      </c>
      <c r="DB347" s="3">
        <f>ROUND(Table1[[#This Row],[Profit]],0)</f>
        <v>9495</v>
      </c>
      <c r="DC347" s="3">
        <f>ABS(Table1[[#This Row],[Profit]])</f>
        <v>9495</v>
      </c>
      <c r="DD347" s="3"/>
      <c r="DE347" s="3"/>
      <c r="DF347" s="3"/>
      <c r="DG347" s="3" t="str">
        <f>IF(Table1[[#This Row],[Profit]]&gt;0,"Profit","Loss")</f>
        <v>Profit</v>
      </c>
      <c r="DH347" s="3" t="str">
        <f>IF(AND(Table1[[#This Row],[Sales_Amount]]&gt;=10000,Table1[[#This Row],[Profit]]&gt;0),"Priority","Normal")</f>
        <v>Priority</v>
      </c>
      <c r="DI347" s="3">
        <f t="shared" ca="1" si="37"/>
        <v>0.45223160114923444</v>
      </c>
      <c r="DJ347" s="3">
        <f t="shared" ca="1" si="38"/>
        <v>89</v>
      </c>
      <c r="DK347" s="3"/>
      <c r="DL347" s="3"/>
      <c r="DM347" s="3"/>
      <c r="DN347" s="3"/>
      <c r="DO347" s="3"/>
      <c r="DP347" s="3"/>
    </row>
    <row r="348" spans="1:120">
      <c r="A348" t="s">
        <v>1516</v>
      </c>
      <c r="B348" t="str">
        <f>REPLACE(Table1[[#This Row],[Order_ID]],1,3,"YOO")</f>
        <v>YOO10347</v>
      </c>
      <c r="C348" t="str">
        <f>MID(Table1[[#This Row],[Order_ID]],4,4)</f>
        <v>1034</v>
      </c>
      <c r="D348" t="str">
        <f>LEFT(Table1[[#This Row],[Order_ID]],4)</f>
        <v>ORD1</v>
      </c>
      <c r="E348" t="str">
        <f>RIGHT(Table1[[#This Row],[Order_ID]],5)</f>
        <v>10347</v>
      </c>
      <c r="F348" t="s">
        <v>5</v>
      </c>
      <c r="G348">
        <v>10347</v>
      </c>
      <c r="H348" t="s">
        <v>1517</v>
      </c>
      <c r="I348" s="2">
        <f>EDATE(Table1[[#This Row],[Order_Date]],3)</f>
        <v>46007</v>
      </c>
      <c r="J348" s="2">
        <f>EDATE(Table1[[#This Row],[Order_Date]],6)</f>
        <v>46097</v>
      </c>
      <c r="K348">
        <f ca="1">YEAR(Table1[[#This Row],[Today]])</f>
        <v>2026</v>
      </c>
      <c r="L348">
        <v>347</v>
      </c>
      <c r="M348">
        <f ca="1">DAY(Table1[[#This Row],[Today]])</f>
        <v>11</v>
      </c>
      <c r="N348" s="19">
        <f t="shared" ca="1" si="41"/>
        <v>46245.589795370368</v>
      </c>
      <c r="O348" s="2">
        <f t="shared" ca="1" si="36"/>
        <v>46245</v>
      </c>
      <c r="P348" s="17">
        <f ca="1">Table1[[#This Row],[Today]]-Table1[[#This Row],[Order_Date]]</f>
        <v>329</v>
      </c>
      <c r="Q348" s="2">
        <v>46004</v>
      </c>
      <c r="R348" s="2">
        <v>45916</v>
      </c>
      <c r="S348" s="6">
        <f t="shared" si="39"/>
        <v>2025</v>
      </c>
      <c r="T348" s="7" t="str">
        <f t="shared" si="40"/>
        <v>September</v>
      </c>
      <c r="U348" s="2">
        <f>WORKDAY(Table1[[#This Row],[Order_Date]],5)</f>
        <v>45923</v>
      </c>
      <c r="V348" s="7" t="str">
        <f>CONCATENATE(Table1[[#This Row],[Customer_ID]],Table1[[#This Row],[Customer_Name]])</f>
        <v>C1141Aman Singh</v>
      </c>
      <c r="W348" t="s">
        <v>317</v>
      </c>
      <c r="X348" t="s">
        <v>123</v>
      </c>
      <c r="Y348">
        <f>COUNTA(Table1[[#This Row],[Customer_Name]])</f>
        <v>1</v>
      </c>
      <c r="Z348" t="str">
        <f>SUBSTITUTE(Table1[[#This Row],[Customer_Name]]," ","_")</f>
        <v>Aman_Singh</v>
      </c>
      <c r="AA348" s="10">
        <f>IFERROR(SEARCH("a",Table1[[#This Row],[Customer_Name]]),"N/A")</f>
        <v>1</v>
      </c>
      <c r="AB348">
        <f>SEARCH(" ",Table1[[#This Row],[Customer_Name]])</f>
        <v>5</v>
      </c>
      <c r="AC348" s="11">
        <f>IFERROR(FIND("a",Table1[[#This Row],[Customer_Name]]),"N/A")</f>
        <v>3</v>
      </c>
      <c r="AD348">
        <f>FIND(" ",Table1[[#This Row],[Customer_Name]])</f>
        <v>5</v>
      </c>
      <c r="AE348" t="str">
        <f>TRIM(Table1[[#This Row],[Customer_Name]])</f>
        <v>Aman Singh</v>
      </c>
      <c r="AF348">
        <f>LEN(Table1[[#This Row],[Trimmed]])</f>
        <v>10</v>
      </c>
      <c r="AG348">
        <f>MAX(Table1[Length])</f>
        <v>15</v>
      </c>
      <c r="AH348" t="str">
        <f>PROPER(Table1[[#This Row],[Customer_Name]])</f>
        <v>Aman Singh</v>
      </c>
      <c r="AI348" t="str">
        <f>LOWER(Table1[[#This Row],[Customer_Name]])</f>
        <v>aman singh</v>
      </c>
      <c r="AJ348" t="str">
        <f>UPPER(Table1[[#This Row],[Customer_Name]])</f>
        <v>AMAN SINGH</v>
      </c>
      <c r="AK348" t="str">
        <f>CONCATENATE(Table1[[#This Row],[Customer_ID]],Table1[[#This Row],[Customer_Name]])</f>
        <v>C1141Aman Singh</v>
      </c>
      <c r="AL348" t="s">
        <v>124</v>
      </c>
      <c r="AM348" t="s">
        <v>125</v>
      </c>
      <c r="AN348" t="s">
        <v>126</v>
      </c>
      <c r="AO348" t="s">
        <v>124</v>
      </c>
      <c r="AP348" t="s">
        <v>125</v>
      </c>
      <c r="AQ348" t="s">
        <v>233</v>
      </c>
      <c r="AR348" t="str">
        <f>TRIM(Table1[[#This Row],[City]])</f>
        <v>Kolkata</v>
      </c>
      <c r="AS348" t="str">
        <f>PROPER(Table1[[#This Row],[City]])</f>
        <v>Kolkata</v>
      </c>
      <c r="AT348" t="s">
        <v>234</v>
      </c>
      <c r="AU348" t="str">
        <f>CONCATENATE(Table1[[#This Row],[City]],Table1[[#This Row],[State]])</f>
        <v>KolkataWest Bengal</v>
      </c>
      <c r="AV348" t="s">
        <v>235</v>
      </c>
      <c r="AW348" t="s">
        <v>201</v>
      </c>
      <c r="AX348" t="str">
        <f>REPLACE(Table1[[#This Row],[Product_ID]],1,1,"s")</f>
        <v>s104</v>
      </c>
      <c r="AY348" t="s">
        <v>1518</v>
      </c>
      <c r="AZ348">
        <f>SEARCH("-",Table1[[#This Row],[Product ID]])</f>
        <v>2</v>
      </c>
      <c r="BA348">
        <f>FIND("-",Table1[[#This Row],[Product ID]])</f>
        <v>2</v>
      </c>
      <c r="BB348" t="str">
        <f>MID(Table1[[#This Row],[Product_ID]],2,3)</f>
        <v>104</v>
      </c>
      <c r="BC348" t="str">
        <f>RIGHT(Table1[[#This Row],[Product_ID]],3)</f>
        <v>104</v>
      </c>
      <c r="BD348" t="str">
        <f>LEFT(Table1[[#This Row],[Product_ID]],3)</f>
        <v>P10</v>
      </c>
      <c r="BE348" t="str">
        <f>_xlfn.XLOOKUP(Table1[[#This Row],[Product_ID]],AW:AW,BF:BF,,0)</f>
        <v>USB-C Hub</v>
      </c>
      <c r="BF348" t="s">
        <v>203</v>
      </c>
      <c r="BG348">
        <f>LEN(Table1[[#This Row],[Product_Name]])</f>
        <v>9</v>
      </c>
      <c r="BH348" t="s">
        <v>154</v>
      </c>
      <c r="BI348">
        <f t="shared" si="42"/>
        <v>75</v>
      </c>
      <c r="BJ348" t="str">
        <f>SUBSTITUTE(Table1[[#This Row],[Category]],"Electronics","ELECTRONICS")</f>
        <v>ELECTRONICS</v>
      </c>
      <c r="BN348" t="s">
        <v>155</v>
      </c>
      <c r="BS348" s="14">
        <v>2</v>
      </c>
      <c r="BT348" s="3">
        <v>1899</v>
      </c>
      <c r="BU348" s="4">
        <v>0</v>
      </c>
      <c r="BV348" s="4" t="str">
        <f>IF(AND(Table1[[#This Row],[Quantity]]&gt;=3,Table1[[#This Row],[Discount_%]]&gt;=15%),"Bulk Discount","no")</f>
        <v>no</v>
      </c>
      <c r="BW348" s="4" t="str">
        <f>IF(AND(Table1[[#This Row],[Quantity]]&gt;3,Table1[[#This Row],[Discount_%]]&gt;15%),"Bulk Customer","Normal")</f>
        <v>Normal</v>
      </c>
      <c r="BX348" t="s">
        <v>192</v>
      </c>
      <c r="BY348" t="s">
        <v>136</v>
      </c>
      <c r="CC348" t="str">
        <f>IF(OR(Table1[[#This Row],[Order_Status]]="Returned",Table1[[#This Row],[Order_Status]]="Cancelled"),"Attention Required","Not")</f>
        <v>Not</v>
      </c>
      <c r="CD348" t="str">
        <f>IF(OR(Table1[[#This Row],[Order_Status]]="Returned",Table1[[#This Row],[Order_Status]]="Cancelled"),"Review","no")</f>
        <v>no</v>
      </c>
      <c r="CE348" t="str">
        <f>SUBSTITUTE(Table1[[#This Row],[Order_Status]],"Delivered","Completed")</f>
        <v>Completed</v>
      </c>
      <c r="CF348" s="2">
        <v>45917</v>
      </c>
      <c r="CG348" s="17">
        <f>NETWORKDAYS(Table1[[#This Row],[Order_Date]],Table1[[#This Row],[Delivery_Date]])</f>
        <v>2</v>
      </c>
      <c r="CH348" s="17">
        <f>Table1[[#This Row],[Delivery_Date]]-Table1[[#This Row],[Order_Date]]</f>
        <v>1</v>
      </c>
      <c r="CI348" t="s">
        <v>137</v>
      </c>
      <c r="CJ348" t="str">
        <f>IF(Table1[[#This Row],[Rating]]&gt;=4,"Good","Needs Improvement")</f>
        <v>Needs Improvement</v>
      </c>
      <c r="CK348" t="str">
        <f>IF(OR(Table1[[#This Row],[Rating]]&lt;=2,Table1[[#This Row],[Profit]]&lt;0),"Review","NO")</f>
        <v>Review</v>
      </c>
      <c r="CL348" t="e" cm="1">
        <f t="array" ref="CL348">_xlfn.IFS(Table1[[#This Row],[Rating]]&gt;2,"Poor",Table1[[#This Row],[Rating]]=3,"Average",Table1[[#This Row],[Rating]]=4,"Good",CP348=5,"Excellent")</f>
        <v>#N/A</v>
      </c>
      <c r="CM348">
        <f>COUNT(Table1[[#This Row],[Rating]])</f>
        <v>0</v>
      </c>
      <c r="CN348">
        <f>COUNTBLANK(Table1[[#This Row],[Rating]])</f>
        <v>1</v>
      </c>
      <c r="CR348" t="s">
        <v>139</v>
      </c>
      <c r="CS348" t="s">
        <v>195</v>
      </c>
      <c r="CU348" s="3">
        <v>3798</v>
      </c>
      <c r="CV348" s="3">
        <f>ROUND(Table1[[#This Row],[Sales_Amount]],0)</f>
        <v>3798</v>
      </c>
      <c r="CW348" s="3"/>
      <c r="CX348" s="3"/>
      <c r="CY348" s="3" t="b">
        <f>IF(AND(Table1[[#This Row],[Sales_Amount]]&gt;=10000,Table1[[#This Row],[Profit]]&gt;0),"Good Order")</f>
        <v>0</v>
      </c>
      <c r="CZ348" s="3" t="str">
        <f>IF(Table1[[#This Row],[Sales_Amount]]&gt;=10000,"High","Normal")</f>
        <v>Normal</v>
      </c>
      <c r="DA348" s="3">
        <v>1598</v>
      </c>
      <c r="DB348" s="3">
        <f>ROUND(Table1[[#This Row],[Profit]],0)</f>
        <v>1598</v>
      </c>
      <c r="DC348" s="3">
        <f>ABS(Table1[[#This Row],[Profit]])</f>
        <v>1598</v>
      </c>
      <c r="DD348" s="3"/>
      <c r="DE348" s="3"/>
      <c r="DF348" s="3"/>
      <c r="DG348" s="3" t="str">
        <f>IF(Table1[[#This Row],[Profit]]&gt;0,"Profit","Loss")</f>
        <v>Profit</v>
      </c>
      <c r="DH348" s="3" t="str">
        <f>IF(AND(Table1[[#This Row],[Sales_Amount]]&gt;=10000,Table1[[#This Row],[Profit]]&gt;0),"Priority","Normal")</f>
        <v>Normal</v>
      </c>
      <c r="DI348" s="3">
        <f t="shared" ca="1" si="37"/>
        <v>0.718242528289739</v>
      </c>
      <c r="DJ348" s="3">
        <f t="shared" ca="1" si="38"/>
        <v>40</v>
      </c>
      <c r="DK348" s="3"/>
      <c r="DL348" s="3"/>
      <c r="DM348" s="3"/>
      <c r="DN348" s="3"/>
      <c r="DO348" s="3"/>
      <c r="DP348" s="3"/>
    </row>
    <row r="349" spans="1:120">
      <c r="A349" t="s">
        <v>1519</v>
      </c>
      <c r="B349" t="str">
        <f>REPLACE(Table1[[#This Row],[Order_ID]],1,3,"YOO")</f>
        <v>YOO10348</v>
      </c>
      <c r="C349" t="str">
        <f>MID(Table1[[#This Row],[Order_ID]],4,4)</f>
        <v>1034</v>
      </c>
      <c r="D349" t="str">
        <f>LEFT(Table1[[#This Row],[Order_ID]],4)</f>
        <v>ORD1</v>
      </c>
      <c r="E349" t="str">
        <f>RIGHT(Table1[[#This Row],[Order_ID]],5)</f>
        <v>10348</v>
      </c>
      <c r="F349" t="s">
        <v>5</v>
      </c>
      <c r="G349">
        <v>10348</v>
      </c>
      <c r="H349" t="s">
        <v>1520</v>
      </c>
      <c r="I349" s="2">
        <f>EDATE(Table1[[#This Row],[Order_Date]],3)</f>
        <v>46248</v>
      </c>
      <c r="J349" s="2">
        <f>EDATE(Table1[[#This Row],[Order_Date]],6)</f>
        <v>46340</v>
      </c>
      <c r="K349">
        <f ca="1">YEAR(Table1[[#This Row],[Today]])</f>
        <v>2026</v>
      </c>
      <c r="L349">
        <v>348</v>
      </c>
      <c r="M349">
        <f ca="1">DAY(Table1[[#This Row],[Today]])</f>
        <v>11</v>
      </c>
      <c r="N349" s="19">
        <f t="shared" ca="1" si="41"/>
        <v>46245.589795370368</v>
      </c>
      <c r="O349" s="2">
        <f t="shared" ca="1" si="36"/>
        <v>46245</v>
      </c>
      <c r="P349" s="17">
        <f ca="1">Table1[[#This Row],[Today]]-Table1[[#This Row],[Order_Date]]</f>
        <v>89</v>
      </c>
      <c r="Q349" s="2">
        <v>46005</v>
      </c>
      <c r="R349" s="2">
        <v>46156</v>
      </c>
      <c r="S349" s="6">
        <f t="shared" si="39"/>
        <v>2026</v>
      </c>
      <c r="T349" s="7" t="str">
        <f t="shared" si="40"/>
        <v>May</v>
      </c>
      <c r="U349" s="2">
        <f>WORKDAY(Table1[[#This Row],[Order_Date]],5)</f>
        <v>46163</v>
      </c>
      <c r="V349" s="7" t="str">
        <f>CONCATENATE(Table1[[#This Row],[Customer_ID]],Table1[[#This Row],[Customer_Name]])</f>
        <v>C1073Meera Nair</v>
      </c>
      <c r="W349" t="s">
        <v>1521</v>
      </c>
      <c r="X349" t="s">
        <v>429</v>
      </c>
      <c r="Y349">
        <f>COUNTA(Table1[[#This Row],[Customer_Name]])</f>
        <v>1</v>
      </c>
      <c r="Z349" t="str">
        <f>SUBSTITUTE(Table1[[#This Row],[Customer_Name]]," ","_")</f>
        <v>Meera_Nair</v>
      </c>
      <c r="AA349" s="10">
        <f>IFERROR(SEARCH("a",Table1[[#This Row],[Customer_Name]]),"N/A")</f>
        <v>5</v>
      </c>
      <c r="AB349">
        <f>SEARCH(" ",Table1[[#This Row],[Customer_Name]])</f>
        <v>6</v>
      </c>
      <c r="AC349" s="11">
        <f>IFERROR(FIND("a",Table1[[#This Row],[Customer_Name]]),"N/A")</f>
        <v>5</v>
      </c>
      <c r="AD349">
        <f>FIND(" ",Table1[[#This Row],[Customer_Name]])</f>
        <v>6</v>
      </c>
      <c r="AE349" t="str">
        <f>TRIM(Table1[[#This Row],[Customer_Name]])</f>
        <v>Meera Nair</v>
      </c>
      <c r="AF349">
        <f>LEN(Table1[[#This Row],[Trimmed]])</f>
        <v>10</v>
      </c>
      <c r="AG349">
        <f>MAX(Table1[Length])</f>
        <v>15</v>
      </c>
      <c r="AH349" t="str">
        <f>PROPER(Table1[[#This Row],[Customer_Name]])</f>
        <v>Meera Nair</v>
      </c>
      <c r="AI349" t="str">
        <f>LOWER(Table1[[#This Row],[Customer_Name]])</f>
        <v>meera nair</v>
      </c>
      <c r="AJ349" t="str">
        <f>UPPER(Table1[[#This Row],[Customer_Name]])</f>
        <v>MEERA NAIR</v>
      </c>
      <c r="AK349" t="str">
        <f>CONCATENATE(Table1[[#This Row],[Customer_ID]],Table1[[#This Row],[Customer_Name]])</f>
        <v>C1073Meera Nair</v>
      </c>
      <c r="AL349" t="s">
        <v>430</v>
      </c>
      <c r="AM349" t="s">
        <v>431</v>
      </c>
      <c r="AN349" t="s">
        <v>432</v>
      </c>
      <c r="AO349" t="s">
        <v>430</v>
      </c>
      <c r="AP349" t="s">
        <v>431</v>
      </c>
      <c r="AQ349" t="s">
        <v>148</v>
      </c>
      <c r="AR349" t="str">
        <f>TRIM(Table1[[#This Row],[City]])</f>
        <v>Jaipur</v>
      </c>
      <c r="AS349" t="str">
        <f>PROPER(Table1[[#This Row],[City]])</f>
        <v>Jaipur</v>
      </c>
      <c r="AT349" t="s">
        <v>149</v>
      </c>
      <c r="AU349" t="str">
        <f>CONCATENATE(Table1[[#This Row],[City]],Table1[[#This Row],[State]])</f>
        <v>JaipurRajasthan</v>
      </c>
      <c r="AV349" t="s">
        <v>150</v>
      </c>
      <c r="AW349" t="s">
        <v>151</v>
      </c>
      <c r="AX349" t="str">
        <f>REPLACE(Table1[[#This Row],[Product_ID]],1,1,"s")</f>
        <v>s102</v>
      </c>
      <c r="AY349" t="s">
        <v>1522</v>
      </c>
      <c r="AZ349">
        <f>SEARCH("-",Table1[[#This Row],[Product ID]])</f>
        <v>2</v>
      </c>
      <c r="BA349">
        <f>FIND("-",Table1[[#This Row],[Product ID]])</f>
        <v>2</v>
      </c>
      <c r="BB349" t="str">
        <f>MID(Table1[[#This Row],[Product_ID]],2,3)</f>
        <v>102</v>
      </c>
      <c r="BC349" t="str">
        <f>RIGHT(Table1[[#This Row],[Product_ID]],3)</f>
        <v>102</v>
      </c>
      <c r="BD349" t="str">
        <f>LEFT(Table1[[#This Row],[Product_ID]],3)</f>
        <v>P10</v>
      </c>
      <c r="BE349" t="str">
        <f>_xlfn.XLOOKUP(Table1[[#This Row],[Product_ID]],AW:AW,BF:BF,,0)</f>
        <v>Mechanical Keyboard</v>
      </c>
      <c r="BF349" t="s">
        <v>153</v>
      </c>
      <c r="BG349">
        <f>LEN(Table1[[#This Row],[Product_Name]])</f>
        <v>19</v>
      </c>
      <c r="BH349" t="s">
        <v>154</v>
      </c>
      <c r="BI349">
        <f t="shared" si="42"/>
        <v>75</v>
      </c>
      <c r="BJ349" t="str">
        <f>SUBSTITUTE(Table1[[#This Row],[Category]],"Electronics","ELECTRONICS")</f>
        <v>ELECTRONICS</v>
      </c>
      <c r="BN349" t="s">
        <v>155</v>
      </c>
      <c r="BS349" s="14">
        <v>3</v>
      </c>
      <c r="BT349" s="3">
        <v>2499</v>
      </c>
      <c r="BU349" s="4">
        <v>15</v>
      </c>
      <c r="BV349" s="4" t="str">
        <f>IF(AND(Table1[[#This Row],[Quantity]]&gt;=3,Table1[[#This Row],[Discount_%]]&gt;=15%),"Bulk Discount","no")</f>
        <v>Bulk Discount</v>
      </c>
      <c r="BW349" s="4" t="str">
        <f>IF(AND(Table1[[#This Row],[Quantity]]&gt;3,Table1[[#This Row],[Discount_%]]&gt;15%),"Bulk Customer","Normal")</f>
        <v>Normal</v>
      </c>
      <c r="BX349" t="s">
        <v>172</v>
      </c>
      <c r="BY349" t="s">
        <v>136</v>
      </c>
      <c r="CC349" t="str">
        <f>IF(OR(Table1[[#This Row],[Order_Status]]="Returned",Table1[[#This Row],[Order_Status]]="Cancelled"),"Attention Required","Not")</f>
        <v>Not</v>
      </c>
      <c r="CD349" t="str">
        <f>IF(OR(Table1[[#This Row],[Order_Status]]="Returned",Table1[[#This Row],[Order_Status]]="Cancelled"),"Review","no")</f>
        <v>no</v>
      </c>
      <c r="CE349" t="str">
        <f>SUBSTITUTE(Table1[[#This Row],[Order_Status]],"Delivered","Completed")</f>
        <v>Completed</v>
      </c>
      <c r="CF349" s="2">
        <v>46160</v>
      </c>
      <c r="CG349" s="17">
        <f>NETWORKDAYS(Table1[[#This Row],[Order_Date]],Table1[[#This Row],[Delivery_Date]])</f>
        <v>3</v>
      </c>
      <c r="CH349" s="17">
        <f>Table1[[#This Row],[Delivery_Date]]-Table1[[#This Row],[Order_Date]]</f>
        <v>4</v>
      </c>
      <c r="CI349" t="s">
        <v>137</v>
      </c>
      <c r="CJ349" t="str">
        <f>IF(Table1[[#This Row],[Rating]]&gt;=4,"Good","Needs Improvement")</f>
        <v>Needs Improvement</v>
      </c>
      <c r="CK349" t="str">
        <f>IF(OR(Table1[[#This Row],[Rating]]&lt;=2,Table1[[#This Row],[Profit]]&lt;0),"Review","NO")</f>
        <v>Review</v>
      </c>
      <c r="CL349" t="e" cm="1">
        <f t="array" ref="CL349">_xlfn.IFS(Table1[[#This Row],[Rating]]&gt;2,"Poor",Table1[[#This Row],[Rating]]=3,"Average",Table1[[#This Row],[Rating]]=4,"Good",CP349=5,"Excellent")</f>
        <v>#N/A</v>
      </c>
      <c r="CM349">
        <f>COUNT(Table1[[#This Row],[Rating]])</f>
        <v>1</v>
      </c>
      <c r="CN349">
        <f>COUNTBLANK(Table1[[#This Row],[Rating]])</f>
        <v>0</v>
      </c>
      <c r="CP349" t="s">
        <v>194</v>
      </c>
      <c r="CQ349" s="14">
        <v>2</v>
      </c>
      <c r="CR349" t="s">
        <v>173</v>
      </c>
      <c r="CS349" t="s">
        <v>267</v>
      </c>
      <c r="CU349" s="3">
        <v>6372.45</v>
      </c>
      <c r="CV349" s="3">
        <f>ROUND(Table1[[#This Row],[Sales_Amount]],0)</f>
        <v>6372</v>
      </c>
      <c r="CW349" s="3"/>
      <c r="CX349" s="3"/>
      <c r="CY349" s="3" t="b">
        <f>IF(AND(Table1[[#This Row],[Sales_Amount]]&gt;=10000,Table1[[#This Row],[Profit]]&gt;0),"Good Order")</f>
        <v>0</v>
      </c>
      <c r="CZ349" s="3" t="str">
        <f>IF(Table1[[#This Row],[Sales_Amount]]&gt;=10000,"High","Normal")</f>
        <v>Normal</v>
      </c>
      <c r="DA349" s="3">
        <v>2022.45</v>
      </c>
      <c r="DB349" s="3">
        <f>ROUND(Table1[[#This Row],[Profit]],0)</f>
        <v>2022</v>
      </c>
      <c r="DC349" s="3">
        <f>ABS(Table1[[#This Row],[Profit]])</f>
        <v>2022.45</v>
      </c>
      <c r="DD349" s="3"/>
      <c r="DE349" s="3"/>
      <c r="DF349" s="3"/>
      <c r="DG349" s="3" t="str">
        <f>IF(Table1[[#This Row],[Profit]]&gt;0,"Profit","Loss")</f>
        <v>Profit</v>
      </c>
      <c r="DH349" s="3" t="str">
        <f>IF(AND(Table1[[#This Row],[Sales_Amount]]&gt;=10000,Table1[[#This Row],[Profit]]&gt;0),"Priority","Normal")</f>
        <v>Normal</v>
      </c>
      <c r="DI349" s="3">
        <f t="shared" ca="1" si="37"/>
        <v>0.43159416924555372</v>
      </c>
      <c r="DJ349" s="3">
        <f t="shared" ca="1" si="38"/>
        <v>21</v>
      </c>
      <c r="DK349" s="3"/>
      <c r="DL349" s="3"/>
      <c r="DM349" s="3"/>
      <c r="DN349" s="3"/>
      <c r="DO349" s="3"/>
      <c r="DP349" s="3"/>
    </row>
    <row r="350" spans="1:120">
      <c r="A350" t="s">
        <v>1523</v>
      </c>
      <c r="B350" t="str">
        <f>REPLACE(Table1[[#This Row],[Order_ID]],1,3,"YOO")</f>
        <v>YOO10349</v>
      </c>
      <c r="C350" t="str">
        <f>MID(Table1[[#This Row],[Order_ID]],4,4)</f>
        <v>1034</v>
      </c>
      <c r="D350" t="str">
        <f>LEFT(Table1[[#This Row],[Order_ID]],4)</f>
        <v>ORD1</v>
      </c>
      <c r="E350" t="str">
        <f>RIGHT(Table1[[#This Row],[Order_ID]],5)</f>
        <v>10349</v>
      </c>
      <c r="F350" t="s">
        <v>5</v>
      </c>
      <c r="G350">
        <v>10349</v>
      </c>
      <c r="H350" t="s">
        <v>1524</v>
      </c>
      <c r="I350" s="2">
        <f>EDATE(Table1[[#This Row],[Order_Date]],3)</f>
        <v>46063</v>
      </c>
      <c r="J350" s="2">
        <f>EDATE(Table1[[#This Row],[Order_Date]],6)</f>
        <v>46152</v>
      </c>
      <c r="K350">
        <f ca="1">YEAR(Table1[[#This Row],[Today]])</f>
        <v>2026</v>
      </c>
      <c r="L350">
        <v>349</v>
      </c>
      <c r="M350">
        <f ca="1">DAY(Table1[[#This Row],[Today]])</f>
        <v>11</v>
      </c>
      <c r="N350" s="19">
        <f t="shared" ca="1" si="41"/>
        <v>46245.589795138891</v>
      </c>
      <c r="O350" s="2">
        <f t="shared" ca="1" si="36"/>
        <v>46245</v>
      </c>
      <c r="P350" s="17">
        <f ca="1">Table1[[#This Row],[Today]]-Table1[[#This Row],[Order_Date]]</f>
        <v>274</v>
      </c>
      <c r="Q350" s="2">
        <v>46006</v>
      </c>
      <c r="R350" s="2">
        <v>45971</v>
      </c>
      <c r="S350" s="6">
        <f t="shared" si="39"/>
        <v>2025</v>
      </c>
      <c r="T350" s="7" t="str">
        <f t="shared" si="40"/>
        <v>November</v>
      </c>
      <c r="U350" s="2">
        <f>WORKDAY(Table1[[#This Row],[Order_Date]],5)</f>
        <v>45978</v>
      </c>
      <c r="V350" s="7" t="str">
        <f>CONCATENATE(Table1[[#This Row],[Customer_ID]],Table1[[#This Row],[Customer_Name]])</f>
        <v>C1110Simran Kaur</v>
      </c>
      <c r="W350" t="s">
        <v>692</v>
      </c>
      <c r="X350" t="s">
        <v>325</v>
      </c>
      <c r="Y350">
        <f>COUNTA(Table1[[#This Row],[Customer_Name]])</f>
        <v>1</v>
      </c>
      <c r="Z350" t="str">
        <f>SUBSTITUTE(Table1[[#This Row],[Customer_Name]]," ","_")</f>
        <v>Simran_Kaur</v>
      </c>
      <c r="AA350" s="10">
        <f>IFERROR(SEARCH("a",Table1[[#This Row],[Customer_Name]]),"N/A")</f>
        <v>5</v>
      </c>
      <c r="AB350">
        <f>SEARCH(" ",Table1[[#This Row],[Customer_Name]])</f>
        <v>7</v>
      </c>
      <c r="AC350" s="11">
        <f>IFERROR(FIND("a",Table1[[#This Row],[Customer_Name]]),"N/A")</f>
        <v>5</v>
      </c>
      <c r="AD350">
        <f>FIND(" ",Table1[[#This Row],[Customer_Name]])</f>
        <v>7</v>
      </c>
      <c r="AE350" t="str">
        <f>TRIM(Table1[[#This Row],[Customer_Name]])</f>
        <v>Simran Kaur</v>
      </c>
      <c r="AF350">
        <f>LEN(Table1[[#This Row],[Trimmed]])</f>
        <v>11</v>
      </c>
      <c r="AG350">
        <f>MAX(Table1[Length])</f>
        <v>15</v>
      </c>
      <c r="AH350" t="str">
        <f>PROPER(Table1[[#This Row],[Customer_Name]])</f>
        <v>Simran Kaur</v>
      </c>
      <c r="AI350" t="str">
        <f>LOWER(Table1[[#This Row],[Customer_Name]])</f>
        <v>simran kaur</v>
      </c>
      <c r="AJ350" t="str">
        <f>UPPER(Table1[[#This Row],[Customer_Name]])</f>
        <v>SIMRAN KAUR</v>
      </c>
      <c r="AK350" t="str">
        <f>CONCATENATE(Table1[[#This Row],[Customer_ID]],Table1[[#This Row],[Customer_Name]])</f>
        <v>C1110Simran Kaur</v>
      </c>
      <c r="AL350" t="s">
        <v>326</v>
      </c>
      <c r="AM350" t="s">
        <v>327</v>
      </c>
      <c r="AN350" t="s">
        <v>328</v>
      </c>
      <c r="AO350" t="s">
        <v>326</v>
      </c>
      <c r="AP350" t="s">
        <v>327</v>
      </c>
      <c r="AQ350" t="s">
        <v>344</v>
      </c>
      <c r="AR350" t="str">
        <f>TRIM(Table1[[#This Row],[City]])</f>
        <v>Bhopal</v>
      </c>
      <c r="AS350" t="str">
        <f>PROPER(Table1[[#This Row],[City]])</f>
        <v>Bhopal</v>
      </c>
      <c r="AT350" t="s">
        <v>345</v>
      </c>
      <c r="AU350" t="str">
        <f>CONCATENATE(Table1[[#This Row],[City]],Table1[[#This Row],[State]])</f>
        <v>BhopalMadhya Pradesh</v>
      </c>
      <c r="AV350" t="s">
        <v>346</v>
      </c>
      <c r="AW350" t="s">
        <v>370</v>
      </c>
      <c r="AX350" t="str">
        <f>REPLACE(Table1[[#This Row],[Product_ID]],1,1,"s")</f>
        <v>s108</v>
      </c>
      <c r="AY350" t="s">
        <v>1525</v>
      </c>
      <c r="AZ350">
        <f>SEARCH("-",Table1[[#This Row],[Product ID]])</f>
        <v>2</v>
      </c>
      <c r="BA350">
        <f>FIND("-",Table1[[#This Row],[Product ID]])</f>
        <v>2</v>
      </c>
      <c r="BB350" t="str">
        <f>MID(Table1[[#This Row],[Product_ID]],2,3)</f>
        <v>108</v>
      </c>
      <c r="BC350" t="str">
        <f>RIGHT(Table1[[#This Row],[Product_ID]],3)</f>
        <v>108</v>
      </c>
      <c r="BD350" t="str">
        <f>LEFT(Table1[[#This Row],[Product_ID]],3)</f>
        <v>P10</v>
      </c>
      <c r="BE350" t="str">
        <f>_xlfn.XLOOKUP(Table1[[#This Row],[Product_ID]],AW:AW,BF:BF,,0)</f>
        <v>Hoodie</v>
      </c>
      <c r="BF350" t="s">
        <v>372</v>
      </c>
      <c r="BG350">
        <f>LEN(Table1[[#This Row],[Product_Name]])</f>
        <v>6</v>
      </c>
      <c r="BH350" t="s">
        <v>224</v>
      </c>
      <c r="BI350">
        <f t="shared" si="42"/>
        <v>75</v>
      </c>
      <c r="BJ350" t="str">
        <f>SUBSTITUTE(Table1[[#This Row],[Category]],"Electronics","ELECTRONICS")</f>
        <v>Fashion</v>
      </c>
      <c r="BN350" t="s">
        <v>373</v>
      </c>
      <c r="BS350" s="14">
        <v>5</v>
      </c>
      <c r="BT350" s="3">
        <v>1999</v>
      </c>
      <c r="BU350" s="4">
        <v>5</v>
      </c>
      <c r="BV350" s="4" t="str">
        <f>IF(AND(Table1[[#This Row],[Quantity]]&gt;=3,Table1[[#This Row],[Discount_%]]&gt;=15%),"Bulk Discount","no")</f>
        <v>Bulk Discount</v>
      </c>
      <c r="BW350" s="4" t="str">
        <f>IF(AND(Table1[[#This Row],[Quantity]]&gt;3,Table1[[#This Row],[Discount_%]]&gt;15%),"Bulk Customer","Normal")</f>
        <v>Bulk Customer</v>
      </c>
      <c r="BX350" t="s">
        <v>172</v>
      </c>
      <c r="BY350" t="s">
        <v>156</v>
      </c>
      <c r="CC350" t="str">
        <f>IF(OR(Table1[[#This Row],[Order_Status]]="Returned",Table1[[#This Row],[Order_Status]]="Cancelled"),"Attention Required","Not")</f>
        <v>Attention Required</v>
      </c>
      <c r="CD350" t="str">
        <f>IF(OR(Table1[[#This Row],[Order_Status]]="Returned",Table1[[#This Row],[Order_Status]]="Cancelled"),"Review","no")</f>
        <v>Review</v>
      </c>
      <c r="CE350" t="str">
        <f>SUBSTITUTE(Table1[[#This Row],[Order_Status]],"Delivered","Completed")</f>
        <v>Cancelled</v>
      </c>
      <c r="CF350" s="2">
        <v>45977</v>
      </c>
      <c r="CG350" s="17">
        <f>NETWORKDAYS(Table1[[#This Row],[Order_Date]],Table1[[#This Row],[Delivery_Date]])</f>
        <v>5</v>
      </c>
      <c r="CH350" s="17">
        <f>Table1[[#This Row],[Delivery_Date]]-Table1[[#This Row],[Order_Date]]</f>
        <v>6</v>
      </c>
      <c r="CI350" t="s">
        <v>137</v>
      </c>
      <c r="CJ350" t="str">
        <f>IF(Table1[[#This Row],[Rating]]&gt;=4,"Good","Needs Improvement")</f>
        <v>Good</v>
      </c>
      <c r="CK350" t="str">
        <f>IF(OR(Table1[[#This Row],[Rating]]&lt;=2,Table1[[#This Row],[Profit]]&lt;0),"Review","NO")</f>
        <v>NO</v>
      </c>
      <c r="CL350" t="str" cm="1">
        <f t="array" ref="CL350">_xlfn.IFS(Table1[[#This Row],[Rating]]&gt;2,"Poor",Table1[[#This Row],[Rating]]=3,"Average",Table1[[#This Row],[Rating]]=4,"Good",CP350=5,"Excellent")</f>
        <v>Poor</v>
      </c>
      <c r="CM350">
        <f>COUNT(Table1[[#This Row],[Rating]])</f>
        <v>1</v>
      </c>
      <c r="CN350">
        <f>COUNTBLANK(Table1[[#This Row],[Rating]])</f>
        <v>0</v>
      </c>
      <c r="CP350" t="s">
        <v>157</v>
      </c>
      <c r="CQ350" s="14">
        <v>5</v>
      </c>
      <c r="CR350" t="s">
        <v>139</v>
      </c>
      <c r="CS350" t="s">
        <v>158</v>
      </c>
      <c r="CU350" s="3">
        <v>9495.25</v>
      </c>
      <c r="CV350" s="3">
        <f>ROUND(Table1[[#This Row],[Sales_Amount]],0)</f>
        <v>9495</v>
      </c>
      <c r="CW350" s="3"/>
      <c r="CX350" s="3"/>
      <c r="CY350" s="3" t="b">
        <f>IF(AND(Table1[[#This Row],[Sales_Amount]]&gt;=10000,Table1[[#This Row],[Profit]]&gt;0),"Good Order")</f>
        <v>0</v>
      </c>
      <c r="CZ350" s="3" t="str">
        <f>IF(Table1[[#This Row],[Sales_Amount]]&gt;=10000,"High","Normal")</f>
        <v>Normal</v>
      </c>
      <c r="DA350" s="3">
        <v>4245.25</v>
      </c>
      <c r="DB350" s="3">
        <f>ROUND(Table1[[#This Row],[Profit]],0)</f>
        <v>4245</v>
      </c>
      <c r="DC350" s="3">
        <f>ABS(Table1[[#This Row],[Profit]])</f>
        <v>4245.25</v>
      </c>
      <c r="DD350" s="3"/>
      <c r="DE350" s="3"/>
      <c r="DF350" s="3"/>
      <c r="DG350" s="3" t="str">
        <f>IF(Table1[[#This Row],[Profit]]&gt;0,"Profit","Loss")</f>
        <v>Profit</v>
      </c>
      <c r="DH350" s="3" t="str">
        <f>IF(AND(Table1[[#This Row],[Sales_Amount]]&gt;=10000,Table1[[#This Row],[Profit]]&gt;0),"Priority","Normal")</f>
        <v>Normal</v>
      </c>
      <c r="DI350" s="3">
        <f t="shared" ca="1" si="37"/>
        <v>0.56213130554534141</v>
      </c>
      <c r="DJ350" s="3">
        <f t="shared" ca="1" si="38"/>
        <v>72</v>
      </c>
      <c r="DK350" s="3"/>
      <c r="DL350" s="3"/>
      <c r="DM350" s="3"/>
      <c r="DN350" s="3"/>
      <c r="DO350" s="3"/>
      <c r="DP350" s="3"/>
    </row>
    <row r="351" spans="1:120">
      <c r="A351" t="s">
        <v>1526</v>
      </c>
      <c r="B351" t="str">
        <f>REPLACE(Table1[[#This Row],[Order_ID]],1,3,"YOO")</f>
        <v>YOO10350</v>
      </c>
      <c r="C351" t="str">
        <f>MID(Table1[[#This Row],[Order_ID]],4,4)</f>
        <v>1035</v>
      </c>
      <c r="D351" t="str">
        <f>LEFT(Table1[[#This Row],[Order_ID]],4)</f>
        <v>ORD1</v>
      </c>
      <c r="E351" t="str">
        <f>RIGHT(Table1[[#This Row],[Order_ID]],5)</f>
        <v>10350</v>
      </c>
      <c r="F351" t="s">
        <v>5</v>
      </c>
      <c r="G351">
        <v>10350</v>
      </c>
      <c r="H351" t="s">
        <v>1527</v>
      </c>
      <c r="I351" s="2">
        <f>EDATE(Table1[[#This Row],[Order_Date]],3)</f>
        <v>46196</v>
      </c>
      <c r="J351" s="2">
        <f>EDATE(Table1[[#This Row],[Order_Date]],6)</f>
        <v>46288</v>
      </c>
      <c r="K351">
        <f ca="1">YEAR(Table1[[#This Row],[Today]])</f>
        <v>2026</v>
      </c>
      <c r="L351">
        <v>350</v>
      </c>
      <c r="M351">
        <f ca="1">DAY(Table1[[#This Row],[Today]])</f>
        <v>11</v>
      </c>
      <c r="N351" s="19">
        <f t="shared" ca="1" si="41"/>
        <v>46245.589795370368</v>
      </c>
      <c r="O351" s="2">
        <f t="shared" ca="1" si="36"/>
        <v>46245</v>
      </c>
      <c r="P351" s="17">
        <f ca="1">Table1[[#This Row],[Today]]-Table1[[#This Row],[Order_Date]]</f>
        <v>141</v>
      </c>
      <c r="Q351" s="2">
        <v>46007</v>
      </c>
      <c r="R351" s="2">
        <v>46104</v>
      </c>
      <c r="S351" s="6">
        <f t="shared" si="39"/>
        <v>2026</v>
      </c>
      <c r="T351" s="7" t="str">
        <f t="shared" si="40"/>
        <v>March</v>
      </c>
      <c r="U351" s="2">
        <f>WORKDAY(Table1[[#This Row],[Order_Date]],5)</f>
        <v>46111</v>
      </c>
      <c r="V351" s="7" t="str">
        <f>CONCATENATE(Table1[[#This Row],[Customer_ID]],Table1[[#This Row],[Customer_Name]])</f>
        <v>C1119Nitin Soni</v>
      </c>
      <c r="W351" t="s">
        <v>198</v>
      </c>
      <c r="X351" t="s">
        <v>144</v>
      </c>
      <c r="Y351">
        <f>COUNTA(Table1[[#This Row],[Customer_Name]])</f>
        <v>1</v>
      </c>
      <c r="Z351" t="str">
        <f>SUBSTITUTE(Table1[[#This Row],[Customer_Name]]," ","_")</f>
        <v>Nitin_Soni</v>
      </c>
      <c r="AA351" s="10" t="str">
        <f>IFERROR(SEARCH("a",Table1[[#This Row],[Customer_Name]]),"N/A")</f>
        <v>N/A</v>
      </c>
      <c r="AB351">
        <f>SEARCH(" ",Table1[[#This Row],[Customer_Name]])</f>
        <v>6</v>
      </c>
      <c r="AC351" s="11" t="str">
        <f>IFERROR(FIND("a",Table1[[#This Row],[Customer_Name]]),"N/A")</f>
        <v>N/A</v>
      </c>
      <c r="AD351">
        <f>FIND(" ",Table1[[#This Row],[Customer_Name]])</f>
        <v>6</v>
      </c>
      <c r="AE351" t="str">
        <f>TRIM(Table1[[#This Row],[Customer_Name]])</f>
        <v>Nitin Soni</v>
      </c>
      <c r="AF351">
        <f>LEN(Table1[[#This Row],[Trimmed]])</f>
        <v>10</v>
      </c>
      <c r="AG351">
        <f>MAX(Table1[Length])</f>
        <v>15</v>
      </c>
      <c r="AH351" t="str">
        <f>PROPER(Table1[[#This Row],[Customer_Name]])</f>
        <v>Nitin Soni</v>
      </c>
      <c r="AI351" t="str">
        <f>LOWER(Table1[[#This Row],[Customer_Name]])</f>
        <v>nitin soni</v>
      </c>
      <c r="AJ351" t="str">
        <f>UPPER(Table1[[#This Row],[Customer_Name]])</f>
        <v>NITIN SONI</v>
      </c>
      <c r="AK351" t="str">
        <f>CONCATENATE(Table1[[#This Row],[Customer_ID]],Table1[[#This Row],[Customer_Name]])</f>
        <v>C1119Nitin Soni</v>
      </c>
      <c r="AL351" t="s">
        <v>145</v>
      </c>
      <c r="AM351" t="s">
        <v>146</v>
      </c>
      <c r="AN351" t="s">
        <v>147</v>
      </c>
      <c r="AO351" t="s">
        <v>145</v>
      </c>
      <c r="AP351" t="s">
        <v>146</v>
      </c>
      <c r="AQ351" t="s">
        <v>423</v>
      </c>
      <c r="AR351" t="str">
        <f>TRIM(Table1[[#This Row],[City]])</f>
        <v>Ahmedabad</v>
      </c>
      <c r="AS351" t="str">
        <f>PROPER(Table1[[#This Row],[City]])</f>
        <v>Ahmedabad</v>
      </c>
      <c r="AT351" t="s">
        <v>424</v>
      </c>
      <c r="AU351" t="str">
        <f>CONCATENATE(Table1[[#This Row],[City]],Table1[[#This Row],[State]])</f>
        <v>AhmedabadGujarat</v>
      </c>
      <c r="AV351" t="s">
        <v>129</v>
      </c>
      <c r="AW351" t="s">
        <v>169</v>
      </c>
      <c r="AX351" t="str">
        <f>REPLACE(Table1[[#This Row],[Product_ID]],1,1,"s")</f>
        <v>s112</v>
      </c>
      <c r="AY351" t="s">
        <v>1528</v>
      </c>
      <c r="AZ351">
        <f>SEARCH("-",Table1[[#This Row],[Product ID]])</f>
        <v>2</v>
      </c>
      <c r="BA351">
        <f>FIND("-",Table1[[#This Row],[Product ID]])</f>
        <v>2</v>
      </c>
      <c r="BB351" t="str">
        <f>MID(Table1[[#This Row],[Product_ID]],2,3)</f>
        <v>112</v>
      </c>
      <c r="BC351" t="str">
        <f>RIGHT(Table1[[#This Row],[Product_ID]],3)</f>
        <v>112</v>
      </c>
      <c r="BD351" t="str">
        <f>LEFT(Table1[[#This Row],[Product_ID]],3)</f>
        <v>P11</v>
      </c>
      <c r="BE351" t="str">
        <f>_xlfn.XLOOKUP(Table1[[#This Row],[Product_ID]],AW:AW,BF:BF,,0)</f>
        <v>Air Fryer</v>
      </c>
      <c r="BF351" t="s">
        <v>171</v>
      </c>
      <c r="BG351">
        <f>LEN(Table1[[#This Row],[Product_Name]])</f>
        <v>9</v>
      </c>
      <c r="BH351" t="s">
        <v>133</v>
      </c>
      <c r="BI351">
        <f t="shared" si="42"/>
        <v>75</v>
      </c>
      <c r="BJ351" t="str">
        <f>SUBSTITUTE(Table1[[#This Row],[Category]],"Electronics","ELECTRONICS")</f>
        <v>Home</v>
      </c>
      <c r="BN351" t="s">
        <v>134</v>
      </c>
      <c r="BS351" s="14">
        <v>3</v>
      </c>
      <c r="BT351" s="3">
        <v>6499</v>
      </c>
      <c r="BU351" s="4">
        <v>15</v>
      </c>
      <c r="BV351" s="4" t="str">
        <f>IF(AND(Table1[[#This Row],[Quantity]]&gt;=3,Table1[[#This Row],[Discount_%]]&gt;=15%),"Bulk Discount","no")</f>
        <v>Bulk Discount</v>
      </c>
      <c r="BW351" s="4" t="str">
        <f>IF(AND(Table1[[#This Row],[Quantity]]&gt;3,Table1[[#This Row],[Discount_%]]&gt;15%),"Bulk Customer","Normal")</f>
        <v>Normal</v>
      </c>
      <c r="BX351" t="s">
        <v>192</v>
      </c>
      <c r="BY351" t="s">
        <v>136</v>
      </c>
      <c r="CC351" t="str">
        <f>IF(OR(Table1[[#This Row],[Order_Status]]="Returned",Table1[[#This Row],[Order_Status]]="Cancelled"),"Attention Required","Not")</f>
        <v>Not</v>
      </c>
      <c r="CD351" t="str">
        <f>IF(OR(Table1[[#This Row],[Order_Status]]="Returned",Table1[[#This Row],[Order_Status]]="Cancelled"),"Review","no")</f>
        <v>no</v>
      </c>
      <c r="CE351" t="str">
        <f>SUBSTITUTE(Table1[[#This Row],[Order_Status]],"Delivered","Completed")</f>
        <v>Completed</v>
      </c>
      <c r="CF351" s="2">
        <v>46110</v>
      </c>
      <c r="CG351" s="17">
        <f>NETWORKDAYS(Table1[[#This Row],[Order_Date]],Table1[[#This Row],[Delivery_Date]])</f>
        <v>5</v>
      </c>
      <c r="CH351" s="17">
        <f>Table1[[#This Row],[Delivery_Date]]-Table1[[#This Row],[Order_Date]]</f>
        <v>6</v>
      </c>
      <c r="CI351" t="s">
        <v>137</v>
      </c>
      <c r="CJ351" t="str">
        <f>IF(Table1[[#This Row],[Rating]]&gt;=4,"Good","Needs Improvement")</f>
        <v>Needs Improvement</v>
      </c>
      <c r="CK351" t="str">
        <f>IF(OR(Table1[[#This Row],[Rating]]&lt;=2,Table1[[#This Row],[Profit]]&lt;0),"Review","NO")</f>
        <v>Review</v>
      </c>
      <c r="CL351" t="e" cm="1">
        <f t="array" ref="CL351">_xlfn.IFS(Table1[[#This Row],[Rating]]&gt;2,"Poor",Table1[[#This Row],[Rating]]=3,"Average",Table1[[#This Row],[Rating]]=4,"Good",CP351=5,"Excellent")</f>
        <v>#N/A</v>
      </c>
      <c r="CM351">
        <f>COUNT(Table1[[#This Row],[Rating]])</f>
        <v>0</v>
      </c>
      <c r="CN351">
        <f>COUNTBLANK(Table1[[#This Row],[Rating]])</f>
        <v>1</v>
      </c>
      <c r="CP351" t="s">
        <v>157</v>
      </c>
      <c r="CR351" t="s">
        <v>173</v>
      </c>
      <c r="CS351" t="s">
        <v>174</v>
      </c>
      <c r="CU351" s="3">
        <v>16572.45</v>
      </c>
      <c r="CV351" s="3">
        <f>ROUND(Table1[[#This Row],[Sales_Amount]],0)</f>
        <v>16572</v>
      </c>
      <c r="CW351" s="3"/>
      <c r="CX351" s="3"/>
      <c r="CY351" s="3" t="str">
        <f>IF(AND(Table1[[#This Row],[Sales_Amount]]&gt;=10000,Table1[[#This Row],[Profit]]&gt;0),"Good Order")</f>
        <v>Good Order</v>
      </c>
      <c r="CZ351" s="3" t="str">
        <f>IF(Table1[[#This Row],[Sales_Amount]]&gt;=10000,"High","Normal")</f>
        <v>High</v>
      </c>
      <c r="DA351" s="3">
        <v>3672.45</v>
      </c>
      <c r="DB351" s="3">
        <f>ROUND(Table1[[#This Row],[Profit]],0)</f>
        <v>3672</v>
      </c>
      <c r="DC351" s="3">
        <f>ABS(Table1[[#This Row],[Profit]])</f>
        <v>3672.45</v>
      </c>
      <c r="DD351" s="3"/>
      <c r="DE351" s="3"/>
      <c r="DF351" s="3"/>
      <c r="DG351" s="3" t="str">
        <f>IF(Table1[[#This Row],[Profit]]&gt;0,"Profit","Loss")</f>
        <v>Profit</v>
      </c>
      <c r="DH351" s="3" t="str">
        <f>IF(AND(Table1[[#This Row],[Sales_Amount]]&gt;=10000,Table1[[#This Row],[Profit]]&gt;0),"Priority","Normal")</f>
        <v>Priority</v>
      </c>
      <c r="DI351" s="3">
        <f t="shared" ca="1" si="37"/>
        <v>0.57502900240328159</v>
      </c>
      <c r="DJ351" s="3">
        <f t="shared" ca="1" si="38"/>
        <v>73</v>
      </c>
      <c r="DK351" s="3"/>
      <c r="DL351" s="3"/>
      <c r="DM351" s="3"/>
      <c r="DN351" s="3"/>
      <c r="DO351" s="3"/>
      <c r="DP351" s="3"/>
    </row>
    <row r="352" spans="1:120">
      <c r="A352" t="s">
        <v>1529</v>
      </c>
      <c r="B352" t="str">
        <f>REPLACE(Table1[[#This Row],[Order_ID]],1,3,"YOO")</f>
        <v>YOO10351</v>
      </c>
      <c r="C352" t="str">
        <f>MID(Table1[[#This Row],[Order_ID]],4,4)</f>
        <v>1035</v>
      </c>
      <c r="D352" t="str">
        <f>LEFT(Table1[[#This Row],[Order_ID]],4)</f>
        <v>ORD1</v>
      </c>
      <c r="E352" t="str">
        <f>RIGHT(Table1[[#This Row],[Order_ID]],5)</f>
        <v>10351</v>
      </c>
      <c r="F352" t="s">
        <v>5</v>
      </c>
      <c r="G352">
        <v>10351</v>
      </c>
      <c r="H352" t="s">
        <v>935</v>
      </c>
      <c r="I352" s="2">
        <f>EDATE(Table1[[#This Row],[Order_Date]],3)</f>
        <v>46162</v>
      </c>
      <c r="J352" s="2">
        <f>EDATE(Table1[[#This Row],[Order_Date]],6)</f>
        <v>46254</v>
      </c>
      <c r="K352">
        <f ca="1">YEAR(Table1[[#This Row],[Today]])</f>
        <v>2026</v>
      </c>
      <c r="L352">
        <v>351</v>
      </c>
      <c r="M352">
        <f ca="1">DAY(Table1[[#This Row],[Today]])</f>
        <v>11</v>
      </c>
      <c r="N352" s="19">
        <f t="shared" ca="1" si="41"/>
        <v>46245.589795370368</v>
      </c>
      <c r="O352" s="2">
        <f t="shared" ca="1" si="36"/>
        <v>46245</v>
      </c>
      <c r="P352" s="17">
        <f ca="1">Table1[[#This Row],[Today]]-Table1[[#This Row],[Order_Date]]</f>
        <v>172</v>
      </c>
      <c r="Q352" s="2">
        <v>46008</v>
      </c>
      <c r="R352" s="2">
        <v>46073</v>
      </c>
      <c r="S352" s="6">
        <f t="shared" si="39"/>
        <v>2026</v>
      </c>
      <c r="T352" s="7" t="str">
        <f t="shared" si="40"/>
        <v>February</v>
      </c>
      <c r="U352" s="2">
        <f>WORKDAY(Table1[[#This Row],[Order_Date]],5)</f>
        <v>46080</v>
      </c>
      <c r="V352" s="7" t="str">
        <f>CONCATENATE(Table1[[#This Row],[Customer_ID]],Table1[[#This Row],[Customer_Name]])</f>
        <v>C1095Meera Nair</v>
      </c>
      <c r="W352" t="s">
        <v>936</v>
      </c>
      <c r="X352" t="s">
        <v>429</v>
      </c>
      <c r="Y352">
        <f>COUNTA(Table1[[#This Row],[Customer_Name]])</f>
        <v>1</v>
      </c>
      <c r="Z352" t="str">
        <f>SUBSTITUTE(Table1[[#This Row],[Customer_Name]]," ","_")</f>
        <v>Meera_Nair</v>
      </c>
      <c r="AA352" s="10">
        <f>IFERROR(SEARCH("a",Table1[[#This Row],[Customer_Name]]),"N/A")</f>
        <v>5</v>
      </c>
      <c r="AB352">
        <f>SEARCH(" ",Table1[[#This Row],[Customer_Name]])</f>
        <v>6</v>
      </c>
      <c r="AC352" s="11">
        <f>IFERROR(FIND("a",Table1[[#This Row],[Customer_Name]]),"N/A")</f>
        <v>5</v>
      </c>
      <c r="AD352">
        <f>FIND(" ",Table1[[#This Row],[Customer_Name]])</f>
        <v>6</v>
      </c>
      <c r="AE352" t="str">
        <f>TRIM(Table1[[#This Row],[Customer_Name]])</f>
        <v>Meera Nair</v>
      </c>
      <c r="AF352">
        <f>LEN(Table1[[#This Row],[Trimmed]])</f>
        <v>10</v>
      </c>
      <c r="AG352">
        <f>MAX(Table1[Length])</f>
        <v>15</v>
      </c>
      <c r="AH352" t="str">
        <f>PROPER(Table1[[#This Row],[Customer_Name]])</f>
        <v>Meera Nair</v>
      </c>
      <c r="AI352" t="str">
        <f>LOWER(Table1[[#This Row],[Customer_Name]])</f>
        <v>meera nair</v>
      </c>
      <c r="AJ352" t="str">
        <f>UPPER(Table1[[#This Row],[Customer_Name]])</f>
        <v>MEERA NAIR</v>
      </c>
      <c r="AK352" t="str">
        <f>CONCATENATE(Table1[[#This Row],[Customer_ID]],Table1[[#This Row],[Customer_Name]])</f>
        <v>C1095Meera Nair</v>
      </c>
      <c r="AL352" t="s">
        <v>430</v>
      </c>
      <c r="AM352" t="s">
        <v>431</v>
      </c>
      <c r="AN352" t="s">
        <v>432</v>
      </c>
      <c r="AO352" t="s">
        <v>430</v>
      </c>
      <c r="AP352" t="s">
        <v>431</v>
      </c>
      <c r="AQ352" t="s">
        <v>569</v>
      </c>
      <c r="AR352" t="str">
        <f>TRIM(Table1[[#This Row],[City]])</f>
        <v>Delhi</v>
      </c>
      <c r="AS352" t="str">
        <f>PROPER(Table1[[#This Row],[City]])</f>
        <v>Delhi</v>
      </c>
      <c r="AT352" t="s">
        <v>569</v>
      </c>
      <c r="AU352" t="str">
        <f>CONCATENATE(Table1[[#This Row],[City]],Table1[[#This Row],[State]])</f>
        <v>DelhiDelhi</v>
      </c>
      <c r="AV352" t="s">
        <v>150</v>
      </c>
      <c r="AW352" t="s">
        <v>183</v>
      </c>
      <c r="AX352" t="str">
        <f>REPLACE(Table1[[#This Row],[Product_ID]],1,1,"s")</f>
        <v>s105</v>
      </c>
      <c r="AY352" t="s">
        <v>1530</v>
      </c>
      <c r="AZ352">
        <f>SEARCH("-",Table1[[#This Row],[Product ID]])</f>
        <v>2</v>
      </c>
      <c r="BA352">
        <f>FIND("-",Table1[[#This Row],[Product ID]])</f>
        <v>2</v>
      </c>
      <c r="BB352" t="str">
        <f>MID(Table1[[#This Row],[Product_ID]],2,3)</f>
        <v>105</v>
      </c>
      <c r="BC352" t="str">
        <f>RIGHT(Table1[[#This Row],[Product_ID]],3)</f>
        <v>105</v>
      </c>
      <c r="BD352" t="str">
        <f>LEFT(Table1[[#This Row],[Product_ID]],3)</f>
        <v>P10</v>
      </c>
      <c r="BE352" t="str">
        <f>_xlfn.XLOOKUP(Table1[[#This Row],[Product_ID]],AW:AW,BF:BF,,0)</f>
        <v>Bluetooth Speaker</v>
      </c>
      <c r="BF352" t="s">
        <v>185</v>
      </c>
      <c r="BG352">
        <f>LEN(Table1[[#This Row],[Product_Name]])</f>
        <v>17</v>
      </c>
      <c r="BH352" t="s">
        <v>154</v>
      </c>
      <c r="BI352">
        <f t="shared" si="42"/>
        <v>75</v>
      </c>
      <c r="BJ352" t="str">
        <f>SUBSTITUTE(Table1[[#This Row],[Category]],"Electronics","ELECTRONICS")</f>
        <v>ELECTRONICS</v>
      </c>
      <c r="BN352" t="s">
        <v>186</v>
      </c>
      <c r="BS352" s="14">
        <v>5</v>
      </c>
      <c r="BT352" s="3">
        <v>2999</v>
      </c>
      <c r="BU352" s="4">
        <v>10</v>
      </c>
      <c r="BV352" s="4" t="str">
        <f>IF(AND(Table1[[#This Row],[Quantity]]&gt;=3,Table1[[#This Row],[Discount_%]]&gt;=15%),"Bulk Discount","no")</f>
        <v>Bulk Discount</v>
      </c>
      <c r="BW352" s="4" t="str">
        <f>IF(AND(Table1[[#This Row],[Quantity]]&gt;3,Table1[[#This Row],[Discount_%]]&gt;15%),"Bulk Customer","Normal")</f>
        <v>Bulk Customer</v>
      </c>
      <c r="BX352" t="s">
        <v>187</v>
      </c>
      <c r="BY352" t="s">
        <v>374</v>
      </c>
      <c r="CC352" t="str">
        <f>IF(OR(Table1[[#This Row],[Order_Status]]="Returned",Table1[[#This Row],[Order_Status]]="Cancelled"),"Attention Required","Not")</f>
        <v>Attention Required</v>
      </c>
      <c r="CD352" t="str">
        <f>IF(OR(Table1[[#This Row],[Order_Status]]="Returned",Table1[[#This Row],[Order_Status]]="Cancelled"),"Review","no")</f>
        <v>Review</v>
      </c>
      <c r="CE352" t="str">
        <f>SUBSTITUTE(Table1[[#This Row],[Order_Status]],"Delivered","Completed")</f>
        <v>Returned</v>
      </c>
      <c r="CF352" s="2">
        <v>46075</v>
      </c>
      <c r="CG352" s="17">
        <f>NETWORKDAYS(Table1[[#This Row],[Order_Date]],Table1[[#This Row],[Delivery_Date]])</f>
        <v>1</v>
      </c>
      <c r="CH352" s="17">
        <f>Table1[[#This Row],[Delivery_Date]]-Table1[[#This Row],[Order_Date]]</f>
        <v>2</v>
      </c>
      <c r="CI352" t="s">
        <v>375</v>
      </c>
      <c r="CJ352" t="str">
        <f>IF(Table1[[#This Row],[Rating]]&gt;=4,"Good","Needs Improvement")</f>
        <v>Good</v>
      </c>
      <c r="CK352" t="str">
        <f>IF(OR(Table1[[#This Row],[Rating]]&lt;=2,Table1[[#This Row],[Profit]]&lt;0),"Review","NO")</f>
        <v>NO</v>
      </c>
      <c r="CL352" t="str" cm="1">
        <f t="array" ref="CL352">_xlfn.IFS(Table1[[#This Row],[Rating]]&gt;2,"Poor",Table1[[#This Row],[Rating]]=3,"Average",Table1[[#This Row],[Rating]]=4,"Good",CP352=5,"Excellent")</f>
        <v>Poor</v>
      </c>
      <c r="CM352">
        <f>COUNT(Table1[[#This Row],[Rating]])</f>
        <v>1</v>
      </c>
      <c r="CN352">
        <f>COUNTBLANK(Table1[[#This Row],[Rating]])</f>
        <v>0</v>
      </c>
      <c r="CP352" t="s">
        <v>194</v>
      </c>
      <c r="CQ352" s="14">
        <v>4</v>
      </c>
      <c r="CR352" t="s">
        <v>139</v>
      </c>
      <c r="CS352" t="s">
        <v>267</v>
      </c>
      <c r="CU352" s="3">
        <v>13495.5</v>
      </c>
      <c r="CV352" s="3">
        <f>ROUND(Table1[[#This Row],[Sales_Amount]],0)</f>
        <v>13496</v>
      </c>
      <c r="CW352" s="3"/>
      <c r="CX352" s="3"/>
      <c r="CY352" s="3" t="str">
        <f>IF(AND(Table1[[#This Row],[Sales_Amount]]&gt;=10000,Table1[[#This Row],[Profit]]&gt;0),"Good Order")</f>
        <v>Good Order</v>
      </c>
      <c r="CZ352" s="3" t="str">
        <f>IF(Table1[[#This Row],[Sales_Amount]]&gt;=10000,"High","Normal")</f>
        <v>High</v>
      </c>
      <c r="DA352" s="3">
        <v>4745.5</v>
      </c>
      <c r="DB352" s="3">
        <f>ROUND(Table1[[#This Row],[Profit]],0)</f>
        <v>4746</v>
      </c>
      <c r="DC352" s="3">
        <f>ABS(Table1[[#This Row],[Profit]])</f>
        <v>4745.5</v>
      </c>
      <c r="DD352" s="3"/>
      <c r="DE352" s="3"/>
      <c r="DF352" s="3"/>
      <c r="DG352" s="3" t="str">
        <f>IF(Table1[[#This Row],[Profit]]&gt;0,"Profit","Loss")</f>
        <v>Profit</v>
      </c>
      <c r="DH352" s="3" t="str">
        <f>IF(AND(Table1[[#This Row],[Sales_Amount]]&gt;=10000,Table1[[#This Row],[Profit]]&gt;0),"Priority","Normal")</f>
        <v>Priority</v>
      </c>
      <c r="DI352" s="3">
        <f t="shared" ca="1" si="37"/>
        <v>0.3262412747258443</v>
      </c>
      <c r="DJ352" s="3">
        <f t="shared" ca="1" si="38"/>
        <v>74</v>
      </c>
      <c r="DK352" s="3"/>
      <c r="DL352" s="3"/>
      <c r="DM352" s="3"/>
      <c r="DN352" s="3"/>
      <c r="DO352" s="3"/>
      <c r="DP352" s="3"/>
    </row>
    <row r="353" spans="1:120">
      <c r="A353" t="s">
        <v>1531</v>
      </c>
      <c r="B353" t="str">
        <f>REPLACE(Table1[[#This Row],[Order_ID]],1,3,"YOO")</f>
        <v>YOO10352</v>
      </c>
      <c r="C353" t="str">
        <f>MID(Table1[[#This Row],[Order_ID]],4,4)</f>
        <v>1035</v>
      </c>
      <c r="D353" t="str">
        <f>LEFT(Table1[[#This Row],[Order_ID]],4)</f>
        <v>ORD1</v>
      </c>
      <c r="E353" t="str">
        <f>RIGHT(Table1[[#This Row],[Order_ID]],5)</f>
        <v>10352</v>
      </c>
      <c r="F353" t="s">
        <v>5</v>
      </c>
      <c r="G353">
        <v>10352</v>
      </c>
      <c r="H353" t="s">
        <v>1364</v>
      </c>
      <c r="I353" s="2">
        <f>EDATE(Table1[[#This Row],[Order_Date]],3)</f>
        <v>46217</v>
      </c>
      <c r="J353" s="2">
        <f>EDATE(Table1[[#This Row],[Order_Date]],6)</f>
        <v>46309</v>
      </c>
      <c r="K353">
        <f ca="1">YEAR(Table1[[#This Row],[Today]])</f>
        <v>2026</v>
      </c>
      <c r="L353">
        <v>352</v>
      </c>
      <c r="M353">
        <f ca="1">DAY(Table1[[#This Row],[Today]])</f>
        <v>11</v>
      </c>
      <c r="N353" s="19">
        <f t="shared" ca="1" si="41"/>
        <v>46245.589795138891</v>
      </c>
      <c r="O353" s="2">
        <f t="shared" ca="1" si="36"/>
        <v>46245</v>
      </c>
      <c r="P353" s="17">
        <f ca="1">Table1[[#This Row],[Today]]-Table1[[#This Row],[Order_Date]]</f>
        <v>119</v>
      </c>
      <c r="Q353" s="2">
        <v>46009</v>
      </c>
      <c r="R353" s="2">
        <v>46126</v>
      </c>
      <c r="S353" s="6">
        <f t="shared" si="39"/>
        <v>2026</v>
      </c>
      <c r="T353" s="7" t="str">
        <f t="shared" si="40"/>
        <v>April</v>
      </c>
      <c r="U353" s="2">
        <f>WORKDAY(Table1[[#This Row],[Order_Date]],5)</f>
        <v>46133</v>
      </c>
      <c r="V353" s="7" t="str">
        <f>CONCATENATE(Table1[[#This Row],[Customer_ID]],Table1[[#This Row],[Customer_Name]])</f>
        <v>C1125Arjun Rao</v>
      </c>
      <c r="W353" t="s">
        <v>517</v>
      </c>
      <c r="X353" t="s">
        <v>355</v>
      </c>
      <c r="Y353">
        <f>COUNTA(Table1[[#This Row],[Customer_Name]])</f>
        <v>1</v>
      </c>
      <c r="Z353" t="str">
        <f>SUBSTITUTE(Table1[[#This Row],[Customer_Name]]," ","_")</f>
        <v>Arjun_Rao</v>
      </c>
      <c r="AA353" s="10">
        <f>IFERROR(SEARCH("a",Table1[[#This Row],[Customer_Name]]),"N/A")</f>
        <v>1</v>
      </c>
      <c r="AB353">
        <f>SEARCH(" ",Table1[[#This Row],[Customer_Name]])</f>
        <v>6</v>
      </c>
      <c r="AC353" s="11">
        <f>IFERROR(FIND("a",Table1[[#This Row],[Customer_Name]]),"N/A")</f>
        <v>8</v>
      </c>
      <c r="AD353">
        <f>FIND(" ",Table1[[#This Row],[Customer_Name]])</f>
        <v>6</v>
      </c>
      <c r="AE353" t="str">
        <f>TRIM(Table1[[#This Row],[Customer_Name]])</f>
        <v>Arjun Rao</v>
      </c>
      <c r="AF353">
        <f>LEN(Table1[[#This Row],[Trimmed]])</f>
        <v>9</v>
      </c>
      <c r="AG353">
        <f>MAX(Table1[Length])</f>
        <v>15</v>
      </c>
      <c r="AH353" t="str">
        <f>PROPER(Table1[[#This Row],[Customer_Name]])</f>
        <v>Arjun Rao</v>
      </c>
      <c r="AI353" t="str">
        <f>LOWER(Table1[[#This Row],[Customer_Name]])</f>
        <v>arjun rao</v>
      </c>
      <c r="AJ353" t="str">
        <f>UPPER(Table1[[#This Row],[Customer_Name]])</f>
        <v>ARJUN RAO</v>
      </c>
      <c r="AK353" t="str">
        <f>CONCATENATE(Table1[[#This Row],[Customer_ID]],Table1[[#This Row],[Customer_Name]])</f>
        <v>C1125Arjun Rao</v>
      </c>
      <c r="AL353" t="s">
        <v>356</v>
      </c>
      <c r="AM353" t="s">
        <v>357</v>
      </c>
      <c r="AN353" t="s">
        <v>358</v>
      </c>
      <c r="AO353" t="s">
        <v>356</v>
      </c>
      <c r="AP353" t="s">
        <v>357</v>
      </c>
      <c r="AQ353" t="s">
        <v>233</v>
      </c>
      <c r="AR353" t="str">
        <f>TRIM(Table1[[#This Row],[City]])</f>
        <v>Kolkata</v>
      </c>
      <c r="AS353" t="str">
        <f>PROPER(Table1[[#This Row],[City]])</f>
        <v>Kolkata</v>
      </c>
      <c r="AT353" t="s">
        <v>234</v>
      </c>
      <c r="AU353" t="str">
        <f>CONCATENATE(Table1[[#This Row],[City]],Table1[[#This Row],[State]])</f>
        <v>KolkataWest Bengal</v>
      </c>
      <c r="AV353" t="s">
        <v>235</v>
      </c>
      <c r="AW353" t="s">
        <v>236</v>
      </c>
      <c r="AX353" t="str">
        <f>REPLACE(Table1[[#This Row],[Product_ID]],1,1,"s")</f>
        <v>s107</v>
      </c>
      <c r="AY353" t="s">
        <v>1532</v>
      </c>
      <c r="AZ353">
        <f>SEARCH("-",Table1[[#This Row],[Product ID]])</f>
        <v>2</v>
      </c>
      <c r="BA353">
        <f>FIND("-",Table1[[#This Row],[Product ID]])</f>
        <v>2</v>
      </c>
      <c r="BB353" t="str">
        <f>MID(Table1[[#This Row],[Product_ID]],2,3)</f>
        <v>107</v>
      </c>
      <c r="BC353" t="str">
        <f>RIGHT(Table1[[#This Row],[Product_ID]],3)</f>
        <v>107</v>
      </c>
      <c r="BD353" t="str">
        <f>LEFT(Table1[[#This Row],[Product_ID]],3)</f>
        <v>P10</v>
      </c>
      <c r="BE353" t="str">
        <f>_xlfn.XLOOKUP(Table1[[#This Row],[Product_ID]],AW:AW,BF:BF,,0)</f>
        <v>Casual Sneakers</v>
      </c>
      <c r="BF353" t="s">
        <v>238</v>
      </c>
      <c r="BG353">
        <f>LEN(Table1[[#This Row],[Product_Name]])</f>
        <v>15</v>
      </c>
      <c r="BH353" t="s">
        <v>224</v>
      </c>
      <c r="BI353">
        <f t="shared" si="42"/>
        <v>75</v>
      </c>
      <c r="BJ353" t="str">
        <f>SUBSTITUTE(Table1[[#This Row],[Category]],"Electronics","ELECTRONICS")</f>
        <v>Fashion</v>
      </c>
      <c r="BN353" t="s">
        <v>225</v>
      </c>
      <c r="BS353" s="14">
        <v>2</v>
      </c>
      <c r="BT353" s="3">
        <v>2799</v>
      </c>
      <c r="BU353" s="4">
        <v>15</v>
      </c>
      <c r="BV353" s="4" t="str">
        <f>IF(AND(Table1[[#This Row],[Quantity]]&gt;=3,Table1[[#This Row],[Discount_%]]&gt;=15%),"Bulk Discount","no")</f>
        <v>no</v>
      </c>
      <c r="BW353" s="4" t="str">
        <f>IF(AND(Table1[[#This Row],[Quantity]]&gt;3,Table1[[#This Row],[Discount_%]]&gt;15%),"Bulk Customer","Normal")</f>
        <v>Normal</v>
      </c>
      <c r="BX353" t="s">
        <v>187</v>
      </c>
      <c r="BY353" t="s">
        <v>193</v>
      </c>
      <c r="CC353" t="str">
        <f>IF(OR(Table1[[#This Row],[Order_Status]]="Returned",Table1[[#This Row],[Order_Status]]="Cancelled"),"Attention Required","Not")</f>
        <v>Not</v>
      </c>
      <c r="CD353" t="str">
        <f>IF(OR(Table1[[#This Row],[Order_Status]]="Returned",Table1[[#This Row],[Order_Status]]="Cancelled"),"Review","no")</f>
        <v>no</v>
      </c>
      <c r="CE353" t="str">
        <f>SUBSTITUTE(Table1[[#This Row],[Order_Status]],"Delivered","Completed")</f>
        <v>Shipped</v>
      </c>
      <c r="CF353" s="2">
        <v>46129</v>
      </c>
      <c r="CG353" s="17">
        <f>NETWORKDAYS(Table1[[#This Row],[Order_Date]],Table1[[#This Row],[Delivery_Date]])</f>
        <v>4</v>
      </c>
      <c r="CH353" s="17">
        <f>Table1[[#This Row],[Delivery_Date]]-Table1[[#This Row],[Order_Date]]</f>
        <v>3</v>
      </c>
      <c r="CI353" t="s">
        <v>137</v>
      </c>
      <c r="CJ353" t="str">
        <f>IF(Table1[[#This Row],[Rating]]&gt;=4,"Good","Needs Improvement")</f>
        <v>Needs Improvement</v>
      </c>
      <c r="CK353" t="str">
        <f>IF(OR(Table1[[#This Row],[Rating]]&lt;=2,Table1[[#This Row],[Profit]]&lt;0),"Review","NO")</f>
        <v>Review</v>
      </c>
      <c r="CL353" t="e" cm="1">
        <f t="array" ref="CL353">_xlfn.IFS(Table1[[#This Row],[Rating]]&gt;2,"Poor",Table1[[#This Row],[Rating]]=3,"Average",Table1[[#This Row],[Rating]]=4,"Good",CP353=5,"Excellent")</f>
        <v>#N/A</v>
      </c>
      <c r="CM353">
        <f>COUNT(Table1[[#This Row],[Rating]])</f>
        <v>0</v>
      </c>
      <c r="CN353">
        <f>COUNTBLANK(Table1[[#This Row],[Rating]])</f>
        <v>1</v>
      </c>
      <c r="CP353" t="s">
        <v>157</v>
      </c>
      <c r="CR353" t="s">
        <v>204</v>
      </c>
      <c r="CS353" t="s">
        <v>140</v>
      </c>
      <c r="CU353" s="3">
        <v>4758.3</v>
      </c>
      <c r="CV353" s="3">
        <f>ROUND(Table1[[#This Row],[Sales_Amount]],0)</f>
        <v>4758</v>
      </c>
      <c r="CW353" s="3"/>
      <c r="CX353" s="3"/>
      <c r="CY353" s="3" t="b">
        <f>IF(AND(Table1[[#This Row],[Sales_Amount]]&gt;=10000,Table1[[#This Row],[Profit]]&gt;0),"Good Order")</f>
        <v>0</v>
      </c>
      <c r="CZ353" s="3" t="str">
        <f>IF(Table1[[#This Row],[Sales_Amount]]&gt;=10000,"High","Normal")</f>
        <v>Normal</v>
      </c>
      <c r="DA353" s="3">
        <v>1758.3</v>
      </c>
      <c r="DB353" s="3">
        <f>ROUND(Table1[[#This Row],[Profit]],0)</f>
        <v>1758</v>
      </c>
      <c r="DC353" s="3">
        <f>ABS(Table1[[#This Row],[Profit]])</f>
        <v>1758.3</v>
      </c>
      <c r="DD353" s="3"/>
      <c r="DE353" s="3"/>
      <c r="DF353" s="3"/>
      <c r="DG353" s="3" t="str">
        <f>IF(Table1[[#This Row],[Profit]]&gt;0,"Profit","Loss")</f>
        <v>Profit</v>
      </c>
      <c r="DH353" s="3" t="str">
        <f>IF(AND(Table1[[#This Row],[Sales_Amount]]&gt;=10000,Table1[[#This Row],[Profit]]&gt;0),"Priority","Normal")</f>
        <v>Normal</v>
      </c>
      <c r="DI353" s="3">
        <f t="shared" ca="1" si="37"/>
        <v>0.3899442403566038</v>
      </c>
      <c r="DJ353" s="3">
        <f t="shared" ca="1" si="38"/>
        <v>77</v>
      </c>
      <c r="DK353" s="3"/>
      <c r="DL353" s="3"/>
      <c r="DM353" s="3"/>
      <c r="DN353" s="3"/>
      <c r="DO353" s="3"/>
      <c r="DP353" s="3"/>
    </row>
    <row r="354" spans="1:120">
      <c r="A354" t="s">
        <v>1533</v>
      </c>
      <c r="B354" t="str">
        <f>REPLACE(Table1[[#This Row],[Order_ID]],1,3,"YOO")</f>
        <v>YOO10353</v>
      </c>
      <c r="C354" t="str">
        <f>MID(Table1[[#This Row],[Order_ID]],4,4)</f>
        <v>1035</v>
      </c>
      <c r="D354" t="str">
        <f>LEFT(Table1[[#This Row],[Order_ID]],4)</f>
        <v>ORD1</v>
      </c>
      <c r="E354" t="str">
        <f>RIGHT(Table1[[#This Row],[Order_ID]],5)</f>
        <v>10353</v>
      </c>
      <c r="F354" t="s">
        <v>5</v>
      </c>
      <c r="G354">
        <v>10353</v>
      </c>
      <c r="H354" t="s">
        <v>1223</v>
      </c>
      <c r="I354" s="2">
        <f>EDATE(Table1[[#This Row],[Order_Date]],3)</f>
        <v>45836</v>
      </c>
      <c r="J354" s="2">
        <f>EDATE(Table1[[#This Row],[Order_Date]],6)</f>
        <v>45928</v>
      </c>
      <c r="K354">
        <f ca="1">YEAR(Table1[[#This Row],[Today]])</f>
        <v>2026</v>
      </c>
      <c r="L354">
        <v>353</v>
      </c>
      <c r="M354">
        <f ca="1">DAY(Table1[[#This Row],[Today]])</f>
        <v>11</v>
      </c>
      <c r="N354" s="19">
        <f t="shared" ca="1" si="41"/>
        <v>46245.589795370368</v>
      </c>
      <c r="O354" s="2">
        <f t="shared" ca="1" si="36"/>
        <v>46245</v>
      </c>
      <c r="P354" s="17">
        <f ca="1">Table1[[#This Row],[Today]]-Table1[[#This Row],[Order_Date]]</f>
        <v>501</v>
      </c>
      <c r="Q354" s="2">
        <v>46010</v>
      </c>
      <c r="R354" s="2">
        <v>45744</v>
      </c>
      <c r="S354" s="6">
        <f t="shared" si="39"/>
        <v>2025</v>
      </c>
      <c r="T354" s="7" t="str">
        <f t="shared" si="40"/>
        <v>March</v>
      </c>
      <c r="U354" s="2">
        <f>WORKDAY(Table1[[#This Row],[Order_Date]],5)</f>
        <v>45751</v>
      </c>
      <c r="V354" s="7" t="str">
        <f>CONCATENATE(Table1[[#This Row],[Customer_ID]],Table1[[#This Row],[Customer_Name]])</f>
        <v xml:space="preserve">C1017  karan patel  </v>
      </c>
      <c r="W354" t="s">
        <v>685</v>
      </c>
      <c r="X354" t="s">
        <v>1224</v>
      </c>
      <c r="Y354">
        <f>COUNTA(Table1[[#This Row],[Customer_Name]])</f>
        <v>1</v>
      </c>
      <c r="Z354" t="str">
        <f>SUBSTITUTE(Table1[[#This Row],[Customer_Name]]," ","_")</f>
        <v>__karan_patel__</v>
      </c>
      <c r="AA354" s="10">
        <f>IFERROR(SEARCH("a",Table1[[#This Row],[Customer_Name]]),"N/A")</f>
        <v>4</v>
      </c>
      <c r="AB354">
        <f>SEARCH(" ",Table1[[#This Row],[Customer_Name]])</f>
        <v>1</v>
      </c>
      <c r="AC354" s="11">
        <f>IFERROR(FIND("a",Table1[[#This Row],[Customer_Name]]),"N/A")</f>
        <v>4</v>
      </c>
      <c r="AD354">
        <f>FIND(" ",Table1[[#This Row],[Customer_Name]])</f>
        <v>1</v>
      </c>
      <c r="AE354" t="str">
        <f>TRIM(Table1[[#This Row],[Customer_Name]])</f>
        <v>karan patel</v>
      </c>
      <c r="AF354">
        <f>LEN(Table1[[#This Row],[Trimmed]])</f>
        <v>11</v>
      </c>
      <c r="AG354">
        <f>MAX(Table1[Length])</f>
        <v>15</v>
      </c>
      <c r="AH354" t="str">
        <f>PROPER(Table1[[#This Row],[Customer_Name]])</f>
        <v xml:space="preserve">  Karan Patel  </v>
      </c>
      <c r="AI354" t="str">
        <f>LOWER(Table1[[#This Row],[Customer_Name]])</f>
        <v xml:space="preserve">  karan patel  </v>
      </c>
      <c r="AJ354" t="str">
        <f>UPPER(Table1[[#This Row],[Customer_Name]])</f>
        <v xml:space="preserve">  KARAN PATEL  </v>
      </c>
      <c r="AK354" t="str">
        <f>CONCATENATE(Table1[[#This Row],[Customer_ID]],Table1[[#This Row],[Customer_Name]])</f>
        <v xml:space="preserve">C1017  karan patel  </v>
      </c>
      <c r="AL354" t="s">
        <v>1225</v>
      </c>
      <c r="AM354" t="s">
        <v>1226</v>
      </c>
      <c r="AN354" t="s">
        <v>283</v>
      </c>
      <c r="AO354" t="s">
        <v>1225</v>
      </c>
      <c r="AP354" t="s">
        <v>1226</v>
      </c>
      <c r="AQ354" t="s">
        <v>199</v>
      </c>
      <c r="AR354" t="str">
        <f>TRIM(Table1[[#This Row],[City]])</f>
        <v>Lucknow</v>
      </c>
      <c r="AS354" t="str">
        <f>PROPER(Table1[[#This Row],[City]])</f>
        <v>Lucknow</v>
      </c>
      <c r="AT354" t="s">
        <v>200</v>
      </c>
      <c r="AU354" t="str">
        <f>CONCATENATE(Table1[[#This Row],[City]],Table1[[#This Row],[State]])</f>
        <v>LucknowUttar Pradesh</v>
      </c>
      <c r="AV354" t="s">
        <v>150</v>
      </c>
      <c r="AW354" t="s">
        <v>221</v>
      </c>
      <c r="AX354" t="str">
        <f>REPLACE(Table1[[#This Row],[Product_ID]],1,1,"s")</f>
        <v>s106</v>
      </c>
      <c r="AY354" t="s">
        <v>1534</v>
      </c>
      <c r="AZ354">
        <f>SEARCH("-",Table1[[#This Row],[Product ID]])</f>
        <v>2</v>
      </c>
      <c r="BA354">
        <f>FIND("-",Table1[[#This Row],[Product ID]])</f>
        <v>2</v>
      </c>
      <c r="BB354" t="str">
        <f>MID(Table1[[#This Row],[Product_ID]],2,3)</f>
        <v>106</v>
      </c>
      <c r="BC354" t="str">
        <f>RIGHT(Table1[[#This Row],[Product_ID]],3)</f>
        <v>106</v>
      </c>
      <c r="BD354" t="str">
        <f>LEFT(Table1[[#This Row],[Product_ID]],3)</f>
        <v>P10</v>
      </c>
      <c r="BE354" t="str">
        <f>_xlfn.XLOOKUP(Table1[[#This Row],[Product_ID]],AW:AW,BF:BF,,0)</f>
        <v>Running Shoes</v>
      </c>
      <c r="BF354" t="s">
        <v>223</v>
      </c>
      <c r="BG354">
        <f>LEN(Table1[[#This Row],[Product_Name]])</f>
        <v>13</v>
      </c>
      <c r="BH354" t="s">
        <v>224</v>
      </c>
      <c r="BI354">
        <f t="shared" si="42"/>
        <v>75</v>
      </c>
      <c r="BJ354" t="str">
        <f>SUBSTITUTE(Table1[[#This Row],[Category]],"Electronics","ELECTRONICS")</f>
        <v>Fashion</v>
      </c>
      <c r="BN354" t="s">
        <v>225</v>
      </c>
      <c r="BS354" s="14">
        <v>5</v>
      </c>
      <c r="BT354" s="3">
        <v>3499</v>
      </c>
      <c r="BU354" s="4">
        <v>10</v>
      </c>
      <c r="BV354" s="4" t="str">
        <f>IF(AND(Table1[[#This Row],[Quantity]]&gt;=3,Table1[[#This Row],[Discount_%]]&gt;=15%),"Bulk Discount","no")</f>
        <v>Bulk Discount</v>
      </c>
      <c r="BW354" s="4" t="str">
        <f>IF(AND(Table1[[#This Row],[Quantity]]&gt;3,Table1[[#This Row],[Discount_%]]&gt;15%),"Bulk Customer","Normal")</f>
        <v>Bulk Customer</v>
      </c>
      <c r="BX354" t="s">
        <v>330</v>
      </c>
      <c r="BY354" t="s">
        <v>193</v>
      </c>
      <c r="CC354" t="str">
        <f>IF(OR(Table1[[#This Row],[Order_Status]]="Returned",Table1[[#This Row],[Order_Status]]="Cancelled"),"Attention Required","Not")</f>
        <v>Not</v>
      </c>
      <c r="CD354" t="str">
        <f>IF(OR(Table1[[#This Row],[Order_Status]]="Returned",Table1[[#This Row],[Order_Status]]="Cancelled"),"Review","no")</f>
        <v>no</v>
      </c>
      <c r="CE354" t="str">
        <f>SUBSTITUTE(Table1[[#This Row],[Order_Status]],"Delivered","Completed")</f>
        <v>Shipped</v>
      </c>
      <c r="CF354" s="2">
        <v>45746</v>
      </c>
      <c r="CG354" s="17">
        <f>NETWORKDAYS(Table1[[#This Row],[Order_Date]],Table1[[#This Row],[Delivery_Date]])</f>
        <v>1</v>
      </c>
      <c r="CH354" s="17">
        <f>Table1[[#This Row],[Delivery_Date]]-Table1[[#This Row],[Order_Date]]</f>
        <v>2</v>
      </c>
      <c r="CI354" t="s">
        <v>137</v>
      </c>
      <c r="CJ354" t="str">
        <f>IF(Table1[[#This Row],[Rating]]&gt;=4,"Good","Needs Improvement")</f>
        <v>Needs Improvement</v>
      </c>
      <c r="CK354" t="str">
        <f>IF(OR(Table1[[#This Row],[Rating]]&lt;=2,Table1[[#This Row],[Profit]]&lt;0),"Review","NO")</f>
        <v>Review</v>
      </c>
      <c r="CL354" t="e" cm="1">
        <f t="array" ref="CL354">_xlfn.IFS(Table1[[#This Row],[Rating]]&gt;2,"Poor",Table1[[#This Row],[Rating]]=3,"Average",Table1[[#This Row],[Rating]]=4,"Good",CP354=5,"Excellent")</f>
        <v>#N/A</v>
      </c>
      <c r="CM354">
        <f>COUNT(Table1[[#This Row],[Rating]])</f>
        <v>1</v>
      </c>
      <c r="CN354">
        <f>COUNTBLANK(Table1[[#This Row],[Rating]])</f>
        <v>0</v>
      </c>
      <c r="CP354" t="s">
        <v>194</v>
      </c>
      <c r="CQ354" s="14">
        <v>1</v>
      </c>
      <c r="CR354" t="s">
        <v>139</v>
      </c>
      <c r="CS354" t="s">
        <v>195</v>
      </c>
      <c r="CU354" s="3">
        <v>15745.5</v>
      </c>
      <c r="CV354" s="3">
        <f>ROUND(Table1[[#This Row],[Sales_Amount]],0)</f>
        <v>15746</v>
      </c>
      <c r="CW354" s="3"/>
      <c r="CX354" s="3"/>
      <c r="CY354" s="3" t="str">
        <f>IF(AND(Table1[[#This Row],[Sales_Amount]]&gt;=10000,Table1[[#This Row],[Profit]]&gt;0),"Good Order")</f>
        <v>Good Order</v>
      </c>
      <c r="CZ354" s="3" t="str">
        <f>IF(Table1[[#This Row],[Sales_Amount]]&gt;=10000,"High","Normal")</f>
        <v>High</v>
      </c>
      <c r="DA354" s="3">
        <v>6245.5</v>
      </c>
      <c r="DB354" s="3">
        <f>ROUND(Table1[[#This Row],[Profit]],0)</f>
        <v>6246</v>
      </c>
      <c r="DC354" s="3">
        <f>ABS(Table1[[#This Row],[Profit]])</f>
        <v>6245.5</v>
      </c>
      <c r="DD354" s="3"/>
      <c r="DE354" s="3"/>
      <c r="DF354" s="3"/>
      <c r="DG354" s="3" t="str">
        <f>IF(Table1[[#This Row],[Profit]]&gt;0,"Profit","Loss")</f>
        <v>Profit</v>
      </c>
      <c r="DH354" s="3" t="str">
        <f>IF(AND(Table1[[#This Row],[Sales_Amount]]&gt;=10000,Table1[[#This Row],[Profit]]&gt;0),"Priority","Normal")</f>
        <v>Priority</v>
      </c>
      <c r="DI354" s="3">
        <f t="shared" ca="1" si="37"/>
        <v>0.31146320702995201</v>
      </c>
      <c r="DJ354" s="3">
        <f t="shared" ca="1" si="38"/>
        <v>72</v>
      </c>
      <c r="DK354" s="3"/>
      <c r="DL354" s="3"/>
      <c r="DM354" s="3"/>
      <c r="DN354" s="3"/>
      <c r="DO354" s="3"/>
      <c r="DP354" s="3"/>
    </row>
    <row r="355" spans="1:120">
      <c r="A355" t="s">
        <v>1535</v>
      </c>
      <c r="B355" t="str">
        <f>REPLACE(Table1[[#This Row],[Order_ID]],1,3,"YOO")</f>
        <v>YOO10354</v>
      </c>
      <c r="C355" t="str">
        <f>MID(Table1[[#This Row],[Order_ID]],4,4)</f>
        <v>1035</v>
      </c>
      <c r="D355" t="str">
        <f>LEFT(Table1[[#This Row],[Order_ID]],4)</f>
        <v>ORD1</v>
      </c>
      <c r="E355" t="str">
        <f>RIGHT(Table1[[#This Row],[Order_ID]],5)</f>
        <v>10354</v>
      </c>
      <c r="F355" t="s">
        <v>5</v>
      </c>
      <c r="G355">
        <v>10354</v>
      </c>
      <c r="H355" t="s">
        <v>1520</v>
      </c>
      <c r="I355" s="2">
        <f>EDATE(Table1[[#This Row],[Order_Date]],3)</f>
        <v>46248</v>
      </c>
      <c r="J355" s="2">
        <f>EDATE(Table1[[#This Row],[Order_Date]],6)</f>
        <v>46340</v>
      </c>
      <c r="K355">
        <f ca="1">YEAR(Table1[[#This Row],[Today]])</f>
        <v>2026</v>
      </c>
      <c r="L355">
        <v>354</v>
      </c>
      <c r="M355">
        <f ca="1">DAY(Table1[[#This Row],[Today]])</f>
        <v>11</v>
      </c>
      <c r="N355" s="19">
        <f t="shared" ca="1" si="41"/>
        <v>46245.589795370368</v>
      </c>
      <c r="O355" s="2">
        <f t="shared" ca="1" si="36"/>
        <v>46245</v>
      </c>
      <c r="P355" s="17">
        <f ca="1">Table1[[#This Row],[Today]]-Table1[[#This Row],[Order_Date]]</f>
        <v>89</v>
      </c>
      <c r="Q355" s="2">
        <v>46011</v>
      </c>
      <c r="R355" s="2">
        <v>46156</v>
      </c>
      <c r="S355" s="6">
        <f t="shared" si="39"/>
        <v>2026</v>
      </c>
      <c r="T355" s="7" t="str">
        <f t="shared" si="40"/>
        <v>May</v>
      </c>
      <c r="U355" s="2">
        <f>WORKDAY(Table1[[#This Row],[Order_Date]],5)</f>
        <v>46163</v>
      </c>
      <c r="V355" s="7" t="str">
        <f>CONCATENATE(Table1[[#This Row],[Customer_ID]],Table1[[#This Row],[Customer_Name]])</f>
        <v>C1073Meera Nair</v>
      </c>
      <c r="W355" t="s">
        <v>1521</v>
      </c>
      <c r="X355" t="s">
        <v>429</v>
      </c>
      <c r="Y355">
        <f>COUNTA(Table1[[#This Row],[Customer_Name]])</f>
        <v>1</v>
      </c>
      <c r="Z355" t="str">
        <f>SUBSTITUTE(Table1[[#This Row],[Customer_Name]]," ","_")</f>
        <v>Meera_Nair</v>
      </c>
      <c r="AA355" s="10">
        <f>IFERROR(SEARCH("a",Table1[[#This Row],[Customer_Name]]),"N/A")</f>
        <v>5</v>
      </c>
      <c r="AB355">
        <f>SEARCH(" ",Table1[[#This Row],[Customer_Name]])</f>
        <v>6</v>
      </c>
      <c r="AC355" s="11">
        <f>IFERROR(FIND("a",Table1[[#This Row],[Customer_Name]]),"N/A")</f>
        <v>5</v>
      </c>
      <c r="AD355">
        <f>FIND(" ",Table1[[#This Row],[Customer_Name]])</f>
        <v>6</v>
      </c>
      <c r="AE355" t="str">
        <f>TRIM(Table1[[#This Row],[Customer_Name]])</f>
        <v>Meera Nair</v>
      </c>
      <c r="AF355">
        <f>LEN(Table1[[#This Row],[Trimmed]])</f>
        <v>10</v>
      </c>
      <c r="AG355">
        <f>MAX(Table1[Length])</f>
        <v>15</v>
      </c>
      <c r="AH355" t="str">
        <f>PROPER(Table1[[#This Row],[Customer_Name]])</f>
        <v>Meera Nair</v>
      </c>
      <c r="AI355" t="str">
        <f>LOWER(Table1[[#This Row],[Customer_Name]])</f>
        <v>meera nair</v>
      </c>
      <c r="AJ355" t="str">
        <f>UPPER(Table1[[#This Row],[Customer_Name]])</f>
        <v>MEERA NAIR</v>
      </c>
      <c r="AK355" t="str">
        <f>CONCATENATE(Table1[[#This Row],[Customer_ID]],Table1[[#This Row],[Customer_Name]])</f>
        <v>C1073Meera Nair</v>
      </c>
      <c r="AL355" t="s">
        <v>430</v>
      </c>
      <c r="AM355" t="s">
        <v>431</v>
      </c>
      <c r="AN355" t="s">
        <v>432</v>
      </c>
      <c r="AO355" t="s">
        <v>430</v>
      </c>
      <c r="AP355" t="s">
        <v>431</v>
      </c>
      <c r="AQ355" t="s">
        <v>148</v>
      </c>
      <c r="AR355" t="str">
        <f>TRIM(Table1[[#This Row],[City]])</f>
        <v>Jaipur</v>
      </c>
      <c r="AS355" t="str">
        <f>PROPER(Table1[[#This Row],[City]])</f>
        <v>Jaipur</v>
      </c>
      <c r="AT355" t="s">
        <v>149</v>
      </c>
      <c r="AU355" t="str">
        <f>CONCATENATE(Table1[[#This Row],[City]],Table1[[#This Row],[State]])</f>
        <v>JaipurRajasthan</v>
      </c>
      <c r="AV355" t="s">
        <v>150</v>
      </c>
      <c r="AW355" t="s">
        <v>151</v>
      </c>
      <c r="AX355" t="str">
        <f>REPLACE(Table1[[#This Row],[Product_ID]],1,1,"s")</f>
        <v>s102</v>
      </c>
      <c r="AY355" t="s">
        <v>1536</v>
      </c>
      <c r="AZ355">
        <f>SEARCH("-",Table1[[#This Row],[Product ID]])</f>
        <v>2</v>
      </c>
      <c r="BA355">
        <f>FIND("-",Table1[[#This Row],[Product ID]])</f>
        <v>2</v>
      </c>
      <c r="BB355" t="str">
        <f>MID(Table1[[#This Row],[Product_ID]],2,3)</f>
        <v>102</v>
      </c>
      <c r="BC355" t="str">
        <f>RIGHT(Table1[[#This Row],[Product_ID]],3)</f>
        <v>102</v>
      </c>
      <c r="BD355" t="str">
        <f>LEFT(Table1[[#This Row],[Product_ID]],3)</f>
        <v>P10</v>
      </c>
      <c r="BE355" t="str">
        <f>_xlfn.XLOOKUP(Table1[[#This Row],[Product_ID]],AW:AW,BF:BF,,0)</f>
        <v>Mechanical Keyboard</v>
      </c>
      <c r="BF355" t="s">
        <v>153</v>
      </c>
      <c r="BG355">
        <f>LEN(Table1[[#This Row],[Product_Name]])</f>
        <v>19</v>
      </c>
      <c r="BH355" t="s">
        <v>154</v>
      </c>
      <c r="BI355">
        <f t="shared" si="42"/>
        <v>75</v>
      </c>
      <c r="BJ355" t="str">
        <f>SUBSTITUTE(Table1[[#This Row],[Category]],"Electronics","ELECTRONICS")</f>
        <v>ELECTRONICS</v>
      </c>
      <c r="BN355" t="s">
        <v>155</v>
      </c>
      <c r="BS355" s="14">
        <v>3</v>
      </c>
      <c r="BT355" s="3">
        <v>2499</v>
      </c>
      <c r="BU355" s="4">
        <v>15</v>
      </c>
      <c r="BV355" s="4" t="str">
        <f>IF(AND(Table1[[#This Row],[Quantity]]&gt;=3,Table1[[#This Row],[Discount_%]]&gt;=15%),"Bulk Discount","no")</f>
        <v>Bulk Discount</v>
      </c>
      <c r="BW355" s="4" t="str">
        <f>IF(AND(Table1[[#This Row],[Quantity]]&gt;3,Table1[[#This Row],[Discount_%]]&gt;15%),"Bulk Customer","Normal")</f>
        <v>Normal</v>
      </c>
      <c r="BX355" t="s">
        <v>172</v>
      </c>
      <c r="BY355" t="s">
        <v>136</v>
      </c>
      <c r="CC355" t="str">
        <f>IF(OR(Table1[[#This Row],[Order_Status]]="Returned",Table1[[#This Row],[Order_Status]]="Cancelled"),"Attention Required","Not")</f>
        <v>Not</v>
      </c>
      <c r="CD355" t="str">
        <f>IF(OR(Table1[[#This Row],[Order_Status]]="Returned",Table1[[#This Row],[Order_Status]]="Cancelled"),"Review","no")</f>
        <v>no</v>
      </c>
      <c r="CE355" t="str">
        <f>SUBSTITUTE(Table1[[#This Row],[Order_Status]],"Delivered","Completed")</f>
        <v>Completed</v>
      </c>
      <c r="CF355" s="2">
        <v>46160</v>
      </c>
      <c r="CG355" s="17">
        <f>NETWORKDAYS(Table1[[#This Row],[Order_Date]],Table1[[#This Row],[Delivery_Date]])</f>
        <v>3</v>
      </c>
      <c r="CH355" s="17">
        <f>Table1[[#This Row],[Delivery_Date]]-Table1[[#This Row],[Order_Date]]</f>
        <v>4</v>
      </c>
      <c r="CI355" t="s">
        <v>137</v>
      </c>
      <c r="CJ355" t="str">
        <f>IF(Table1[[#This Row],[Rating]]&gt;=4,"Good","Needs Improvement")</f>
        <v>Needs Improvement</v>
      </c>
      <c r="CK355" t="str">
        <f>IF(OR(Table1[[#This Row],[Rating]]&lt;=2,Table1[[#This Row],[Profit]]&lt;0),"Review","NO")</f>
        <v>Review</v>
      </c>
      <c r="CL355" t="e" cm="1">
        <f t="array" ref="CL355">_xlfn.IFS(Table1[[#This Row],[Rating]]&gt;2,"Poor",Table1[[#This Row],[Rating]]=3,"Average",Table1[[#This Row],[Rating]]=4,"Good",CP355=5,"Excellent")</f>
        <v>#N/A</v>
      </c>
      <c r="CM355">
        <f>COUNT(Table1[[#This Row],[Rating]])</f>
        <v>1</v>
      </c>
      <c r="CN355">
        <f>COUNTBLANK(Table1[[#This Row],[Rating]])</f>
        <v>0</v>
      </c>
      <c r="CP355" t="s">
        <v>194</v>
      </c>
      <c r="CQ355" s="14">
        <v>2</v>
      </c>
      <c r="CR355" t="s">
        <v>173</v>
      </c>
      <c r="CS355" t="s">
        <v>267</v>
      </c>
      <c r="CU355" s="3">
        <v>6372.45</v>
      </c>
      <c r="CV355" s="3">
        <f>ROUND(Table1[[#This Row],[Sales_Amount]],0)</f>
        <v>6372</v>
      </c>
      <c r="CW355" s="3"/>
      <c r="CX355" s="3"/>
      <c r="CY355" s="3" t="b">
        <f>IF(AND(Table1[[#This Row],[Sales_Amount]]&gt;=10000,Table1[[#This Row],[Profit]]&gt;0),"Good Order")</f>
        <v>0</v>
      </c>
      <c r="CZ355" s="3" t="str">
        <f>IF(Table1[[#This Row],[Sales_Amount]]&gt;=10000,"High","Normal")</f>
        <v>Normal</v>
      </c>
      <c r="DA355" s="3">
        <v>2022.45</v>
      </c>
      <c r="DB355" s="3">
        <f>ROUND(Table1[[#This Row],[Profit]],0)</f>
        <v>2022</v>
      </c>
      <c r="DC355" s="3">
        <f>ABS(Table1[[#This Row],[Profit]])</f>
        <v>2022.45</v>
      </c>
      <c r="DD355" s="3"/>
      <c r="DE355" s="3"/>
      <c r="DF355" s="3"/>
      <c r="DG355" s="3" t="str">
        <f>IF(Table1[[#This Row],[Profit]]&gt;0,"Profit","Loss")</f>
        <v>Profit</v>
      </c>
      <c r="DH355" s="3" t="str">
        <f>IF(AND(Table1[[#This Row],[Sales_Amount]]&gt;=10000,Table1[[#This Row],[Profit]]&gt;0),"Priority","Normal")</f>
        <v>Normal</v>
      </c>
      <c r="DI355" s="3">
        <f t="shared" ca="1" si="37"/>
        <v>0.4066751318519044</v>
      </c>
      <c r="DJ355" s="3">
        <f t="shared" ca="1" si="38"/>
        <v>40</v>
      </c>
      <c r="DK355" s="3"/>
      <c r="DL355" s="3"/>
      <c r="DM355" s="3"/>
      <c r="DN355" s="3"/>
      <c r="DO355" s="3"/>
      <c r="DP355" s="3"/>
    </row>
    <row r="356" spans="1:120">
      <c r="A356" t="s">
        <v>1537</v>
      </c>
      <c r="B356" t="str">
        <f>REPLACE(Table1[[#This Row],[Order_ID]],1,3,"YOO")</f>
        <v>YOO10355</v>
      </c>
      <c r="C356" t="str">
        <f>MID(Table1[[#This Row],[Order_ID]],4,4)</f>
        <v>1035</v>
      </c>
      <c r="D356" t="str">
        <f>LEFT(Table1[[#This Row],[Order_ID]],4)</f>
        <v>ORD1</v>
      </c>
      <c r="E356" t="str">
        <f>RIGHT(Table1[[#This Row],[Order_ID]],5)</f>
        <v>10355</v>
      </c>
      <c r="F356" t="s">
        <v>5</v>
      </c>
      <c r="G356">
        <v>10355</v>
      </c>
      <c r="H356" t="s">
        <v>596</v>
      </c>
      <c r="I356" s="2">
        <f>EDATE(Table1[[#This Row],[Order_Date]],3)</f>
        <v>46251</v>
      </c>
      <c r="J356" s="2">
        <f>EDATE(Table1[[#This Row],[Order_Date]],6)</f>
        <v>46343</v>
      </c>
      <c r="K356">
        <f ca="1">YEAR(Table1[[#This Row],[Today]])</f>
        <v>2026</v>
      </c>
      <c r="L356">
        <v>355</v>
      </c>
      <c r="M356">
        <f ca="1">DAY(Table1[[#This Row],[Today]])</f>
        <v>11</v>
      </c>
      <c r="N356" s="19">
        <f t="shared" ca="1" si="41"/>
        <v>46245.589795138891</v>
      </c>
      <c r="O356" s="2">
        <f t="shared" ca="1" si="36"/>
        <v>46245</v>
      </c>
      <c r="P356" s="17">
        <f ca="1">Table1[[#This Row],[Today]]-Table1[[#This Row],[Order_Date]]</f>
        <v>86</v>
      </c>
      <c r="Q356" s="2">
        <v>46012</v>
      </c>
      <c r="R356" s="2">
        <v>46159</v>
      </c>
      <c r="S356" s="6">
        <f t="shared" si="39"/>
        <v>2026</v>
      </c>
      <c r="T356" s="7" t="str">
        <f t="shared" si="40"/>
        <v>May</v>
      </c>
      <c r="U356" s="2">
        <f>WORKDAY(Table1[[#This Row],[Order_Date]],5)</f>
        <v>46164</v>
      </c>
      <c r="V356" s="7" t="str">
        <f>CONCATENATE(Table1[[#This Row],[Customer_ID]],Table1[[#This Row],[Customer_Name]])</f>
        <v>C1086Riya Agarwal</v>
      </c>
      <c r="W356" t="s">
        <v>597</v>
      </c>
      <c r="X356" t="s">
        <v>217</v>
      </c>
      <c r="Y356">
        <f>COUNTA(Table1[[#This Row],[Customer_Name]])</f>
        <v>1</v>
      </c>
      <c r="Z356" t="str">
        <f>SUBSTITUTE(Table1[[#This Row],[Customer_Name]]," ","_")</f>
        <v>Riya_Agarwal</v>
      </c>
      <c r="AA356" s="10">
        <f>IFERROR(SEARCH("a",Table1[[#This Row],[Customer_Name]]),"N/A")</f>
        <v>4</v>
      </c>
      <c r="AB356">
        <f>SEARCH(" ",Table1[[#This Row],[Customer_Name]])</f>
        <v>5</v>
      </c>
      <c r="AC356" s="11">
        <f>IFERROR(FIND("a",Table1[[#This Row],[Customer_Name]]),"N/A")</f>
        <v>4</v>
      </c>
      <c r="AD356">
        <f>FIND(" ",Table1[[#This Row],[Customer_Name]])</f>
        <v>5</v>
      </c>
      <c r="AE356" t="str">
        <f>TRIM(Table1[[#This Row],[Customer_Name]])</f>
        <v>Riya Agarwal</v>
      </c>
      <c r="AF356">
        <f>LEN(Table1[[#This Row],[Trimmed]])</f>
        <v>12</v>
      </c>
      <c r="AG356">
        <f>MAX(Table1[Length])</f>
        <v>15</v>
      </c>
      <c r="AH356" t="str">
        <f>PROPER(Table1[[#This Row],[Customer_Name]])</f>
        <v>Riya Agarwal</v>
      </c>
      <c r="AI356" t="str">
        <f>LOWER(Table1[[#This Row],[Customer_Name]])</f>
        <v>riya agarwal</v>
      </c>
      <c r="AJ356" t="str">
        <f>UPPER(Table1[[#This Row],[Customer_Name]])</f>
        <v>RIYA AGARWAL</v>
      </c>
      <c r="AK356" t="str">
        <f>CONCATENATE(Table1[[#This Row],[Customer_ID]],Table1[[#This Row],[Customer_Name]])</f>
        <v>C1086Riya Agarwal</v>
      </c>
      <c r="AL356" t="s">
        <v>218</v>
      </c>
      <c r="AM356" t="s">
        <v>219</v>
      </c>
      <c r="AN356" t="s">
        <v>220</v>
      </c>
      <c r="AO356" t="s">
        <v>218</v>
      </c>
      <c r="AP356" t="s">
        <v>219</v>
      </c>
      <c r="AQ356" t="s">
        <v>233</v>
      </c>
      <c r="AR356" t="str">
        <f>TRIM(Table1[[#This Row],[City]])</f>
        <v>Kolkata</v>
      </c>
      <c r="AS356" t="str">
        <f>PROPER(Table1[[#This Row],[City]])</f>
        <v>Kolkata</v>
      </c>
      <c r="AT356" t="s">
        <v>234</v>
      </c>
      <c r="AU356" t="str">
        <f>CONCATENATE(Table1[[#This Row],[City]],Table1[[#This Row],[State]])</f>
        <v>KolkataWest Bengal</v>
      </c>
      <c r="AV356" t="s">
        <v>235</v>
      </c>
      <c r="AW356" t="s">
        <v>261</v>
      </c>
      <c r="AX356" t="str">
        <f>REPLACE(Table1[[#This Row],[Product_ID]],1,1,"s")</f>
        <v>s114</v>
      </c>
      <c r="AY356" t="s">
        <v>1538</v>
      </c>
      <c r="AZ356">
        <f>SEARCH("-",Table1[[#This Row],[Product ID]])</f>
        <v>2</v>
      </c>
      <c r="BA356">
        <f>FIND("-",Table1[[#This Row],[Product ID]])</f>
        <v>2</v>
      </c>
      <c r="BB356" t="str">
        <f>MID(Table1[[#This Row],[Product_ID]],2,3)</f>
        <v>114</v>
      </c>
      <c r="BC356" t="str">
        <f>RIGHT(Table1[[#This Row],[Product_ID]],3)</f>
        <v>114</v>
      </c>
      <c r="BD356" t="str">
        <f>LEFT(Table1[[#This Row],[Product_ID]],3)</f>
        <v>P11</v>
      </c>
      <c r="BE356" t="str">
        <f>_xlfn.XLOOKUP(Table1[[#This Row],[Product_ID]],AW:AW,BF:BF,,0)</f>
        <v>Yoga Mat</v>
      </c>
      <c r="BF356" t="s">
        <v>263</v>
      </c>
      <c r="BG356">
        <f>LEN(Table1[[#This Row],[Product_Name]])</f>
        <v>8</v>
      </c>
      <c r="BH356" t="s">
        <v>264</v>
      </c>
      <c r="BI356">
        <f t="shared" si="42"/>
        <v>75</v>
      </c>
      <c r="BJ356" t="str">
        <f>SUBSTITUTE(Table1[[#This Row],[Category]],"Electronics","ELECTRONICS")</f>
        <v>Sports</v>
      </c>
      <c r="BN356" t="s">
        <v>265</v>
      </c>
      <c r="BS356" s="14">
        <v>2</v>
      </c>
      <c r="BT356" s="3">
        <v>999</v>
      </c>
      <c r="BU356" s="4">
        <v>25</v>
      </c>
      <c r="BV356" s="4" t="str">
        <f>IF(AND(Table1[[#This Row],[Quantity]]&gt;=3,Table1[[#This Row],[Discount_%]]&gt;=15%),"Bulk Discount","no")</f>
        <v>no</v>
      </c>
      <c r="BW356" s="4" t="str">
        <f>IF(AND(Table1[[#This Row],[Quantity]]&gt;3,Table1[[#This Row],[Discount_%]]&gt;15%),"Bulk Customer","Normal")</f>
        <v>Normal</v>
      </c>
      <c r="BX356" t="s">
        <v>135</v>
      </c>
      <c r="BY356" t="s">
        <v>156</v>
      </c>
      <c r="CC356" t="str">
        <f>IF(OR(Table1[[#This Row],[Order_Status]]="Returned",Table1[[#This Row],[Order_Status]]="Cancelled"),"Attention Required","Not")</f>
        <v>Attention Required</v>
      </c>
      <c r="CD356" t="str">
        <f>IF(OR(Table1[[#This Row],[Order_Status]]="Returned",Table1[[#This Row],[Order_Status]]="Cancelled"),"Review","no")</f>
        <v>Review</v>
      </c>
      <c r="CE356" t="str">
        <f>SUBSTITUTE(Table1[[#This Row],[Order_Status]],"Delivered","Completed")</f>
        <v>Cancelled</v>
      </c>
      <c r="CF356" s="2">
        <v>46167</v>
      </c>
      <c r="CG356" s="17">
        <f>NETWORKDAYS(Table1[[#This Row],[Order_Date]],Table1[[#This Row],[Delivery_Date]])</f>
        <v>6</v>
      </c>
      <c r="CH356" s="17">
        <f>Table1[[#This Row],[Delivery_Date]]-Table1[[#This Row],[Order_Date]]</f>
        <v>8</v>
      </c>
      <c r="CI356" t="s">
        <v>137</v>
      </c>
      <c r="CJ356" t="str">
        <f>IF(Table1[[#This Row],[Rating]]&gt;=4,"Good","Needs Improvement")</f>
        <v>Good</v>
      </c>
      <c r="CK356" t="str">
        <f>IF(OR(Table1[[#This Row],[Rating]]&lt;=2,Table1[[#This Row],[Profit]]&lt;0),"Review","NO")</f>
        <v>NO</v>
      </c>
      <c r="CL356" t="str" cm="1">
        <f t="array" ref="CL356">_xlfn.IFS(Table1[[#This Row],[Rating]]&gt;2,"Poor",Table1[[#This Row],[Rating]]=3,"Average",Table1[[#This Row],[Rating]]=4,"Good",CP356=5,"Excellent")</f>
        <v>Poor</v>
      </c>
      <c r="CM356">
        <f>COUNT(Table1[[#This Row],[Rating]])</f>
        <v>1</v>
      </c>
      <c r="CN356">
        <f>COUNTBLANK(Table1[[#This Row],[Rating]])</f>
        <v>0</v>
      </c>
      <c r="CP356" t="s">
        <v>138</v>
      </c>
      <c r="CQ356" s="14">
        <v>5</v>
      </c>
      <c r="CR356" t="s">
        <v>173</v>
      </c>
      <c r="CS356" t="s">
        <v>195</v>
      </c>
      <c r="CU356" s="3">
        <v>1498.5</v>
      </c>
      <c r="CV356" s="3">
        <f>ROUND(Table1[[#This Row],[Sales_Amount]],0)</f>
        <v>1499</v>
      </c>
      <c r="CW356" s="3"/>
      <c r="CX356" s="3"/>
      <c r="CY356" s="3" t="b">
        <f>IF(AND(Table1[[#This Row],[Sales_Amount]]&gt;=10000,Table1[[#This Row],[Profit]]&gt;0),"Good Order")</f>
        <v>0</v>
      </c>
      <c r="CZ356" s="3" t="str">
        <f>IF(Table1[[#This Row],[Sales_Amount]]&gt;=10000,"High","Normal")</f>
        <v>Normal</v>
      </c>
      <c r="DA356" s="3">
        <v>598.5</v>
      </c>
      <c r="DB356" s="3">
        <f>ROUND(Table1[[#This Row],[Profit]],0)</f>
        <v>599</v>
      </c>
      <c r="DC356" s="3">
        <f>ABS(Table1[[#This Row],[Profit]])</f>
        <v>598.5</v>
      </c>
      <c r="DD356" s="3"/>
      <c r="DE356" s="3"/>
      <c r="DF356" s="3"/>
      <c r="DG356" s="3" t="str">
        <f>IF(Table1[[#This Row],[Profit]]&gt;0,"Profit","Loss")</f>
        <v>Profit</v>
      </c>
      <c r="DH356" s="3" t="str">
        <f>IF(AND(Table1[[#This Row],[Sales_Amount]]&gt;=10000,Table1[[#This Row],[Profit]]&gt;0),"Priority","Normal")</f>
        <v>Normal</v>
      </c>
      <c r="DI356" s="3">
        <f t="shared" ca="1" si="37"/>
        <v>0.52947485533868255</v>
      </c>
      <c r="DJ356" s="3">
        <f t="shared" ca="1" si="38"/>
        <v>64</v>
      </c>
      <c r="DK356" s="3"/>
      <c r="DL356" s="3"/>
      <c r="DM356" s="3"/>
      <c r="DN356" s="3"/>
      <c r="DO356" s="3"/>
      <c r="DP356" s="3"/>
    </row>
  </sheetData>
  <conditionalFormatting sqref="DA8:DF8">
    <cfRule type="cellIs" dxfId="101" priority="6" operator="lessThan">
      <formula>0</formula>
    </cfRule>
  </conditionalFormatting>
  <conditionalFormatting sqref="CQ1:CQ1048576">
    <cfRule type="cellIs" dxfId="100" priority="5" operator="lessThan">
      <formula>2</formula>
    </cfRule>
  </conditionalFormatting>
  <conditionalFormatting sqref="CU252:CX252 CZ252">
    <cfRule type="cellIs" dxfId="99" priority="4" operator="greaterThan">
      <formula>10000</formula>
    </cfRule>
  </conditionalFormatting>
  <conditionalFormatting sqref="CU357:CZ1048576 CU2:CX356 CZ2:CZ356">
    <cfRule type="cellIs" dxfId="98" priority="3" operator="greaterThan">
      <formula>10000</formula>
    </cfRule>
  </conditionalFormatting>
  <conditionalFormatting sqref="W1:W1048576">
    <cfRule type="duplicateValues" dxfId="97" priority="2"/>
  </conditionalFormatting>
  <dataValidations count="4">
    <dataValidation type="list" allowBlank="1" showInputMessage="1" showErrorMessage="1" sqref="BX1" xr:uid="{00000000-0002-0000-0000-000000000000}">
      <formula1>$BX$1</formula1>
    </dataValidation>
    <dataValidation type="whole" allowBlank="1" showInputMessage="1" showErrorMessage="1" sqref="CQ1:CQ1048576 BS1:BS1048576" xr:uid="{00000000-0002-0000-0000-000001000000}">
      <formula1>1</formula1>
      <formula2>5</formula2>
    </dataValidation>
    <dataValidation type="date" operator="notBetween" allowBlank="1" showInputMessage="1" showErrorMessage="1" sqref="R1:R1048576" xr:uid="{00000000-0002-0000-0000-000002000000}">
      <formula1>Q2</formula1>
      <formula2>Q356</formula2>
    </dataValidation>
    <dataValidation allowBlank="1" showInputMessage="1" showErrorMessage="1" errorTitle="NA" sqref="AC3" xr:uid="{00000000-0002-0000-0000-000003000000}"/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FB3B5C0-3EA5-47FC-A2FA-86E69C9B6666}">
            <xm:f>NOT(ISERROR(SEARCH($BY$28,BY1)))</xm:f>
            <xm:f>$BY$28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BY1:CE1048576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>
      <pane ySplit="1" topLeftCell="A2" activePane="bottomLeft" state="frozen"/>
      <selection pane="bottomLeft" activeCell="I1" sqref="I1:I1048576"/>
    </sheetView>
  </sheetViews>
  <sheetFormatPr defaultRowHeight="15"/>
  <cols>
    <col min="1" max="1" width="13.42578125" bestFit="1" customWidth="1"/>
    <col min="2" max="2" width="21" customWidth="1"/>
    <col min="3" max="3" width="13" customWidth="1"/>
    <col min="4" max="4" width="15.85546875" bestFit="1" customWidth="1"/>
    <col min="5" max="5" width="12" customWidth="1"/>
    <col min="6" max="6" width="12.7109375" bestFit="1" customWidth="1"/>
    <col min="7" max="7" width="15.140625" bestFit="1" customWidth="1"/>
    <col min="8" max="8" width="13.140625" bestFit="1" customWidth="1"/>
    <col min="9" max="9" width="15.5703125" bestFit="1" customWidth="1"/>
  </cols>
  <sheetData>
    <row r="1" spans="1:9">
      <c r="A1" s="1" t="s">
        <v>48</v>
      </c>
      <c r="B1" s="1" t="s">
        <v>57</v>
      </c>
      <c r="C1" s="1" t="s">
        <v>59</v>
      </c>
      <c r="D1" s="1" t="s">
        <v>65</v>
      </c>
      <c r="E1" s="1" t="s">
        <v>1539</v>
      </c>
      <c r="F1" s="1" t="s">
        <v>1540</v>
      </c>
      <c r="G1" t="s">
        <v>56</v>
      </c>
      <c r="H1" t="s">
        <v>1541</v>
      </c>
      <c r="I1" t="s">
        <v>1542</v>
      </c>
    </row>
    <row r="2" spans="1:9">
      <c r="A2" t="s">
        <v>275</v>
      </c>
      <c r="B2" t="s">
        <v>277</v>
      </c>
      <c r="C2" t="s">
        <v>154</v>
      </c>
      <c r="D2" t="s">
        <v>155</v>
      </c>
      <c r="E2" s="3">
        <v>799</v>
      </c>
      <c r="F2" s="3">
        <v>420</v>
      </c>
      <c r="G2" t="s">
        <v>275</v>
      </c>
      <c r="H2" t="s">
        <v>151</v>
      </c>
      <c r="I2" t="s">
        <v>277</v>
      </c>
    </row>
    <row r="3" spans="1:9">
      <c r="A3" t="s">
        <v>151</v>
      </c>
      <c r="B3" t="s">
        <v>153</v>
      </c>
      <c r="C3" t="s">
        <v>154</v>
      </c>
      <c r="D3" t="s">
        <v>155</v>
      </c>
      <c r="E3" s="3">
        <v>2499</v>
      </c>
      <c r="F3" s="3">
        <v>1450</v>
      </c>
      <c r="G3" t="str">
        <f>_xlfn.XLOOKUP(G2,A2:A16,B2:B16)</f>
        <v>Wireless Mouse</v>
      </c>
      <c r="H3" t="e" cm="1" vm="1">
        <f t="array" aca="1" ref="H3" ca="1">_xlfn.XLOOKUP(H2,A2:A16,C2:F16)</f>
        <v>#VALUE!</v>
      </c>
      <c r="I3" t="str">
        <f>_xlfn.XLOOKUP(I2,B2:B16,A2:A16)</f>
        <v>P101</v>
      </c>
    </row>
    <row r="4" spans="1:9">
      <c r="A4" t="s">
        <v>319</v>
      </c>
      <c r="B4" t="s">
        <v>321</v>
      </c>
      <c r="C4" t="s">
        <v>154</v>
      </c>
      <c r="D4" t="s">
        <v>155</v>
      </c>
      <c r="E4" s="3">
        <v>1599</v>
      </c>
      <c r="F4" s="3">
        <v>900</v>
      </c>
    </row>
    <row r="5" spans="1:9">
      <c r="A5" t="s">
        <v>201</v>
      </c>
      <c r="B5" t="s">
        <v>203</v>
      </c>
      <c r="C5" t="s">
        <v>154</v>
      </c>
      <c r="D5" t="s">
        <v>155</v>
      </c>
      <c r="E5" s="3">
        <v>1899</v>
      </c>
      <c r="F5" s="3">
        <v>1100</v>
      </c>
    </row>
    <row r="6" spans="1:9">
      <c r="A6" t="s">
        <v>183</v>
      </c>
      <c r="B6" t="s">
        <v>185</v>
      </c>
      <c r="C6" t="s">
        <v>154</v>
      </c>
      <c r="D6" t="s">
        <v>186</v>
      </c>
      <c r="E6" s="3">
        <v>2999</v>
      </c>
      <c r="F6" s="3">
        <v>1750</v>
      </c>
    </row>
    <row r="7" spans="1:9">
      <c r="A7" t="s">
        <v>221</v>
      </c>
      <c r="B7" t="s">
        <v>223</v>
      </c>
      <c r="C7" t="s">
        <v>224</v>
      </c>
      <c r="D7" t="s">
        <v>225</v>
      </c>
      <c r="E7" s="3">
        <v>3499</v>
      </c>
      <c r="F7" s="3">
        <v>1900</v>
      </c>
    </row>
    <row r="8" spans="1:9">
      <c r="A8" t="s">
        <v>236</v>
      </c>
      <c r="B8" t="s">
        <v>238</v>
      </c>
      <c r="C8" t="s">
        <v>224</v>
      </c>
      <c r="D8" t="s">
        <v>225</v>
      </c>
      <c r="E8" s="3">
        <v>2799</v>
      </c>
      <c r="F8" s="3">
        <v>1500</v>
      </c>
    </row>
    <row r="9" spans="1:9">
      <c r="A9" t="s">
        <v>370</v>
      </c>
      <c r="B9" t="s">
        <v>372</v>
      </c>
      <c r="C9" t="s">
        <v>224</v>
      </c>
      <c r="D9" t="s">
        <v>373</v>
      </c>
      <c r="E9" s="3">
        <v>1999</v>
      </c>
      <c r="F9" s="3">
        <v>1050</v>
      </c>
    </row>
    <row r="10" spans="1:9">
      <c r="A10" t="s">
        <v>477</v>
      </c>
      <c r="B10" t="s">
        <v>479</v>
      </c>
      <c r="C10" t="s">
        <v>224</v>
      </c>
      <c r="D10" t="s">
        <v>480</v>
      </c>
      <c r="E10" s="3">
        <v>2299</v>
      </c>
      <c r="F10" s="3">
        <v>1250</v>
      </c>
    </row>
    <row r="11" spans="1:9">
      <c r="A11" t="s">
        <v>363</v>
      </c>
      <c r="B11" t="s">
        <v>365</v>
      </c>
      <c r="C11" t="s">
        <v>154</v>
      </c>
      <c r="D11" t="s">
        <v>366</v>
      </c>
      <c r="E11" s="3">
        <v>4999</v>
      </c>
      <c r="F11" s="3">
        <v>3100</v>
      </c>
    </row>
    <row r="12" spans="1:9">
      <c r="A12" t="s">
        <v>130</v>
      </c>
      <c r="B12" t="s">
        <v>132</v>
      </c>
      <c r="C12" t="s">
        <v>133</v>
      </c>
      <c r="D12" t="s">
        <v>134</v>
      </c>
      <c r="E12" s="3">
        <v>3999</v>
      </c>
      <c r="F12" s="3">
        <v>2500</v>
      </c>
    </row>
    <row r="13" spans="1:9">
      <c r="A13" t="s">
        <v>169</v>
      </c>
      <c r="B13" t="s">
        <v>171</v>
      </c>
      <c r="C13" t="s">
        <v>133</v>
      </c>
      <c r="D13" t="s">
        <v>134</v>
      </c>
      <c r="E13" s="3">
        <v>6499</v>
      </c>
      <c r="F13" s="3">
        <v>4300</v>
      </c>
    </row>
    <row r="14" spans="1:9">
      <c r="A14" t="s">
        <v>250</v>
      </c>
      <c r="B14" t="s">
        <v>252</v>
      </c>
      <c r="C14" t="s">
        <v>133</v>
      </c>
      <c r="D14" t="s">
        <v>253</v>
      </c>
      <c r="E14" s="3">
        <v>1299</v>
      </c>
      <c r="F14" s="3">
        <v>650</v>
      </c>
    </row>
    <row r="15" spans="1:9">
      <c r="A15" t="s">
        <v>261</v>
      </c>
      <c r="B15" t="s">
        <v>263</v>
      </c>
      <c r="C15" t="s">
        <v>264</v>
      </c>
      <c r="D15" t="s">
        <v>265</v>
      </c>
      <c r="E15" s="3">
        <v>999</v>
      </c>
      <c r="F15" s="3">
        <v>450</v>
      </c>
    </row>
    <row r="16" spans="1:9">
      <c r="A16" t="s">
        <v>338</v>
      </c>
      <c r="B16" t="s">
        <v>340</v>
      </c>
      <c r="C16" t="s">
        <v>264</v>
      </c>
      <c r="D16" t="s">
        <v>265</v>
      </c>
      <c r="E16" s="3">
        <v>2499</v>
      </c>
      <c r="F16" s="3">
        <v>1450</v>
      </c>
    </row>
  </sheetData>
  <dataValidations count="2">
    <dataValidation type="list" allowBlank="1" showInputMessage="1" showErrorMessage="1" sqref="G2 H2" xr:uid="{AC195DD4-F877-4ADA-93A5-075DD8D826E0}">
      <formula1>$A$2:$A$16</formula1>
    </dataValidation>
    <dataValidation type="list" allowBlank="1" showInputMessage="1" showErrorMessage="1" sqref="I2" xr:uid="{7C7E5C19-3185-43C6-9FC5-8B8ED9720940}">
      <formula1>$B$2:$B$16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1"/>
  <sheetViews>
    <sheetView workbookViewId="0">
      <pane ySplit="1" topLeftCell="A2" activePane="bottomLeft" state="frozen"/>
      <selection pane="bottomLeft" sqref="A1:E151"/>
    </sheetView>
  </sheetViews>
  <sheetFormatPr defaultRowHeight="15"/>
  <cols>
    <col min="1" max="1" width="13" customWidth="1"/>
    <col min="2" max="2" width="17.5703125" bestFit="1" customWidth="1"/>
    <col min="3" max="4" width="12" customWidth="1"/>
    <col min="5" max="5" width="21.85546875" bestFit="1" customWidth="1"/>
  </cols>
  <sheetData>
    <row r="1" spans="1:5">
      <c r="A1" t="s">
        <v>1543</v>
      </c>
      <c r="B1" s="1" t="s">
        <v>1544</v>
      </c>
      <c r="C1" s="1" t="s">
        <v>1545</v>
      </c>
      <c r="D1" s="1" t="s">
        <v>1546</v>
      </c>
      <c r="E1" t="s">
        <v>1547</v>
      </c>
    </row>
    <row r="2" spans="1:5">
      <c r="A2" t="s">
        <v>249</v>
      </c>
      <c r="B2" t="s">
        <v>1548</v>
      </c>
      <c r="C2">
        <v>47</v>
      </c>
      <c r="D2" t="s">
        <v>1549</v>
      </c>
      <c r="E2" t="s">
        <v>249</v>
      </c>
    </row>
    <row r="3" spans="1:5">
      <c r="A3" t="s">
        <v>1041</v>
      </c>
      <c r="B3" t="s">
        <v>1550</v>
      </c>
      <c r="C3">
        <v>56</v>
      </c>
      <c r="D3" t="s">
        <v>1549</v>
      </c>
      <c r="E3" t="str">
        <f>_xlfn.XLOOKUP(E2,A2:A151,B2:B151)</f>
        <v>VIP</v>
      </c>
    </row>
    <row r="4" spans="1:5">
      <c r="A4" t="s">
        <v>633</v>
      </c>
      <c r="B4" t="s">
        <v>1548</v>
      </c>
      <c r="C4">
        <v>55</v>
      </c>
      <c r="D4" t="s">
        <v>1549</v>
      </c>
    </row>
    <row r="5" spans="1:5">
      <c r="A5" t="s">
        <v>1220</v>
      </c>
      <c r="B5" t="s">
        <v>1550</v>
      </c>
      <c r="C5">
        <v>22</v>
      </c>
      <c r="D5" t="s">
        <v>1549</v>
      </c>
    </row>
    <row r="6" spans="1:5">
      <c r="A6" t="s">
        <v>1010</v>
      </c>
      <c r="B6" t="s">
        <v>1548</v>
      </c>
      <c r="C6">
        <v>32</v>
      </c>
      <c r="D6" t="s">
        <v>1551</v>
      </c>
    </row>
    <row r="7" spans="1:5">
      <c r="A7" t="s">
        <v>1086</v>
      </c>
      <c r="B7" t="s">
        <v>1548</v>
      </c>
      <c r="C7">
        <v>42</v>
      </c>
      <c r="D7" t="s">
        <v>1549</v>
      </c>
    </row>
    <row r="8" spans="1:5">
      <c r="A8" t="s">
        <v>1045</v>
      </c>
      <c r="B8" t="s">
        <v>1550</v>
      </c>
      <c r="C8">
        <v>42</v>
      </c>
      <c r="D8" t="s">
        <v>1549</v>
      </c>
    </row>
    <row r="9" spans="1:5">
      <c r="A9" t="s">
        <v>1034</v>
      </c>
      <c r="B9" t="s">
        <v>1548</v>
      </c>
      <c r="C9">
        <v>26</v>
      </c>
      <c r="D9" t="s">
        <v>1549</v>
      </c>
    </row>
    <row r="10" spans="1:5">
      <c r="A10" t="s">
        <v>1552</v>
      </c>
      <c r="B10" t="s">
        <v>1550</v>
      </c>
      <c r="C10">
        <v>24</v>
      </c>
      <c r="D10" t="s">
        <v>1549</v>
      </c>
    </row>
    <row r="11" spans="1:5">
      <c r="A11" t="s">
        <v>399</v>
      </c>
      <c r="B11" t="s">
        <v>1553</v>
      </c>
      <c r="C11">
        <v>19</v>
      </c>
      <c r="D11" t="s">
        <v>1551</v>
      </c>
    </row>
    <row r="12" spans="1:5">
      <c r="A12" t="s">
        <v>491</v>
      </c>
      <c r="B12" t="s">
        <v>1550</v>
      </c>
      <c r="C12">
        <v>30</v>
      </c>
      <c r="D12" t="s">
        <v>1551</v>
      </c>
    </row>
    <row r="13" spans="1:5">
      <c r="A13" t="s">
        <v>410</v>
      </c>
      <c r="B13" t="s">
        <v>1550</v>
      </c>
      <c r="C13">
        <v>51</v>
      </c>
      <c r="D13" t="s">
        <v>1551</v>
      </c>
    </row>
    <row r="14" spans="1:5">
      <c r="A14" t="s">
        <v>228</v>
      </c>
      <c r="B14" t="s">
        <v>1548</v>
      </c>
      <c r="C14">
        <v>50</v>
      </c>
      <c r="D14" t="s">
        <v>1551</v>
      </c>
    </row>
    <row r="15" spans="1:5">
      <c r="A15" t="s">
        <v>576</v>
      </c>
      <c r="B15" t="s">
        <v>1548</v>
      </c>
      <c r="C15">
        <v>44</v>
      </c>
      <c r="D15" t="s">
        <v>1551</v>
      </c>
    </row>
    <row r="16" spans="1:5">
      <c r="A16" t="s">
        <v>618</v>
      </c>
      <c r="B16" t="s">
        <v>1548</v>
      </c>
      <c r="C16">
        <v>27</v>
      </c>
      <c r="D16" t="s">
        <v>1549</v>
      </c>
    </row>
    <row r="17" spans="1:4">
      <c r="A17" t="s">
        <v>324</v>
      </c>
      <c r="B17" t="s">
        <v>1550</v>
      </c>
      <c r="C17">
        <v>56</v>
      </c>
      <c r="D17" t="s">
        <v>1549</v>
      </c>
    </row>
    <row r="18" spans="1:4">
      <c r="A18" t="s">
        <v>685</v>
      </c>
      <c r="B18" t="s">
        <v>1548</v>
      </c>
      <c r="C18">
        <v>24</v>
      </c>
      <c r="D18" t="s">
        <v>1549</v>
      </c>
    </row>
    <row r="19" spans="1:4">
      <c r="A19" t="s">
        <v>403</v>
      </c>
      <c r="B19" t="s">
        <v>1548</v>
      </c>
      <c r="C19">
        <v>29</v>
      </c>
      <c r="D19" t="s">
        <v>1549</v>
      </c>
    </row>
    <row r="20" spans="1:4">
      <c r="A20" t="s">
        <v>296</v>
      </c>
      <c r="B20" t="s">
        <v>1553</v>
      </c>
      <c r="C20">
        <v>48</v>
      </c>
      <c r="D20" t="s">
        <v>1551</v>
      </c>
    </row>
    <row r="21" spans="1:4">
      <c r="A21" t="s">
        <v>765</v>
      </c>
      <c r="B21" t="s">
        <v>1553</v>
      </c>
      <c r="C21">
        <v>57</v>
      </c>
      <c r="D21" t="s">
        <v>1551</v>
      </c>
    </row>
    <row r="22" spans="1:4">
      <c r="A22" t="s">
        <v>940</v>
      </c>
      <c r="B22" t="s">
        <v>1550</v>
      </c>
      <c r="C22">
        <v>56</v>
      </c>
      <c r="D22" t="s">
        <v>1551</v>
      </c>
    </row>
    <row r="23" spans="1:4">
      <c r="A23" t="s">
        <v>270</v>
      </c>
      <c r="B23" t="s">
        <v>1550</v>
      </c>
      <c r="C23">
        <v>20</v>
      </c>
      <c r="D23" t="s">
        <v>1551</v>
      </c>
    </row>
    <row r="24" spans="1:4">
      <c r="A24" t="s">
        <v>1368</v>
      </c>
      <c r="B24" t="s">
        <v>1553</v>
      </c>
      <c r="C24">
        <v>52</v>
      </c>
      <c r="D24" t="s">
        <v>1549</v>
      </c>
    </row>
    <row r="25" spans="1:4">
      <c r="A25" t="s">
        <v>161</v>
      </c>
      <c r="B25" t="s">
        <v>1550</v>
      </c>
      <c r="C25">
        <v>50</v>
      </c>
      <c r="D25" t="s">
        <v>1549</v>
      </c>
    </row>
    <row r="26" spans="1:4">
      <c r="A26" t="s">
        <v>1554</v>
      </c>
      <c r="B26" t="s">
        <v>1550</v>
      </c>
      <c r="C26">
        <v>25</v>
      </c>
      <c r="D26" t="s">
        <v>1551</v>
      </c>
    </row>
    <row r="27" spans="1:4">
      <c r="A27" t="s">
        <v>605</v>
      </c>
      <c r="B27" t="s">
        <v>1553</v>
      </c>
      <c r="C27">
        <v>23</v>
      </c>
      <c r="D27" t="s">
        <v>1551</v>
      </c>
    </row>
    <row r="28" spans="1:4">
      <c r="A28" t="s">
        <v>737</v>
      </c>
      <c r="B28" t="s">
        <v>1553</v>
      </c>
      <c r="C28">
        <v>48</v>
      </c>
      <c r="D28" t="s">
        <v>1549</v>
      </c>
    </row>
    <row r="29" spans="1:4">
      <c r="A29" t="s">
        <v>309</v>
      </c>
      <c r="B29" t="s">
        <v>1550</v>
      </c>
      <c r="C29">
        <v>60</v>
      </c>
      <c r="D29" t="s">
        <v>1551</v>
      </c>
    </row>
    <row r="30" spans="1:4">
      <c r="A30" t="s">
        <v>674</v>
      </c>
      <c r="B30" t="s">
        <v>1550</v>
      </c>
      <c r="C30">
        <v>26</v>
      </c>
      <c r="D30" t="s">
        <v>1549</v>
      </c>
    </row>
    <row r="31" spans="1:4">
      <c r="A31" t="s">
        <v>645</v>
      </c>
      <c r="B31" t="s">
        <v>1548</v>
      </c>
      <c r="C31">
        <v>56</v>
      </c>
      <c r="D31" t="s">
        <v>1551</v>
      </c>
    </row>
    <row r="32" spans="1:4">
      <c r="A32" t="s">
        <v>1146</v>
      </c>
      <c r="B32" t="s">
        <v>1550</v>
      </c>
      <c r="C32">
        <v>52</v>
      </c>
      <c r="D32" t="s">
        <v>1549</v>
      </c>
    </row>
    <row r="33" spans="1:4">
      <c r="A33" t="s">
        <v>418</v>
      </c>
      <c r="B33" t="s">
        <v>1548</v>
      </c>
      <c r="C33">
        <v>18</v>
      </c>
      <c r="D33" t="s">
        <v>1549</v>
      </c>
    </row>
    <row r="34" spans="1:4">
      <c r="A34" t="s">
        <v>1555</v>
      </c>
      <c r="B34" t="s">
        <v>1553</v>
      </c>
      <c r="C34">
        <v>59</v>
      </c>
      <c r="D34" t="s">
        <v>1551</v>
      </c>
    </row>
    <row r="35" spans="1:4">
      <c r="A35" t="s">
        <v>948</v>
      </c>
      <c r="B35" t="s">
        <v>1553</v>
      </c>
      <c r="C35">
        <v>45</v>
      </c>
      <c r="D35" t="s">
        <v>1551</v>
      </c>
    </row>
    <row r="36" spans="1:4">
      <c r="A36" t="s">
        <v>369</v>
      </c>
      <c r="B36" t="s">
        <v>1553</v>
      </c>
      <c r="C36">
        <v>51</v>
      </c>
      <c r="D36" t="s">
        <v>1549</v>
      </c>
    </row>
    <row r="37" spans="1:4">
      <c r="A37" t="s">
        <v>637</v>
      </c>
      <c r="B37" t="s">
        <v>1553</v>
      </c>
      <c r="C37">
        <v>44</v>
      </c>
      <c r="D37" t="s">
        <v>1551</v>
      </c>
    </row>
    <row r="38" spans="1:4">
      <c r="A38" t="s">
        <v>557</v>
      </c>
      <c r="B38" t="s">
        <v>1550</v>
      </c>
      <c r="C38">
        <v>41</v>
      </c>
      <c r="D38" t="s">
        <v>1551</v>
      </c>
    </row>
    <row r="39" spans="1:4">
      <c r="A39" t="s">
        <v>997</v>
      </c>
      <c r="B39" t="s">
        <v>1550</v>
      </c>
      <c r="C39">
        <v>20</v>
      </c>
      <c r="D39" t="s">
        <v>1551</v>
      </c>
    </row>
    <row r="40" spans="1:4">
      <c r="A40" t="s">
        <v>544</v>
      </c>
      <c r="B40" t="s">
        <v>1548</v>
      </c>
      <c r="C40">
        <v>51</v>
      </c>
      <c r="D40" t="s">
        <v>1551</v>
      </c>
    </row>
    <row r="41" spans="1:4">
      <c r="A41" t="s">
        <v>1480</v>
      </c>
      <c r="B41" t="s">
        <v>1553</v>
      </c>
      <c r="C41">
        <v>45</v>
      </c>
      <c r="D41" t="s">
        <v>1551</v>
      </c>
    </row>
    <row r="42" spans="1:4">
      <c r="A42" t="s">
        <v>1139</v>
      </c>
      <c r="B42" t="s">
        <v>1550</v>
      </c>
      <c r="C42">
        <v>32</v>
      </c>
      <c r="D42" t="s">
        <v>1549</v>
      </c>
    </row>
    <row r="43" spans="1:4">
      <c r="A43" t="s">
        <v>383</v>
      </c>
      <c r="B43" t="s">
        <v>1548</v>
      </c>
      <c r="C43">
        <v>48</v>
      </c>
      <c r="D43" t="s">
        <v>1551</v>
      </c>
    </row>
    <row r="44" spans="1:4">
      <c r="A44" t="s">
        <v>1263</v>
      </c>
      <c r="B44" t="s">
        <v>1548</v>
      </c>
      <c r="C44">
        <v>42</v>
      </c>
      <c r="D44" t="s">
        <v>1551</v>
      </c>
    </row>
    <row r="45" spans="1:4">
      <c r="A45" t="s">
        <v>1556</v>
      </c>
      <c r="B45" t="s">
        <v>1548</v>
      </c>
      <c r="C45">
        <v>40</v>
      </c>
      <c r="D45" t="s">
        <v>1551</v>
      </c>
    </row>
    <row r="46" spans="1:4">
      <c r="A46" t="s">
        <v>428</v>
      </c>
      <c r="B46" t="s">
        <v>1553</v>
      </c>
      <c r="C46">
        <v>55</v>
      </c>
      <c r="D46" t="s">
        <v>1549</v>
      </c>
    </row>
    <row r="47" spans="1:4">
      <c r="A47" t="s">
        <v>959</v>
      </c>
      <c r="B47" t="s">
        <v>1548</v>
      </c>
      <c r="C47">
        <v>54</v>
      </c>
      <c r="D47" t="s">
        <v>1551</v>
      </c>
    </row>
    <row r="48" spans="1:4">
      <c r="A48" t="s">
        <v>706</v>
      </c>
      <c r="B48" t="s">
        <v>1553</v>
      </c>
      <c r="C48">
        <v>24</v>
      </c>
      <c r="D48" t="s">
        <v>1549</v>
      </c>
    </row>
    <row r="49" spans="1:4">
      <c r="A49" t="s">
        <v>919</v>
      </c>
      <c r="B49" t="s">
        <v>1548</v>
      </c>
      <c r="C49">
        <v>45</v>
      </c>
      <c r="D49" t="s">
        <v>1551</v>
      </c>
    </row>
    <row r="50" spans="1:4">
      <c r="A50" t="s">
        <v>303</v>
      </c>
      <c r="B50" t="s">
        <v>1548</v>
      </c>
      <c r="C50">
        <v>26</v>
      </c>
      <c r="D50" t="s">
        <v>1549</v>
      </c>
    </row>
    <row r="51" spans="1:4">
      <c r="A51" t="s">
        <v>1301</v>
      </c>
      <c r="B51" t="s">
        <v>1548</v>
      </c>
      <c r="C51">
        <v>34</v>
      </c>
      <c r="D51" t="s">
        <v>1551</v>
      </c>
    </row>
    <row r="52" spans="1:4">
      <c r="A52" t="s">
        <v>1557</v>
      </c>
      <c r="B52" t="s">
        <v>1550</v>
      </c>
      <c r="C52">
        <v>48</v>
      </c>
      <c r="D52" t="s">
        <v>1549</v>
      </c>
    </row>
    <row r="53" spans="1:4">
      <c r="A53" t="s">
        <v>641</v>
      </c>
      <c r="B53" t="s">
        <v>1553</v>
      </c>
      <c r="C53">
        <v>32</v>
      </c>
      <c r="D53" t="s">
        <v>1549</v>
      </c>
    </row>
    <row r="54" spans="1:4">
      <c r="A54" t="s">
        <v>720</v>
      </c>
      <c r="B54" t="s">
        <v>1548</v>
      </c>
      <c r="C54">
        <v>23</v>
      </c>
      <c r="D54" t="s">
        <v>1551</v>
      </c>
    </row>
    <row r="55" spans="1:4">
      <c r="A55" t="s">
        <v>1026</v>
      </c>
      <c r="B55" t="s">
        <v>1553</v>
      </c>
      <c r="C55">
        <v>36</v>
      </c>
      <c r="D55" t="s">
        <v>1551</v>
      </c>
    </row>
    <row r="56" spans="1:4">
      <c r="A56" t="s">
        <v>468</v>
      </c>
      <c r="B56" t="s">
        <v>1553</v>
      </c>
      <c r="C56">
        <v>56</v>
      </c>
      <c r="D56" t="s">
        <v>1551</v>
      </c>
    </row>
    <row r="57" spans="1:4">
      <c r="A57" t="s">
        <v>334</v>
      </c>
      <c r="B57" t="s">
        <v>1548</v>
      </c>
      <c r="C57">
        <v>52</v>
      </c>
      <c r="D57" t="s">
        <v>1549</v>
      </c>
    </row>
    <row r="58" spans="1:4">
      <c r="A58" t="s">
        <v>143</v>
      </c>
      <c r="B58" t="s">
        <v>1548</v>
      </c>
      <c r="C58">
        <v>44</v>
      </c>
      <c r="D58" t="s">
        <v>1551</v>
      </c>
    </row>
    <row r="59" spans="1:4">
      <c r="A59" t="s">
        <v>440</v>
      </c>
      <c r="B59" t="s">
        <v>1550</v>
      </c>
      <c r="C59">
        <v>34</v>
      </c>
      <c r="D59" t="s">
        <v>1549</v>
      </c>
    </row>
    <row r="60" spans="1:4">
      <c r="A60" t="s">
        <v>963</v>
      </c>
      <c r="B60" t="s">
        <v>1548</v>
      </c>
      <c r="C60">
        <v>30</v>
      </c>
      <c r="D60" t="s">
        <v>1551</v>
      </c>
    </row>
    <row r="61" spans="1:4">
      <c r="A61" t="s">
        <v>652</v>
      </c>
      <c r="B61" t="s">
        <v>1553</v>
      </c>
      <c r="C61">
        <v>18</v>
      </c>
      <c r="D61" t="s">
        <v>1549</v>
      </c>
    </row>
    <row r="62" spans="1:4">
      <c r="A62" t="s">
        <v>395</v>
      </c>
      <c r="B62" t="s">
        <v>1553</v>
      </c>
      <c r="C62">
        <v>18</v>
      </c>
      <c r="D62" t="s">
        <v>1551</v>
      </c>
    </row>
    <row r="63" spans="1:4">
      <c r="A63" t="s">
        <v>521</v>
      </c>
      <c r="B63" t="s">
        <v>1550</v>
      </c>
      <c r="C63">
        <v>54</v>
      </c>
      <c r="D63" t="s">
        <v>1551</v>
      </c>
    </row>
    <row r="64" spans="1:4">
      <c r="A64" t="s">
        <v>589</v>
      </c>
      <c r="B64" t="s">
        <v>1548</v>
      </c>
      <c r="C64">
        <v>51</v>
      </c>
      <c r="D64" t="s">
        <v>1549</v>
      </c>
    </row>
    <row r="65" spans="1:4">
      <c r="A65" t="s">
        <v>216</v>
      </c>
      <c r="B65" t="s">
        <v>1553</v>
      </c>
      <c r="C65">
        <v>25</v>
      </c>
      <c r="D65" t="s">
        <v>1549</v>
      </c>
    </row>
    <row r="66" spans="1:4">
      <c r="A66" t="s">
        <v>1558</v>
      </c>
      <c r="B66" t="s">
        <v>1553</v>
      </c>
      <c r="C66">
        <v>51</v>
      </c>
      <c r="D66" t="s">
        <v>1551</v>
      </c>
    </row>
    <row r="67" spans="1:4">
      <c r="A67" t="s">
        <v>495</v>
      </c>
      <c r="B67" t="s">
        <v>1553</v>
      </c>
      <c r="C67">
        <v>18</v>
      </c>
      <c r="D67" t="s">
        <v>1551</v>
      </c>
    </row>
    <row r="68" spans="1:4">
      <c r="A68" t="s">
        <v>1076</v>
      </c>
      <c r="B68" t="s">
        <v>1553</v>
      </c>
      <c r="C68">
        <v>42</v>
      </c>
      <c r="D68" t="s">
        <v>1551</v>
      </c>
    </row>
    <row r="69" spans="1:4">
      <c r="A69" t="s">
        <v>378</v>
      </c>
      <c r="B69" t="s">
        <v>1553</v>
      </c>
      <c r="C69">
        <v>59</v>
      </c>
      <c r="D69" t="s">
        <v>1549</v>
      </c>
    </row>
    <row r="70" spans="1:4">
      <c r="A70" t="s">
        <v>1559</v>
      </c>
      <c r="B70" t="s">
        <v>1548</v>
      </c>
      <c r="C70">
        <v>31</v>
      </c>
      <c r="D70" t="s">
        <v>1551</v>
      </c>
    </row>
    <row r="71" spans="1:4">
      <c r="A71" t="s">
        <v>561</v>
      </c>
      <c r="B71" t="s">
        <v>1550</v>
      </c>
      <c r="C71">
        <v>38</v>
      </c>
      <c r="D71" t="s">
        <v>1549</v>
      </c>
    </row>
    <row r="72" spans="1:4">
      <c r="A72" t="s">
        <v>532</v>
      </c>
      <c r="B72" t="s">
        <v>1548</v>
      </c>
      <c r="C72">
        <v>44</v>
      </c>
      <c r="D72" t="s">
        <v>1549</v>
      </c>
    </row>
    <row r="73" spans="1:4">
      <c r="A73" t="s">
        <v>190</v>
      </c>
      <c r="B73" t="s">
        <v>1550</v>
      </c>
      <c r="C73">
        <v>41</v>
      </c>
      <c r="D73" t="s">
        <v>1551</v>
      </c>
    </row>
    <row r="74" spans="1:4">
      <c r="A74" t="s">
        <v>1521</v>
      </c>
      <c r="B74" t="s">
        <v>1553</v>
      </c>
      <c r="C74">
        <v>24</v>
      </c>
      <c r="D74" t="s">
        <v>1549</v>
      </c>
    </row>
    <row r="75" spans="1:4">
      <c r="A75" t="s">
        <v>614</v>
      </c>
      <c r="B75" t="s">
        <v>1550</v>
      </c>
      <c r="C75">
        <v>27</v>
      </c>
      <c r="D75" t="s">
        <v>1549</v>
      </c>
    </row>
    <row r="76" spans="1:4">
      <c r="A76" t="s">
        <v>1111</v>
      </c>
      <c r="B76" t="s">
        <v>1550</v>
      </c>
      <c r="C76">
        <v>45</v>
      </c>
      <c r="D76" t="s">
        <v>1549</v>
      </c>
    </row>
    <row r="77" spans="1:4">
      <c r="A77" t="s">
        <v>1160</v>
      </c>
      <c r="B77" t="s">
        <v>1550</v>
      </c>
      <c r="C77">
        <v>59</v>
      </c>
      <c r="D77" t="s">
        <v>1551</v>
      </c>
    </row>
    <row r="78" spans="1:4">
      <c r="A78" t="s">
        <v>1059</v>
      </c>
      <c r="B78" t="s">
        <v>1548</v>
      </c>
      <c r="C78">
        <v>55</v>
      </c>
      <c r="D78" t="s">
        <v>1549</v>
      </c>
    </row>
    <row r="79" spans="1:4">
      <c r="A79" t="s">
        <v>1560</v>
      </c>
      <c r="B79" t="s">
        <v>1548</v>
      </c>
      <c r="C79">
        <v>34</v>
      </c>
      <c r="D79" t="s">
        <v>1549</v>
      </c>
    </row>
    <row r="80" spans="1:4">
      <c r="A80" t="s">
        <v>1561</v>
      </c>
      <c r="B80" t="s">
        <v>1553</v>
      </c>
      <c r="C80">
        <v>34</v>
      </c>
      <c r="D80" t="s">
        <v>1549</v>
      </c>
    </row>
    <row r="81" spans="1:4">
      <c r="A81" t="s">
        <v>1562</v>
      </c>
      <c r="B81" t="s">
        <v>1550</v>
      </c>
      <c r="C81">
        <v>52</v>
      </c>
      <c r="D81" t="s">
        <v>1549</v>
      </c>
    </row>
    <row r="82" spans="1:4">
      <c r="A82" t="s">
        <v>741</v>
      </c>
      <c r="B82" t="s">
        <v>1550</v>
      </c>
      <c r="C82">
        <v>45</v>
      </c>
      <c r="D82" t="s">
        <v>1551</v>
      </c>
    </row>
    <row r="83" spans="1:4">
      <c r="A83" t="s">
        <v>601</v>
      </c>
      <c r="B83" t="s">
        <v>1550</v>
      </c>
      <c r="C83">
        <v>54</v>
      </c>
      <c r="D83" t="s">
        <v>1549</v>
      </c>
    </row>
    <row r="84" spans="1:4">
      <c r="A84" t="s">
        <v>513</v>
      </c>
      <c r="B84" t="s">
        <v>1550</v>
      </c>
      <c r="C84">
        <v>41</v>
      </c>
      <c r="D84" t="s">
        <v>1549</v>
      </c>
    </row>
    <row r="85" spans="1:4">
      <c r="A85" t="s">
        <v>944</v>
      </c>
      <c r="B85" t="s">
        <v>1553</v>
      </c>
      <c r="C85">
        <v>57</v>
      </c>
      <c r="D85" t="s">
        <v>1549</v>
      </c>
    </row>
    <row r="86" spans="1:4">
      <c r="A86" t="s">
        <v>1487</v>
      </c>
      <c r="B86" t="s">
        <v>1548</v>
      </c>
      <c r="C86">
        <v>35</v>
      </c>
      <c r="D86" t="s">
        <v>1549</v>
      </c>
    </row>
    <row r="87" spans="1:4">
      <c r="A87" t="s">
        <v>597</v>
      </c>
      <c r="B87" t="s">
        <v>1548</v>
      </c>
      <c r="C87">
        <v>43</v>
      </c>
      <c r="D87" t="s">
        <v>1551</v>
      </c>
    </row>
    <row r="88" spans="1:4">
      <c r="A88" t="s">
        <v>289</v>
      </c>
      <c r="B88" t="s">
        <v>1550</v>
      </c>
      <c r="C88">
        <v>31</v>
      </c>
      <c r="D88" t="s">
        <v>1549</v>
      </c>
    </row>
    <row r="89" spans="1:4">
      <c r="A89" t="s">
        <v>1273</v>
      </c>
      <c r="B89" t="s">
        <v>1548</v>
      </c>
      <c r="C89">
        <v>44</v>
      </c>
      <c r="D89" t="s">
        <v>1549</v>
      </c>
    </row>
    <row r="90" spans="1:4">
      <c r="A90" t="s">
        <v>506</v>
      </c>
      <c r="B90" t="s">
        <v>1550</v>
      </c>
      <c r="C90">
        <v>53</v>
      </c>
      <c r="D90" t="s">
        <v>1551</v>
      </c>
    </row>
    <row r="91" spans="1:4">
      <c r="A91" t="s">
        <v>362</v>
      </c>
      <c r="B91" t="s">
        <v>1553</v>
      </c>
      <c r="C91">
        <v>53</v>
      </c>
      <c r="D91" t="s">
        <v>1551</v>
      </c>
    </row>
    <row r="92" spans="1:4">
      <c r="A92" t="s">
        <v>1458</v>
      </c>
      <c r="B92" t="s">
        <v>1553</v>
      </c>
      <c r="C92">
        <v>48</v>
      </c>
      <c r="D92" t="s">
        <v>1551</v>
      </c>
    </row>
    <row r="93" spans="1:4">
      <c r="A93" t="s">
        <v>1352</v>
      </c>
      <c r="B93" t="s">
        <v>1548</v>
      </c>
      <c r="C93">
        <v>29</v>
      </c>
      <c r="D93" t="s">
        <v>1551</v>
      </c>
    </row>
    <row r="94" spans="1:4">
      <c r="A94" t="s">
        <v>177</v>
      </c>
      <c r="B94" t="s">
        <v>1550</v>
      </c>
      <c r="C94">
        <v>41</v>
      </c>
      <c r="D94" t="s">
        <v>1551</v>
      </c>
    </row>
    <row r="95" spans="1:4">
      <c r="A95" t="s">
        <v>1432</v>
      </c>
      <c r="B95" t="s">
        <v>1553</v>
      </c>
      <c r="C95">
        <v>53</v>
      </c>
      <c r="D95" t="s">
        <v>1551</v>
      </c>
    </row>
    <row r="96" spans="1:4">
      <c r="A96" t="s">
        <v>936</v>
      </c>
      <c r="B96" t="s">
        <v>1548</v>
      </c>
      <c r="C96">
        <v>53</v>
      </c>
      <c r="D96" t="s">
        <v>1549</v>
      </c>
    </row>
    <row r="97" spans="1:4">
      <c r="A97" t="s">
        <v>696</v>
      </c>
      <c r="B97" t="s">
        <v>1553</v>
      </c>
      <c r="C97">
        <v>48</v>
      </c>
      <c r="D97" t="s">
        <v>1551</v>
      </c>
    </row>
    <row r="98" spans="1:4">
      <c r="A98" t="s">
        <v>1069</v>
      </c>
      <c r="B98" t="s">
        <v>1553</v>
      </c>
      <c r="C98">
        <v>34</v>
      </c>
      <c r="D98" t="s">
        <v>1551</v>
      </c>
    </row>
    <row r="99" spans="1:4">
      <c r="A99" t="s">
        <v>622</v>
      </c>
      <c r="B99" t="s">
        <v>1550</v>
      </c>
      <c r="C99">
        <v>37</v>
      </c>
      <c r="D99" t="s">
        <v>1549</v>
      </c>
    </row>
    <row r="100" spans="1:4">
      <c r="A100" t="s">
        <v>629</v>
      </c>
      <c r="B100" t="s">
        <v>1548</v>
      </c>
      <c r="C100">
        <v>54</v>
      </c>
      <c r="D100" t="s">
        <v>1549</v>
      </c>
    </row>
    <row r="101" spans="1:4">
      <c r="A101" t="s">
        <v>1164</v>
      </c>
      <c r="B101" t="s">
        <v>1550</v>
      </c>
      <c r="C101">
        <v>40</v>
      </c>
      <c r="D101" t="s">
        <v>1549</v>
      </c>
    </row>
    <row r="102" spans="1:4">
      <c r="A102" t="s">
        <v>1563</v>
      </c>
      <c r="B102" t="s">
        <v>1548</v>
      </c>
      <c r="C102">
        <v>43</v>
      </c>
      <c r="D102" t="s">
        <v>1551</v>
      </c>
    </row>
    <row r="103" spans="1:4">
      <c r="A103" t="s">
        <v>610</v>
      </c>
      <c r="B103" t="s">
        <v>1553</v>
      </c>
      <c r="C103">
        <v>26</v>
      </c>
      <c r="D103" t="s">
        <v>1551</v>
      </c>
    </row>
    <row r="104" spans="1:4">
      <c r="A104" t="s">
        <v>207</v>
      </c>
      <c r="B104" t="s">
        <v>1550</v>
      </c>
      <c r="C104">
        <v>60</v>
      </c>
      <c r="D104" t="s">
        <v>1549</v>
      </c>
    </row>
    <row r="105" spans="1:4">
      <c r="A105" t="s">
        <v>525</v>
      </c>
      <c r="B105" t="s">
        <v>1550</v>
      </c>
      <c r="C105">
        <v>25</v>
      </c>
      <c r="D105" t="s">
        <v>1551</v>
      </c>
    </row>
    <row r="106" spans="1:4">
      <c r="A106" t="s">
        <v>1333</v>
      </c>
      <c r="B106" t="s">
        <v>1550</v>
      </c>
      <c r="C106">
        <v>32</v>
      </c>
      <c r="D106" t="s">
        <v>1551</v>
      </c>
    </row>
    <row r="107" spans="1:4">
      <c r="A107" t="s">
        <v>1153</v>
      </c>
      <c r="B107" t="s">
        <v>1550</v>
      </c>
      <c r="C107">
        <v>46</v>
      </c>
      <c r="D107" t="s">
        <v>1549</v>
      </c>
    </row>
    <row r="108" spans="1:4">
      <c r="A108" t="s">
        <v>1445</v>
      </c>
      <c r="B108" t="s">
        <v>1548</v>
      </c>
      <c r="C108">
        <v>28</v>
      </c>
      <c r="D108" t="s">
        <v>1551</v>
      </c>
    </row>
    <row r="109" spans="1:4">
      <c r="A109" t="s">
        <v>350</v>
      </c>
      <c r="B109" t="s">
        <v>1548</v>
      </c>
      <c r="C109">
        <v>24</v>
      </c>
      <c r="D109" t="s">
        <v>1549</v>
      </c>
    </row>
    <row r="110" spans="1:4">
      <c r="A110" t="s">
        <v>761</v>
      </c>
      <c r="B110" t="s">
        <v>1550</v>
      </c>
      <c r="C110">
        <v>31</v>
      </c>
      <c r="D110" t="s">
        <v>1551</v>
      </c>
    </row>
    <row r="111" spans="1:4">
      <c r="A111" t="s">
        <v>692</v>
      </c>
      <c r="B111" t="s">
        <v>1550</v>
      </c>
      <c r="C111">
        <v>50</v>
      </c>
      <c r="D111" t="s">
        <v>1551</v>
      </c>
    </row>
    <row r="112" spans="1:4">
      <c r="A112" t="s">
        <v>387</v>
      </c>
      <c r="B112" t="s">
        <v>1548</v>
      </c>
      <c r="C112">
        <v>43</v>
      </c>
      <c r="D112" t="s">
        <v>1549</v>
      </c>
    </row>
    <row r="113" spans="1:4">
      <c r="A113" t="s">
        <v>476</v>
      </c>
      <c r="B113" t="s">
        <v>1548</v>
      </c>
      <c r="C113">
        <v>39</v>
      </c>
      <c r="D113" t="s">
        <v>1549</v>
      </c>
    </row>
    <row r="114" spans="1:4">
      <c r="A114" t="s">
        <v>461</v>
      </c>
      <c r="B114" t="s">
        <v>1550</v>
      </c>
      <c r="C114">
        <v>53</v>
      </c>
      <c r="D114" t="s">
        <v>1549</v>
      </c>
    </row>
    <row r="115" spans="1:4">
      <c r="A115" t="s">
        <v>436</v>
      </c>
      <c r="B115" t="s">
        <v>1548</v>
      </c>
      <c r="C115">
        <v>57</v>
      </c>
      <c r="D115" t="s">
        <v>1551</v>
      </c>
    </row>
    <row r="116" spans="1:4">
      <c r="A116" t="s">
        <v>818</v>
      </c>
      <c r="B116" t="s">
        <v>1550</v>
      </c>
      <c r="C116">
        <v>21</v>
      </c>
      <c r="D116" t="s">
        <v>1549</v>
      </c>
    </row>
    <row r="117" spans="1:4">
      <c r="A117" t="s">
        <v>825</v>
      </c>
      <c r="B117" t="s">
        <v>1550</v>
      </c>
      <c r="C117">
        <v>28</v>
      </c>
      <c r="D117" t="s">
        <v>1551</v>
      </c>
    </row>
    <row r="118" spans="1:4">
      <c r="A118" t="s">
        <v>487</v>
      </c>
      <c r="B118" t="s">
        <v>1550</v>
      </c>
      <c r="C118">
        <v>42</v>
      </c>
      <c r="D118" t="s">
        <v>1551</v>
      </c>
    </row>
    <row r="119" spans="1:4">
      <c r="A119" t="s">
        <v>354</v>
      </c>
      <c r="B119" t="s">
        <v>1553</v>
      </c>
      <c r="C119">
        <v>58</v>
      </c>
      <c r="D119" t="s">
        <v>1551</v>
      </c>
    </row>
    <row r="120" spans="1:4">
      <c r="A120" t="s">
        <v>198</v>
      </c>
      <c r="B120" t="s">
        <v>1550</v>
      </c>
      <c r="C120">
        <v>18</v>
      </c>
      <c r="D120" t="s">
        <v>1549</v>
      </c>
    </row>
    <row r="121" spans="1:4">
      <c r="A121" t="s">
        <v>1564</v>
      </c>
      <c r="B121" t="s">
        <v>1548</v>
      </c>
      <c r="C121">
        <v>23</v>
      </c>
      <c r="D121" t="s">
        <v>1551</v>
      </c>
    </row>
    <row r="122" spans="1:4">
      <c r="A122" t="s">
        <v>540</v>
      </c>
      <c r="B122" t="s">
        <v>1553</v>
      </c>
      <c r="C122">
        <v>27</v>
      </c>
      <c r="D122" t="s">
        <v>1549</v>
      </c>
    </row>
    <row r="123" spans="1:4">
      <c r="A123" t="s">
        <v>1565</v>
      </c>
      <c r="B123" t="s">
        <v>1548</v>
      </c>
      <c r="C123">
        <v>48</v>
      </c>
      <c r="D123" t="s">
        <v>1551</v>
      </c>
    </row>
    <row r="124" spans="1:4">
      <c r="A124" t="s">
        <v>472</v>
      </c>
      <c r="B124" t="s">
        <v>1548</v>
      </c>
      <c r="C124">
        <v>56</v>
      </c>
      <c r="D124" t="s">
        <v>1551</v>
      </c>
    </row>
    <row r="125" spans="1:4">
      <c r="A125" t="s">
        <v>1566</v>
      </c>
      <c r="B125" t="s">
        <v>1548</v>
      </c>
      <c r="C125">
        <v>45</v>
      </c>
      <c r="D125" t="s">
        <v>1551</v>
      </c>
    </row>
    <row r="126" spans="1:4">
      <c r="A126" t="s">
        <v>517</v>
      </c>
      <c r="B126" t="s">
        <v>1550</v>
      </c>
      <c r="C126">
        <v>23</v>
      </c>
      <c r="D126" t="s">
        <v>1551</v>
      </c>
    </row>
    <row r="127" spans="1:4">
      <c r="A127" t="s">
        <v>568</v>
      </c>
      <c r="B127" t="s">
        <v>1548</v>
      </c>
      <c r="C127">
        <v>22</v>
      </c>
      <c r="D127" t="s">
        <v>1549</v>
      </c>
    </row>
    <row r="128" spans="1:4">
      <c r="A128" t="s">
        <v>444</v>
      </c>
      <c r="B128" t="s">
        <v>1548</v>
      </c>
      <c r="C128">
        <v>34</v>
      </c>
      <c r="D128" t="s">
        <v>1551</v>
      </c>
    </row>
    <row r="129" spans="1:4">
      <c r="A129" t="s">
        <v>1183</v>
      </c>
      <c r="B129" t="s">
        <v>1548</v>
      </c>
      <c r="C129">
        <v>32</v>
      </c>
      <c r="D129" t="s">
        <v>1551</v>
      </c>
    </row>
    <row r="130" spans="1:4">
      <c r="A130" t="s">
        <v>850</v>
      </c>
      <c r="B130" t="s">
        <v>1553</v>
      </c>
      <c r="C130">
        <v>41</v>
      </c>
      <c r="D130" t="s">
        <v>1549</v>
      </c>
    </row>
    <row r="131" spans="1:4">
      <c r="A131" t="s">
        <v>593</v>
      </c>
      <c r="B131" t="s">
        <v>1550</v>
      </c>
      <c r="C131">
        <v>23</v>
      </c>
      <c r="D131" t="s">
        <v>1551</v>
      </c>
    </row>
    <row r="132" spans="1:4">
      <c r="A132" t="s">
        <v>343</v>
      </c>
      <c r="B132" t="s">
        <v>1550</v>
      </c>
      <c r="C132">
        <v>56</v>
      </c>
      <c r="D132" t="s">
        <v>1551</v>
      </c>
    </row>
    <row r="133" spans="1:4">
      <c r="A133" t="s">
        <v>993</v>
      </c>
      <c r="B133" t="s">
        <v>1553</v>
      </c>
      <c r="C133">
        <v>20</v>
      </c>
      <c r="D133" t="s">
        <v>1551</v>
      </c>
    </row>
    <row r="134" spans="1:4">
      <c r="A134" t="s">
        <v>881</v>
      </c>
      <c r="B134" t="s">
        <v>1548</v>
      </c>
      <c r="C134">
        <v>42</v>
      </c>
      <c r="D134" t="s">
        <v>1551</v>
      </c>
    </row>
    <row r="135" spans="1:4">
      <c r="A135" t="s">
        <v>973</v>
      </c>
      <c r="B135" t="s">
        <v>1553</v>
      </c>
      <c r="C135">
        <v>43</v>
      </c>
      <c r="D135" t="s">
        <v>1551</v>
      </c>
    </row>
    <row r="136" spans="1:4">
      <c r="A136" t="s">
        <v>678</v>
      </c>
      <c r="B136" t="s">
        <v>1553</v>
      </c>
      <c r="C136">
        <v>57</v>
      </c>
      <c r="D136" t="s">
        <v>1551</v>
      </c>
    </row>
    <row r="137" spans="1:4">
      <c r="A137" t="s">
        <v>710</v>
      </c>
      <c r="B137" t="s">
        <v>1550</v>
      </c>
      <c r="C137">
        <v>59</v>
      </c>
      <c r="D137" t="s">
        <v>1549</v>
      </c>
    </row>
    <row r="138" spans="1:4">
      <c r="A138" t="s">
        <v>536</v>
      </c>
      <c r="B138" t="s">
        <v>1550</v>
      </c>
      <c r="C138">
        <v>51</v>
      </c>
      <c r="D138" t="s">
        <v>1549</v>
      </c>
    </row>
    <row r="139" spans="1:4">
      <c r="A139" t="s">
        <v>1567</v>
      </c>
      <c r="B139" t="s">
        <v>1553</v>
      </c>
      <c r="C139">
        <v>36</v>
      </c>
      <c r="D139" t="s">
        <v>1549</v>
      </c>
    </row>
    <row r="140" spans="1:4">
      <c r="A140" t="s">
        <v>256</v>
      </c>
      <c r="B140" t="s">
        <v>1548</v>
      </c>
      <c r="C140">
        <v>56</v>
      </c>
      <c r="D140" t="s">
        <v>1549</v>
      </c>
    </row>
    <row r="141" spans="1:4">
      <c r="A141" t="s">
        <v>122</v>
      </c>
      <c r="B141" t="s">
        <v>1550</v>
      </c>
      <c r="C141">
        <v>21</v>
      </c>
      <c r="D141" t="s">
        <v>1551</v>
      </c>
    </row>
    <row r="142" spans="1:4">
      <c r="A142" t="s">
        <v>317</v>
      </c>
      <c r="B142" t="s">
        <v>1548</v>
      </c>
      <c r="C142">
        <v>29</v>
      </c>
      <c r="D142" t="s">
        <v>1549</v>
      </c>
    </row>
    <row r="143" spans="1:4">
      <c r="A143" t="s">
        <v>241</v>
      </c>
      <c r="B143" t="s">
        <v>1550</v>
      </c>
      <c r="C143">
        <v>58</v>
      </c>
      <c r="D143" t="s">
        <v>1551</v>
      </c>
    </row>
    <row r="144" spans="1:4">
      <c r="A144" t="s">
        <v>451</v>
      </c>
      <c r="B144" t="s">
        <v>1548</v>
      </c>
      <c r="C144">
        <v>49</v>
      </c>
      <c r="D144" t="s">
        <v>1551</v>
      </c>
    </row>
    <row r="145" spans="1:4">
      <c r="A145" t="s">
        <v>1049</v>
      </c>
      <c r="B145" t="s">
        <v>1548</v>
      </c>
      <c r="C145">
        <v>46</v>
      </c>
      <c r="D145" t="s">
        <v>1549</v>
      </c>
    </row>
    <row r="146" spans="1:4">
      <c r="A146" t="s">
        <v>483</v>
      </c>
      <c r="B146" t="s">
        <v>1548</v>
      </c>
      <c r="C146">
        <v>18</v>
      </c>
      <c r="D146" t="s">
        <v>1549</v>
      </c>
    </row>
    <row r="147" spans="1:4">
      <c r="A147" t="s">
        <v>926</v>
      </c>
      <c r="B147" t="s">
        <v>1553</v>
      </c>
      <c r="C147">
        <v>30</v>
      </c>
      <c r="D147" t="s">
        <v>1549</v>
      </c>
    </row>
    <row r="148" spans="1:4">
      <c r="A148" t="s">
        <v>748</v>
      </c>
      <c r="B148" t="s">
        <v>1550</v>
      </c>
      <c r="C148">
        <v>60</v>
      </c>
      <c r="D148" t="s">
        <v>1551</v>
      </c>
    </row>
    <row r="149" spans="1:4">
      <c r="A149" t="s">
        <v>502</v>
      </c>
      <c r="B149" t="s">
        <v>1548</v>
      </c>
      <c r="C149">
        <v>51</v>
      </c>
      <c r="D149" t="s">
        <v>1549</v>
      </c>
    </row>
    <row r="150" spans="1:4">
      <c r="A150" t="s">
        <v>952</v>
      </c>
      <c r="B150" t="s">
        <v>1548</v>
      </c>
      <c r="C150">
        <v>36</v>
      </c>
      <c r="D150" t="s">
        <v>1549</v>
      </c>
    </row>
    <row r="151" spans="1:4">
      <c r="A151" t="s">
        <v>888</v>
      </c>
      <c r="B151" t="s">
        <v>1553</v>
      </c>
      <c r="C151">
        <v>30</v>
      </c>
      <c r="D151" t="s">
        <v>1551</v>
      </c>
    </row>
  </sheetData>
  <dataValidations count="2">
    <dataValidation type="list" allowBlank="1" showInputMessage="1" showErrorMessage="1" sqref="E2:F2" xr:uid="{FF85A6A5-4F9A-4BFE-8A62-C5976DC06875}">
      <formula1>$A$2:$A$151</formula1>
    </dataValidation>
    <dataValidation allowBlank="1" showInputMessage="1" showErrorMessage="1" sqref="G2" xr:uid="{97F828DC-30CC-41CA-9EE1-23403D47CDD9}"/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8"/>
  <sheetViews>
    <sheetView topLeftCell="A11" workbookViewId="0">
      <selection activeCell="A35" sqref="A35"/>
    </sheetView>
  </sheetViews>
  <sheetFormatPr defaultRowHeight="15"/>
  <cols>
    <col min="1" max="2" width="35" customWidth="1"/>
  </cols>
  <sheetData>
    <row r="1" spans="1:2">
      <c r="A1" s="1" t="s">
        <v>1568</v>
      </c>
      <c r="B1" s="1"/>
    </row>
    <row r="2" spans="1:2">
      <c r="A2" t="s">
        <v>1569</v>
      </c>
    </row>
    <row r="4" spans="1:2" ht="15.75">
      <c r="A4" s="5" t="s">
        <v>1570</v>
      </c>
    </row>
    <row r="5" spans="1:2">
      <c r="A5" t="s">
        <v>1571</v>
      </c>
      <c r="B5" t="s">
        <v>1572</v>
      </c>
    </row>
    <row r="6" spans="1:2">
      <c r="A6" t="s">
        <v>1573</v>
      </c>
      <c r="B6" t="s">
        <v>1574</v>
      </c>
    </row>
    <row r="7" spans="1:2">
      <c r="A7" t="s">
        <v>1575</v>
      </c>
      <c r="B7" t="s">
        <v>1576</v>
      </c>
    </row>
    <row r="8" spans="1:2">
      <c r="A8" t="s">
        <v>1577</v>
      </c>
      <c r="B8" t="s">
        <v>1578</v>
      </c>
    </row>
    <row r="9" spans="1:2">
      <c r="A9" t="s">
        <v>1579</v>
      </c>
      <c r="B9" t="s">
        <v>1580</v>
      </c>
    </row>
    <row r="10" spans="1:2">
      <c r="A10" t="s">
        <v>1581</v>
      </c>
      <c r="B10" t="s">
        <v>1582</v>
      </c>
    </row>
    <row r="11" spans="1:2">
      <c r="A11" t="s">
        <v>1583</v>
      </c>
      <c r="B11" t="s">
        <v>1584</v>
      </c>
    </row>
    <row r="12" spans="1:2">
      <c r="A12" t="s">
        <v>1585</v>
      </c>
      <c r="B12" t="s">
        <v>1586</v>
      </c>
    </row>
    <row r="14" spans="1:2" ht="15.75">
      <c r="A14" s="5" t="s">
        <v>1587</v>
      </c>
    </row>
    <row r="15" spans="1:2">
      <c r="A15" t="s">
        <v>1571</v>
      </c>
      <c r="B15" t="s">
        <v>1588</v>
      </c>
    </row>
    <row r="16" spans="1:2">
      <c r="A16" t="s">
        <v>1573</v>
      </c>
      <c r="B16" t="s">
        <v>1589</v>
      </c>
    </row>
    <row r="17" spans="1:2">
      <c r="A17" t="s">
        <v>1575</v>
      </c>
      <c r="B17" t="s">
        <v>1590</v>
      </c>
    </row>
    <row r="18" spans="1:2">
      <c r="A18" t="s">
        <v>1577</v>
      </c>
      <c r="B18" t="s">
        <v>1591</v>
      </c>
    </row>
    <row r="19" spans="1:2">
      <c r="A19" t="s">
        <v>1579</v>
      </c>
      <c r="B19" t="s">
        <v>1592</v>
      </c>
    </row>
    <row r="21" spans="1:2" ht="15.75">
      <c r="A21" s="5" t="s">
        <v>1593</v>
      </c>
    </row>
    <row r="22" spans="1:2">
      <c r="A22" t="s">
        <v>1571</v>
      </c>
      <c r="B22" t="s">
        <v>1594</v>
      </c>
    </row>
    <row r="23" spans="1:2">
      <c r="A23" t="s">
        <v>1573</v>
      </c>
      <c r="B23" t="s">
        <v>1595</v>
      </c>
    </row>
    <row r="24" spans="1:2">
      <c r="A24" t="s">
        <v>1575</v>
      </c>
      <c r="B24" t="s">
        <v>1596</v>
      </c>
    </row>
    <row r="25" spans="1:2">
      <c r="A25" t="s">
        <v>1577</v>
      </c>
      <c r="B25" t="s">
        <v>1597</v>
      </c>
    </row>
    <row r="26" spans="1:2">
      <c r="A26" t="s">
        <v>1579</v>
      </c>
      <c r="B26" t="s">
        <v>1598</v>
      </c>
    </row>
    <row r="27" spans="1:2">
      <c r="A27" t="s">
        <v>1581</v>
      </c>
      <c r="B27" t="s">
        <v>1599</v>
      </c>
    </row>
    <row r="28" spans="1:2">
      <c r="A28" t="s">
        <v>1583</v>
      </c>
      <c r="B28" t="s">
        <v>1600</v>
      </c>
    </row>
    <row r="29" spans="1:2">
      <c r="A29" t="s">
        <v>1585</v>
      </c>
      <c r="B29" t="s">
        <v>1601</v>
      </c>
    </row>
    <row r="31" spans="1:2" ht="15.75">
      <c r="A31" s="5" t="s">
        <v>1602</v>
      </c>
    </row>
    <row r="32" spans="1:2">
      <c r="A32" t="s">
        <v>1571</v>
      </c>
      <c r="B32" t="s">
        <v>1603</v>
      </c>
    </row>
    <row r="33" spans="1:2">
      <c r="A33" t="s">
        <v>1573</v>
      </c>
      <c r="B33" t="s">
        <v>1604</v>
      </c>
    </row>
    <row r="34" spans="1:2">
      <c r="A34" t="s">
        <v>1575</v>
      </c>
      <c r="B34" t="s">
        <v>1605</v>
      </c>
    </row>
    <row r="35" spans="1:2">
      <c r="A35" t="s">
        <v>1577</v>
      </c>
      <c r="B35" t="s">
        <v>1606</v>
      </c>
    </row>
    <row r="36" spans="1:2">
      <c r="A36" t="s">
        <v>1579</v>
      </c>
      <c r="B36" t="s">
        <v>1607</v>
      </c>
    </row>
    <row r="37" spans="1:2">
      <c r="A37" t="s">
        <v>1581</v>
      </c>
      <c r="B37" t="s">
        <v>1608</v>
      </c>
    </row>
    <row r="38" spans="1:2">
      <c r="A38" t="s">
        <v>1583</v>
      </c>
      <c r="B38" t="s">
        <v>1609</v>
      </c>
    </row>
    <row r="39" spans="1:2">
      <c r="A39" t="s">
        <v>1585</v>
      </c>
      <c r="B39" t="s">
        <v>1610</v>
      </c>
    </row>
    <row r="40" spans="1:2">
      <c r="A40" t="s">
        <v>1611</v>
      </c>
      <c r="B40" t="s">
        <v>1612</v>
      </c>
    </row>
    <row r="41" spans="1:2">
      <c r="A41" t="s">
        <v>1613</v>
      </c>
      <c r="B41" t="s">
        <v>1614</v>
      </c>
    </row>
    <row r="42" spans="1:2">
      <c r="A42" t="s">
        <v>1615</v>
      </c>
      <c r="B42" t="s">
        <v>1616</v>
      </c>
    </row>
    <row r="43" spans="1:2">
      <c r="A43" t="s">
        <v>1617</v>
      </c>
      <c r="B43" t="s">
        <v>1618</v>
      </c>
    </row>
    <row r="44" spans="1:2">
      <c r="A44" t="s">
        <v>1619</v>
      </c>
      <c r="B44" t="s">
        <v>1620</v>
      </c>
    </row>
    <row r="46" spans="1:2" ht="15.75">
      <c r="A46" s="5" t="s">
        <v>1621</v>
      </c>
    </row>
    <row r="47" spans="1:2">
      <c r="A47" t="s">
        <v>1571</v>
      </c>
      <c r="B47" t="s">
        <v>1622</v>
      </c>
    </row>
    <row r="48" spans="1:2">
      <c r="A48" t="s">
        <v>1573</v>
      </c>
      <c r="B48" t="s">
        <v>1623</v>
      </c>
    </row>
    <row r="49" spans="1:2">
      <c r="A49" t="s">
        <v>1575</v>
      </c>
      <c r="B49" t="s">
        <v>1624</v>
      </c>
    </row>
    <row r="50" spans="1:2">
      <c r="A50" t="s">
        <v>1577</v>
      </c>
      <c r="B50" t="s">
        <v>1625</v>
      </c>
    </row>
    <row r="51" spans="1:2">
      <c r="A51" t="s">
        <v>1579</v>
      </c>
      <c r="B51" t="s">
        <v>1626</v>
      </c>
    </row>
    <row r="52" spans="1:2">
      <c r="A52" t="s">
        <v>1581</v>
      </c>
      <c r="B52" t="s">
        <v>1627</v>
      </c>
    </row>
    <row r="53" spans="1:2">
      <c r="A53" t="s">
        <v>1583</v>
      </c>
      <c r="B53" t="s">
        <v>1628</v>
      </c>
    </row>
    <row r="55" spans="1:2" ht="15.75">
      <c r="A55" s="5" t="s">
        <v>1629</v>
      </c>
    </row>
    <row r="56" spans="1:2">
      <c r="A56" t="s">
        <v>1571</v>
      </c>
      <c r="B56" t="s">
        <v>1630</v>
      </c>
    </row>
    <row r="57" spans="1:2">
      <c r="A57" t="s">
        <v>1573</v>
      </c>
      <c r="B57" t="s">
        <v>1631</v>
      </c>
    </row>
    <row r="58" spans="1:2">
      <c r="A58" t="s">
        <v>1575</v>
      </c>
      <c r="B58" t="s">
        <v>1632</v>
      </c>
    </row>
    <row r="59" spans="1:2">
      <c r="A59" t="s">
        <v>1577</v>
      </c>
      <c r="B59" t="s">
        <v>1633</v>
      </c>
    </row>
    <row r="60" spans="1:2">
      <c r="A60" t="s">
        <v>1579</v>
      </c>
      <c r="B60" t="s">
        <v>1634</v>
      </c>
    </row>
    <row r="61" spans="1:2">
      <c r="A61" t="s">
        <v>1581</v>
      </c>
      <c r="B61" t="s">
        <v>1635</v>
      </c>
    </row>
    <row r="62" spans="1:2">
      <c r="A62" t="s">
        <v>1583</v>
      </c>
      <c r="B62" t="s">
        <v>1636</v>
      </c>
    </row>
    <row r="63" spans="1:2">
      <c r="A63" t="s">
        <v>1585</v>
      </c>
      <c r="B63" t="s">
        <v>1637</v>
      </c>
    </row>
    <row r="64" spans="1:2">
      <c r="A64" t="s">
        <v>1611</v>
      </c>
      <c r="B64" t="s">
        <v>1638</v>
      </c>
    </row>
    <row r="65" spans="1:2">
      <c r="A65" t="s">
        <v>1613</v>
      </c>
      <c r="B65" t="s">
        <v>1639</v>
      </c>
    </row>
    <row r="66" spans="1:2">
      <c r="A66" t="s">
        <v>1615</v>
      </c>
      <c r="B66" t="s">
        <v>1640</v>
      </c>
    </row>
    <row r="67" spans="1:2">
      <c r="A67" t="s">
        <v>1617</v>
      </c>
      <c r="B67" t="s">
        <v>1641</v>
      </c>
    </row>
    <row r="69" spans="1:2" ht="15.75">
      <c r="A69" s="5" t="s">
        <v>1642</v>
      </c>
    </row>
    <row r="70" spans="1:2">
      <c r="A70" t="s">
        <v>1571</v>
      </c>
      <c r="B70" t="s">
        <v>1643</v>
      </c>
    </row>
    <row r="71" spans="1:2">
      <c r="A71" t="s">
        <v>1573</v>
      </c>
      <c r="B71" t="s">
        <v>1644</v>
      </c>
    </row>
    <row r="72" spans="1:2">
      <c r="A72" t="s">
        <v>1575</v>
      </c>
      <c r="B72" t="s">
        <v>1645</v>
      </c>
    </row>
    <row r="73" spans="1:2">
      <c r="A73" t="s">
        <v>1577</v>
      </c>
      <c r="B73" t="s">
        <v>1646</v>
      </c>
    </row>
    <row r="74" spans="1:2">
      <c r="A74" t="s">
        <v>1579</v>
      </c>
      <c r="B74" t="s">
        <v>1647</v>
      </c>
    </row>
    <row r="75" spans="1:2">
      <c r="A75" t="s">
        <v>1581</v>
      </c>
      <c r="B75" t="s">
        <v>1648</v>
      </c>
    </row>
    <row r="76" spans="1:2">
      <c r="A76" t="s">
        <v>1583</v>
      </c>
      <c r="B76" t="s">
        <v>1649</v>
      </c>
    </row>
    <row r="77" spans="1:2">
      <c r="A77" t="s">
        <v>1585</v>
      </c>
      <c r="B77" t="s">
        <v>1650</v>
      </c>
    </row>
    <row r="78" spans="1:2">
      <c r="A78" t="s">
        <v>1611</v>
      </c>
      <c r="B78" t="s">
        <v>1651</v>
      </c>
    </row>
    <row r="79" spans="1:2">
      <c r="A79" t="s">
        <v>1613</v>
      </c>
      <c r="B79" t="s">
        <v>1652</v>
      </c>
    </row>
    <row r="80" spans="1:2">
      <c r="A80" t="s">
        <v>1615</v>
      </c>
      <c r="B80" t="s">
        <v>1653</v>
      </c>
    </row>
    <row r="82" spans="1:2" ht="15.75">
      <c r="A82" s="5" t="s">
        <v>1654</v>
      </c>
    </row>
    <row r="83" spans="1:2">
      <c r="A83" t="s">
        <v>1571</v>
      </c>
      <c r="B83" t="s">
        <v>1655</v>
      </c>
    </row>
    <row r="84" spans="1:2">
      <c r="A84" t="s">
        <v>1573</v>
      </c>
      <c r="B84" t="s">
        <v>1656</v>
      </c>
    </row>
    <row r="85" spans="1:2">
      <c r="A85" t="s">
        <v>1575</v>
      </c>
      <c r="B85" t="s">
        <v>1657</v>
      </c>
    </row>
    <row r="86" spans="1:2">
      <c r="A86" t="s">
        <v>1577</v>
      </c>
      <c r="B86" t="s">
        <v>1658</v>
      </c>
    </row>
    <row r="87" spans="1:2">
      <c r="A87" t="s">
        <v>1579</v>
      </c>
      <c r="B87" t="s">
        <v>1659</v>
      </c>
    </row>
    <row r="88" spans="1:2">
      <c r="A88" t="s">
        <v>1581</v>
      </c>
      <c r="B88" t="s">
        <v>1660</v>
      </c>
    </row>
    <row r="89" spans="1:2">
      <c r="A89" t="s">
        <v>1583</v>
      </c>
      <c r="B89" t="s">
        <v>1661</v>
      </c>
    </row>
    <row r="90" spans="1:2">
      <c r="A90" t="s">
        <v>1585</v>
      </c>
      <c r="B90" t="s">
        <v>1662</v>
      </c>
    </row>
    <row r="91" spans="1:2">
      <c r="A91" t="s">
        <v>1611</v>
      </c>
      <c r="B91" t="s">
        <v>1663</v>
      </c>
    </row>
    <row r="92" spans="1:2">
      <c r="A92" t="s">
        <v>1613</v>
      </c>
      <c r="B92" t="s">
        <v>1664</v>
      </c>
    </row>
    <row r="93" spans="1:2">
      <c r="A93" t="s">
        <v>1615</v>
      </c>
      <c r="B93" t="s">
        <v>1665</v>
      </c>
    </row>
    <row r="95" spans="1:2" ht="15.75">
      <c r="A95" s="5" t="s">
        <v>56</v>
      </c>
    </row>
    <row r="96" spans="1:2">
      <c r="A96" t="s">
        <v>1571</v>
      </c>
      <c r="B96" t="s">
        <v>1666</v>
      </c>
    </row>
    <row r="97" spans="1:2">
      <c r="A97" t="s">
        <v>1573</v>
      </c>
      <c r="B97" t="s">
        <v>1667</v>
      </c>
    </row>
    <row r="98" spans="1:2">
      <c r="A98" t="s">
        <v>1575</v>
      </c>
      <c r="B98" t="s">
        <v>1668</v>
      </c>
    </row>
    <row r="99" spans="1:2">
      <c r="A99" t="s">
        <v>1577</v>
      </c>
      <c r="B99" t="s">
        <v>1669</v>
      </c>
    </row>
    <row r="100" spans="1:2">
      <c r="A100" t="s">
        <v>1579</v>
      </c>
      <c r="B100" t="s">
        <v>1670</v>
      </c>
    </row>
    <row r="101" spans="1:2">
      <c r="A101" t="s">
        <v>1581</v>
      </c>
      <c r="B101" t="s">
        <v>1671</v>
      </c>
    </row>
    <row r="103" spans="1:2" ht="15.75">
      <c r="A103" s="5" t="s">
        <v>1672</v>
      </c>
    </row>
    <row r="104" spans="1:2">
      <c r="A104" t="s">
        <v>1571</v>
      </c>
      <c r="B104" t="s">
        <v>1673</v>
      </c>
    </row>
    <row r="105" spans="1:2">
      <c r="A105" t="s">
        <v>1573</v>
      </c>
      <c r="B105" t="s">
        <v>1674</v>
      </c>
    </row>
    <row r="106" spans="1:2">
      <c r="A106" t="s">
        <v>1575</v>
      </c>
      <c r="B106" t="s">
        <v>1675</v>
      </c>
    </row>
    <row r="107" spans="1:2">
      <c r="A107" t="s">
        <v>1577</v>
      </c>
      <c r="B107" t="s">
        <v>1676</v>
      </c>
    </row>
    <row r="108" spans="1:2">
      <c r="A108" t="s">
        <v>1579</v>
      </c>
      <c r="B108" t="s">
        <v>1677</v>
      </c>
    </row>
    <row r="109" spans="1:2">
      <c r="A109" t="s">
        <v>1581</v>
      </c>
      <c r="B109" t="s">
        <v>1678</v>
      </c>
    </row>
    <row r="110" spans="1:2">
      <c r="A110" t="s">
        <v>1583</v>
      </c>
      <c r="B110" t="s">
        <v>1679</v>
      </c>
    </row>
    <row r="111" spans="1:2">
      <c r="A111" t="s">
        <v>1585</v>
      </c>
      <c r="B111" t="s">
        <v>1680</v>
      </c>
    </row>
    <row r="112" spans="1:2">
      <c r="A112" t="s">
        <v>1611</v>
      </c>
      <c r="B112" t="s">
        <v>1681</v>
      </c>
    </row>
    <row r="113" spans="1:2">
      <c r="A113" t="s">
        <v>1613</v>
      </c>
      <c r="B113" t="s">
        <v>1682</v>
      </c>
    </row>
    <row r="114" spans="1:2">
      <c r="A114" t="s">
        <v>1615</v>
      </c>
      <c r="B114" t="s">
        <v>1683</v>
      </c>
    </row>
    <row r="115" spans="1:2">
      <c r="A115" t="s">
        <v>1617</v>
      </c>
      <c r="B115" t="s">
        <v>1684</v>
      </c>
    </row>
    <row r="116" spans="1:2">
      <c r="A116" t="s">
        <v>1619</v>
      </c>
      <c r="B116" t="s">
        <v>1685</v>
      </c>
    </row>
    <row r="117" spans="1:2">
      <c r="A117" t="s">
        <v>1686</v>
      </c>
      <c r="B117" t="s">
        <v>1687</v>
      </c>
    </row>
    <row r="118" spans="1:2">
      <c r="A118" t="s">
        <v>1688</v>
      </c>
      <c r="B118" t="s">
        <v>1689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5"/>
  <cols>
    <col min="1" max="1" width="12" customWidth="1"/>
    <col min="2" max="2" width="35" customWidth="1"/>
  </cols>
  <sheetData>
    <row r="1" spans="1:2">
      <c r="A1" s="1" t="s">
        <v>1690</v>
      </c>
      <c r="B1" s="1" t="s">
        <v>1691</v>
      </c>
    </row>
    <row r="2" spans="1:2">
      <c r="A2" t="s">
        <v>1692</v>
      </c>
      <c r="B2" t="s">
        <v>1693</v>
      </c>
    </row>
    <row r="3" spans="1:2">
      <c r="A3" t="s">
        <v>1694</v>
      </c>
      <c r="B3" t="s">
        <v>1695</v>
      </c>
    </row>
    <row r="4" spans="1:2">
      <c r="A4" t="s">
        <v>1696</v>
      </c>
      <c r="B4" t="s">
        <v>1697</v>
      </c>
    </row>
    <row r="5" spans="1:2">
      <c r="A5" t="s">
        <v>1698</v>
      </c>
      <c r="B5" t="s">
        <v>1699</v>
      </c>
    </row>
    <row r="6" spans="1:2">
      <c r="A6" t="s">
        <v>1700</v>
      </c>
      <c r="B6" t="s">
        <v>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2026-08-09T17:35:47Z</dcterms:created>
  <dcterms:modified xsi:type="dcterms:W3CDTF">2026-08-11T08:39:28Z</dcterms:modified>
  <cp:category/>
  <cp:contentStatus/>
</cp:coreProperties>
</file>